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rcadiso365-my.sharepoint.com/personal/nicholas_miller2_arcadis_com/Documents/Desktop/Projects/VA Beach/Power BI/"/>
    </mc:Choice>
  </mc:AlternateContent>
  <xr:revisionPtr revIDLastSave="355" documentId="8_{77500B3C-28A8-40A6-8D76-BDA224F33E7F}" xr6:coauthVersionLast="47" xr6:coauthVersionMax="47" xr10:uidLastSave="{93867516-56C5-4D49-9999-959DC477E0C1}"/>
  <bookViews>
    <workbookView xWindow="-28920" yWindow="-120" windowWidth="29040" windowHeight="15720" xr2:uid="{D9B231F6-FF06-49A2-A83C-9F889DA822DD}"/>
  </bookViews>
  <sheets>
    <sheet name="Inputs" sheetId="4" r:id="rId1"/>
    <sheet name="Sheet1" sheetId="5" r:id="rId2"/>
  </sheets>
  <definedNames>
    <definedName name="_xlnm._FilterDatabase" localSheetId="0" hidden="1">Inputs!$C$1:$F$174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175" i="4" l="1"/>
  <c r="BI176" i="4"/>
  <c r="BI177" i="4"/>
  <c r="BI178" i="4"/>
  <c r="BI179" i="4"/>
  <c r="BI180" i="4"/>
  <c r="BI181" i="4"/>
  <c r="BI182" i="4"/>
  <c r="BI183" i="4"/>
  <c r="BI184" i="4"/>
  <c r="BI185" i="4"/>
  <c r="BI186" i="4"/>
  <c r="BI187" i="4"/>
  <c r="BI188" i="4"/>
  <c r="BI189" i="4"/>
  <c r="BI190" i="4"/>
  <c r="BI191" i="4"/>
  <c r="BI192" i="4"/>
  <c r="BI193" i="4"/>
  <c r="BI194" i="4"/>
  <c r="BI195" i="4"/>
  <c r="BI196" i="4"/>
  <c r="BI197" i="4"/>
  <c r="BI198" i="4"/>
  <c r="BI199" i="4"/>
  <c r="BI200" i="4"/>
  <c r="BI201" i="4"/>
  <c r="BI202" i="4"/>
  <c r="BI203" i="4"/>
  <c r="BI204" i="4"/>
  <c r="BI205" i="4"/>
  <c r="BI206" i="4"/>
  <c r="BI207" i="4"/>
  <c r="BI208" i="4"/>
  <c r="BI209" i="4"/>
  <c r="BI210" i="4"/>
  <c r="BI211" i="4"/>
  <c r="BI212" i="4"/>
  <c r="BI213" i="4"/>
  <c r="BI214" i="4"/>
  <c r="BI215" i="4"/>
  <c r="BI216" i="4"/>
  <c r="BI217" i="4"/>
  <c r="BI218" i="4"/>
  <c r="BI219" i="4"/>
  <c r="BI220" i="4"/>
  <c r="BI221" i="4"/>
  <c r="BI222" i="4"/>
  <c r="BI223" i="4"/>
  <c r="BI224" i="4"/>
  <c r="BI225" i="4"/>
  <c r="BI226" i="4"/>
  <c r="BI227" i="4"/>
  <c r="BI228" i="4"/>
  <c r="BI229" i="4"/>
  <c r="BI230" i="4"/>
  <c r="BI231" i="4"/>
  <c r="BI232" i="4"/>
  <c r="BI233" i="4"/>
  <c r="BI234" i="4"/>
  <c r="BI235" i="4"/>
  <c r="BI236" i="4"/>
  <c r="BI237" i="4"/>
  <c r="BI238" i="4"/>
  <c r="BI239" i="4"/>
  <c r="BI240" i="4"/>
  <c r="BI241" i="4"/>
  <c r="BI242" i="4"/>
  <c r="BI243" i="4"/>
  <c r="BI244" i="4"/>
  <c r="BI245" i="4"/>
  <c r="BI246" i="4"/>
  <c r="BI247" i="4"/>
  <c r="BI248" i="4"/>
  <c r="BI249" i="4"/>
  <c r="BI250" i="4"/>
  <c r="BI251" i="4"/>
  <c r="BI252" i="4"/>
  <c r="BI253" i="4"/>
  <c r="BI254" i="4"/>
  <c r="BI255" i="4"/>
  <c r="BI256" i="4"/>
  <c r="BI257" i="4"/>
  <c r="BI258" i="4"/>
  <c r="BI259" i="4"/>
  <c r="BI260" i="4"/>
  <c r="BI261" i="4"/>
  <c r="BI262" i="4"/>
  <c r="BI263" i="4"/>
  <c r="BI264" i="4"/>
  <c r="BI265" i="4"/>
  <c r="BI266" i="4"/>
  <c r="BI267" i="4"/>
  <c r="BI268" i="4"/>
  <c r="BI269" i="4"/>
  <c r="BI270" i="4"/>
  <c r="BI271" i="4"/>
  <c r="BI272" i="4"/>
  <c r="BI273" i="4"/>
  <c r="BI274" i="4"/>
  <c r="BI275" i="4"/>
  <c r="BI276" i="4"/>
  <c r="BI277" i="4"/>
  <c r="BI278" i="4"/>
  <c r="BI279" i="4"/>
  <c r="BI280" i="4"/>
  <c r="BI281" i="4"/>
  <c r="BI282" i="4"/>
  <c r="BI283" i="4"/>
  <c r="BI284" i="4"/>
  <c r="BI285" i="4"/>
  <c r="BI286" i="4"/>
  <c r="BI287" i="4"/>
  <c r="BI288" i="4"/>
  <c r="BI289" i="4"/>
  <c r="BI290" i="4"/>
  <c r="BI291" i="4"/>
  <c r="BI292" i="4"/>
  <c r="BI293" i="4"/>
  <c r="BI294" i="4"/>
  <c r="BI295" i="4"/>
  <c r="BI296" i="4"/>
  <c r="BI297" i="4"/>
  <c r="BI298" i="4"/>
  <c r="BI299" i="4"/>
  <c r="BI300" i="4"/>
  <c r="BI301" i="4"/>
  <c r="BI302" i="4"/>
  <c r="BI303" i="4"/>
  <c r="BI304" i="4"/>
  <c r="BI305" i="4"/>
  <c r="BI306" i="4"/>
  <c r="BI307" i="4"/>
  <c r="BI308" i="4"/>
  <c r="BI309" i="4"/>
  <c r="BI310" i="4"/>
  <c r="BI311" i="4"/>
  <c r="BI312" i="4"/>
  <c r="BI313" i="4"/>
  <c r="BI314" i="4"/>
  <c r="BI315" i="4"/>
  <c r="BI316" i="4"/>
  <c r="BI317" i="4"/>
  <c r="BI318" i="4"/>
  <c r="BI319" i="4"/>
  <c r="BI320" i="4"/>
  <c r="BI321" i="4"/>
  <c r="BI322" i="4"/>
  <c r="BI323" i="4"/>
  <c r="BI324" i="4"/>
  <c r="BI325" i="4"/>
  <c r="BI326" i="4"/>
  <c r="BI327" i="4"/>
  <c r="BI328" i="4"/>
  <c r="BI329" i="4"/>
  <c r="BI330" i="4"/>
  <c r="BI331" i="4"/>
  <c r="BI332" i="4"/>
  <c r="BI333" i="4"/>
  <c r="BI334" i="4"/>
  <c r="BI335" i="4"/>
  <c r="BI336" i="4"/>
  <c r="BI337" i="4"/>
  <c r="BI338" i="4"/>
  <c r="BI339" i="4"/>
  <c r="BI340" i="4"/>
  <c r="BI341" i="4"/>
  <c r="BI342" i="4"/>
  <c r="BI343" i="4"/>
  <c r="BI344" i="4"/>
  <c r="BI345" i="4"/>
  <c r="BI346" i="4"/>
  <c r="BI347" i="4"/>
  <c r="BI348" i="4"/>
  <c r="BI349" i="4"/>
  <c r="BI350" i="4"/>
  <c r="BI351" i="4"/>
  <c r="BI352" i="4"/>
  <c r="BI353" i="4"/>
  <c r="BI354" i="4"/>
  <c r="BI355" i="4"/>
  <c r="BI356" i="4"/>
  <c r="BI357" i="4"/>
  <c r="BI358" i="4"/>
  <c r="BI359" i="4"/>
  <c r="BI360" i="4"/>
  <c r="BI361" i="4"/>
  <c r="BI362" i="4"/>
  <c r="BI363" i="4"/>
  <c r="BI364" i="4"/>
  <c r="BI365" i="4"/>
  <c r="BI366" i="4"/>
  <c r="BI367" i="4"/>
  <c r="BI368" i="4"/>
  <c r="BI369" i="4"/>
  <c r="BI370" i="4"/>
  <c r="BI371" i="4"/>
  <c r="BI372" i="4"/>
  <c r="BI373" i="4"/>
  <c r="BI374" i="4"/>
  <c r="BI375" i="4"/>
  <c r="BI376" i="4"/>
  <c r="BI377" i="4"/>
  <c r="BI378" i="4"/>
  <c r="BI379" i="4"/>
  <c r="BI380" i="4"/>
  <c r="BI381" i="4"/>
  <c r="BI382" i="4"/>
  <c r="BI383" i="4"/>
  <c r="BI384" i="4"/>
  <c r="BI385" i="4"/>
  <c r="BI386" i="4"/>
  <c r="BI387" i="4"/>
  <c r="BI388" i="4"/>
  <c r="BI389" i="4"/>
  <c r="BI390" i="4"/>
  <c r="BI391" i="4"/>
  <c r="BI392" i="4"/>
  <c r="BI393" i="4"/>
  <c r="BI394" i="4"/>
  <c r="BI395" i="4"/>
  <c r="BI396" i="4"/>
  <c r="BI397" i="4"/>
  <c r="BI398" i="4"/>
  <c r="BI399" i="4"/>
  <c r="BI400" i="4"/>
  <c r="BI401" i="4"/>
  <c r="BI402" i="4"/>
  <c r="BI403" i="4"/>
  <c r="BI404" i="4"/>
  <c r="BI405" i="4"/>
  <c r="BI406" i="4"/>
  <c r="BI407" i="4"/>
  <c r="BI408" i="4"/>
  <c r="BI409" i="4"/>
  <c r="BI410" i="4"/>
  <c r="BI411" i="4"/>
  <c r="BI412" i="4"/>
  <c r="BI413" i="4"/>
  <c r="BI414" i="4"/>
  <c r="BI415" i="4"/>
  <c r="BI416" i="4"/>
  <c r="BI417" i="4"/>
  <c r="BI418" i="4"/>
  <c r="BI419" i="4"/>
  <c r="BI420" i="4"/>
  <c r="BI421" i="4"/>
  <c r="BI422" i="4"/>
  <c r="BI423" i="4"/>
  <c r="BI424" i="4"/>
  <c r="BI425" i="4"/>
  <c r="BI426" i="4"/>
  <c r="BI427" i="4"/>
  <c r="BI428" i="4"/>
  <c r="BI429" i="4"/>
  <c r="BI430" i="4"/>
  <c r="BI431" i="4"/>
  <c r="BI432" i="4"/>
  <c r="BI433" i="4"/>
  <c r="BI434" i="4"/>
  <c r="BI435" i="4"/>
  <c r="BI436" i="4"/>
  <c r="BI437" i="4"/>
  <c r="BI438" i="4"/>
  <c r="BI439" i="4"/>
  <c r="BI440" i="4"/>
  <c r="BI441" i="4"/>
  <c r="BI442" i="4"/>
  <c r="BI443" i="4"/>
  <c r="BI444" i="4"/>
  <c r="BI445" i="4"/>
  <c r="BI446" i="4"/>
  <c r="BI447" i="4"/>
  <c r="BI448" i="4"/>
  <c r="BI449" i="4"/>
  <c r="BI450" i="4"/>
  <c r="BI451" i="4"/>
  <c r="BI452" i="4"/>
  <c r="BI453" i="4"/>
  <c r="BI454" i="4"/>
  <c r="BI455" i="4"/>
  <c r="BI456" i="4"/>
  <c r="BI457" i="4"/>
  <c r="BI458" i="4"/>
  <c r="BI459" i="4"/>
  <c r="BI460" i="4"/>
  <c r="BI461" i="4"/>
  <c r="BI462" i="4"/>
  <c r="BI463" i="4"/>
  <c r="BI464" i="4"/>
  <c r="BI465" i="4"/>
  <c r="BI466" i="4"/>
  <c r="BI467" i="4"/>
  <c r="BI468" i="4"/>
  <c r="BI469" i="4"/>
  <c r="BI470" i="4"/>
  <c r="BI471" i="4"/>
  <c r="BI472" i="4"/>
  <c r="BI473" i="4"/>
  <c r="BI474" i="4"/>
  <c r="BI475" i="4"/>
  <c r="BI476" i="4"/>
  <c r="BI477" i="4"/>
  <c r="BI478" i="4"/>
  <c r="BI479" i="4"/>
  <c r="BI480" i="4"/>
  <c r="BI481" i="4"/>
  <c r="BI482" i="4"/>
  <c r="BI483" i="4"/>
  <c r="BI484" i="4"/>
  <c r="BI485" i="4"/>
  <c r="BI486" i="4"/>
  <c r="BI487" i="4"/>
  <c r="BI488" i="4"/>
  <c r="BI489" i="4"/>
  <c r="BI490" i="4"/>
  <c r="BI491" i="4"/>
  <c r="BI492" i="4"/>
  <c r="BI493" i="4"/>
  <c r="BI494" i="4"/>
  <c r="BI495" i="4"/>
  <c r="BI496" i="4"/>
  <c r="BI497" i="4"/>
  <c r="BI498" i="4"/>
  <c r="BI499" i="4"/>
  <c r="BI500" i="4"/>
  <c r="BI501" i="4"/>
  <c r="BI502" i="4"/>
  <c r="BI503" i="4"/>
  <c r="BI504" i="4"/>
  <c r="BI505" i="4"/>
  <c r="BI506" i="4"/>
  <c r="BI507" i="4"/>
  <c r="BI508" i="4"/>
  <c r="BI509" i="4"/>
  <c r="BI510" i="4"/>
  <c r="BI511" i="4"/>
  <c r="BI512" i="4"/>
  <c r="BI513" i="4"/>
  <c r="BI514" i="4"/>
  <c r="BI515" i="4"/>
  <c r="BI516" i="4"/>
  <c r="BI517" i="4"/>
  <c r="BI518" i="4"/>
  <c r="BI519" i="4"/>
  <c r="BI520" i="4"/>
  <c r="BI521" i="4"/>
  <c r="BI522" i="4"/>
  <c r="BI523" i="4"/>
  <c r="BI524" i="4"/>
  <c r="BI525" i="4"/>
  <c r="BI526" i="4"/>
  <c r="BI527" i="4"/>
  <c r="BI528" i="4"/>
  <c r="BI529" i="4"/>
  <c r="BI530" i="4"/>
  <c r="BI531" i="4"/>
  <c r="BI532" i="4"/>
  <c r="BI533" i="4"/>
  <c r="BI534" i="4"/>
  <c r="BI535" i="4"/>
  <c r="BI536" i="4"/>
  <c r="BI537" i="4"/>
  <c r="BI538" i="4"/>
  <c r="BI539" i="4"/>
  <c r="BI540" i="4"/>
  <c r="BI541" i="4"/>
  <c r="BI542" i="4"/>
  <c r="BI543" i="4"/>
  <c r="BI544" i="4"/>
  <c r="BI545" i="4"/>
  <c r="BI546" i="4"/>
  <c r="BI547" i="4"/>
  <c r="BI548" i="4"/>
  <c r="BI549" i="4"/>
  <c r="BI550" i="4"/>
  <c r="BI551" i="4"/>
  <c r="BI552" i="4"/>
  <c r="BI553" i="4"/>
  <c r="BI554" i="4"/>
  <c r="BI555" i="4"/>
  <c r="BI556" i="4"/>
  <c r="BI557" i="4"/>
  <c r="BI558" i="4"/>
  <c r="BI559" i="4"/>
  <c r="BI560" i="4"/>
  <c r="BI561" i="4"/>
  <c r="BI562" i="4"/>
  <c r="BI563" i="4"/>
  <c r="BI564" i="4"/>
  <c r="BI565" i="4"/>
  <c r="BI566" i="4"/>
  <c r="BI567" i="4"/>
  <c r="BI568" i="4"/>
  <c r="BI569" i="4"/>
  <c r="BI570" i="4"/>
  <c r="BI571" i="4"/>
  <c r="BI572" i="4"/>
  <c r="BI573" i="4"/>
  <c r="BI574" i="4"/>
  <c r="BI575" i="4"/>
  <c r="BI576" i="4"/>
  <c r="BI577" i="4"/>
  <c r="BI578" i="4"/>
  <c r="BI579" i="4"/>
  <c r="BI580" i="4"/>
  <c r="BI581" i="4"/>
  <c r="BI582" i="4"/>
  <c r="BI583" i="4"/>
  <c r="BI584" i="4"/>
  <c r="BI585" i="4"/>
  <c r="BI586" i="4"/>
  <c r="BI587" i="4"/>
  <c r="BI588" i="4"/>
  <c r="BI589" i="4"/>
  <c r="BI590" i="4"/>
  <c r="BI591" i="4"/>
  <c r="BI592" i="4"/>
  <c r="BI593" i="4"/>
  <c r="BI594" i="4"/>
  <c r="BI595" i="4"/>
  <c r="BI596" i="4"/>
  <c r="BI597" i="4"/>
  <c r="BI598" i="4"/>
  <c r="BI599" i="4"/>
  <c r="BI600" i="4"/>
  <c r="BI601" i="4"/>
  <c r="BI602" i="4"/>
  <c r="BI603" i="4"/>
  <c r="BI604" i="4"/>
  <c r="BI605" i="4"/>
  <c r="BI606" i="4"/>
  <c r="BI607" i="4"/>
  <c r="BI608" i="4"/>
  <c r="BI609" i="4"/>
  <c r="BI610" i="4"/>
  <c r="BI611" i="4"/>
  <c r="BI612" i="4"/>
  <c r="BI613" i="4"/>
  <c r="BI614" i="4"/>
  <c r="BI615" i="4"/>
  <c r="BI616" i="4"/>
  <c r="BI617" i="4"/>
  <c r="BI618" i="4"/>
  <c r="BI619" i="4"/>
  <c r="BI620" i="4"/>
  <c r="BI621" i="4"/>
  <c r="BI622" i="4"/>
  <c r="BI623" i="4"/>
  <c r="BI624" i="4"/>
  <c r="BI625" i="4"/>
  <c r="BI626" i="4"/>
  <c r="BI627" i="4"/>
  <c r="BI628" i="4"/>
  <c r="BI629" i="4"/>
  <c r="BI630" i="4"/>
  <c r="BI631" i="4"/>
  <c r="BI632" i="4"/>
  <c r="BI633" i="4"/>
  <c r="BI634" i="4"/>
  <c r="BI635" i="4"/>
  <c r="BI636" i="4"/>
  <c r="BI637" i="4"/>
  <c r="BI638" i="4"/>
  <c r="BI639" i="4"/>
  <c r="BI640" i="4"/>
  <c r="BI641" i="4"/>
  <c r="BI642" i="4"/>
  <c r="BI643" i="4"/>
  <c r="BI644" i="4"/>
  <c r="BI645" i="4"/>
  <c r="BI646" i="4"/>
  <c r="BI647" i="4"/>
  <c r="BI648" i="4"/>
  <c r="BI649" i="4"/>
  <c r="BI650" i="4"/>
  <c r="BI651" i="4"/>
  <c r="BI652" i="4"/>
  <c r="BI653" i="4"/>
  <c r="BI654" i="4"/>
  <c r="BI655" i="4"/>
  <c r="BI656" i="4"/>
  <c r="BI657" i="4"/>
  <c r="BI658" i="4"/>
  <c r="BI659" i="4"/>
  <c r="BI660" i="4"/>
  <c r="BI661" i="4"/>
  <c r="BI662" i="4"/>
  <c r="BI663" i="4"/>
  <c r="BI664" i="4"/>
  <c r="BI665" i="4"/>
  <c r="BI666" i="4"/>
  <c r="BI667" i="4"/>
  <c r="BI668" i="4"/>
  <c r="BI669" i="4"/>
  <c r="BI670" i="4"/>
  <c r="BI671" i="4"/>
  <c r="BI672" i="4"/>
  <c r="BI673" i="4"/>
  <c r="BI674" i="4"/>
  <c r="BI675" i="4"/>
  <c r="BI676" i="4"/>
  <c r="BI677" i="4"/>
  <c r="BI678" i="4"/>
  <c r="BI679" i="4"/>
  <c r="BI680" i="4"/>
  <c r="BI681" i="4"/>
  <c r="BI682" i="4"/>
  <c r="BI683" i="4"/>
  <c r="BI684" i="4"/>
  <c r="BI685" i="4"/>
  <c r="BI686" i="4"/>
  <c r="BI687" i="4"/>
  <c r="BI688" i="4"/>
  <c r="BI689" i="4"/>
  <c r="BI690" i="4"/>
  <c r="BI691" i="4"/>
  <c r="BI692" i="4"/>
  <c r="BI693" i="4"/>
  <c r="BI694" i="4"/>
  <c r="BI695" i="4"/>
  <c r="BI696" i="4"/>
  <c r="BI697" i="4"/>
  <c r="BI698" i="4"/>
  <c r="BI699" i="4"/>
  <c r="BI700" i="4"/>
  <c r="BI701" i="4"/>
  <c r="BI702" i="4"/>
  <c r="BI703" i="4"/>
  <c r="BI704" i="4"/>
  <c r="BI705" i="4"/>
  <c r="BI706" i="4"/>
  <c r="BI707" i="4"/>
  <c r="BI708" i="4"/>
  <c r="BI709" i="4"/>
  <c r="BI710" i="4"/>
  <c r="BI711" i="4"/>
  <c r="BI712" i="4"/>
  <c r="BI713" i="4"/>
  <c r="BI714" i="4"/>
  <c r="BI715" i="4"/>
  <c r="BI716" i="4"/>
  <c r="BI717" i="4"/>
  <c r="BI718" i="4"/>
  <c r="BI719" i="4"/>
  <c r="BI720" i="4"/>
  <c r="BI721" i="4"/>
  <c r="BI722" i="4"/>
  <c r="BI723" i="4"/>
  <c r="BI724" i="4"/>
  <c r="BI725" i="4"/>
  <c r="BI726" i="4"/>
  <c r="BI727" i="4"/>
  <c r="BI728" i="4"/>
  <c r="BI729" i="4"/>
  <c r="BI730" i="4"/>
  <c r="BI731" i="4"/>
  <c r="BI732" i="4"/>
  <c r="BI733" i="4"/>
  <c r="BI734" i="4"/>
  <c r="BI735" i="4"/>
  <c r="BI736" i="4"/>
  <c r="BI737" i="4"/>
  <c r="BI738" i="4"/>
  <c r="BI739" i="4"/>
  <c r="BI740" i="4"/>
  <c r="BI741" i="4"/>
  <c r="BI742" i="4"/>
  <c r="BI743" i="4"/>
  <c r="BI744" i="4"/>
  <c r="BI745" i="4"/>
  <c r="BI746" i="4"/>
  <c r="BI747" i="4"/>
  <c r="BI748" i="4"/>
  <c r="BI749" i="4"/>
  <c r="BI118" i="4"/>
  <c r="BI119" i="4"/>
  <c r="BI120" i="4"/>
  <c r="BI121" i="4"/>
  <c r="BI122" i="4"/>
  <c r="BI123" i="4"/>
  <c r="BI124" i="4"/>
  <c r="BI125" i="4"/>
  <c r="BI126" i="4"/>
  <c r="BI127" i="4"/>
  <c r="BI128" i="4"/>
  <c r="BI129" i="4"/>
  <c r="BI130" i="4"/>
  <c r="BI131" i="4"/>
  <c r="BI132" i="4"/>
  <c r="BI133" i="4"/>
  <c r="BI134" i="4"/>
  <c r="BI135" i="4"/>
  <c r="BI136" i="4"/>
  <c r="BI137" i="4"/>
  <c r="BI138" i="4"/>
  <c r="BI139" i="4"/>
  <c r="BI140" i="4"/>
  <c r="BI141" i="4"/>
  <c r="BI142" i="4"/>
  <c r="BI143" i="4"/>
  <c r="BI144" i="4"/>
  <c r="BI145" i="4"/>
  <c r="BI146" i="4"/>
  <c r="BI147" i="4"/>
  <c r="BI148" i="4"/>
  <c r="BI149" i="4"/>
  <c r="BI150" i="4"/>
  <c r="BI151" i="4"/>
  <c r="BI152" i="4"/>
  <c r="BI153" i="4"/>
  <c r="BI154" i="4"/>
  <c r="BI155" i="4"/>
  <c r="BI156" i="4"/>
  <c r="BI157" i="4"/>
  <c r="BI158" i="4"/>
  <c r="BI159" i="4"/>
  <c r="BI160" i="4"/>
  <c r="BI161" i="4"/>
  <c r="BI162" i="4"/>
  <c r="BI163" i="4"/>
  <c r="BI164" i="4"/>
  <c r="BI165" i="4"/>
  <c r="BI166" i="4"/>
  <c r="BI167" i="4"/>
  <c r="BI168" i="4"/>
  <c r="BI169" i="4"/>
  <c r="BI170" i="4"/>
  <c r="BI171" i="4"/>
  <c r="BI172" i="4"/>
  <c r="BI173" i="4"/>
  <c r="BI174" i="4"/>
  <c r="AZ648" i="4"/>
  <c r="AZ649" i="4"/>
  <c r="AZ650" i="4"/>
  <c r="AZ651" i="4"/>
  <c r="AZ652" i="4"/>
  <c r="AZ653" i="4"/>
  <c r="AZ654" i="4"/>
  <c r="AZ655" i="4"/>
  <c r="AZ656" i="4"/>
  <c r="AZ657" i="4"/>
  <c r="AZ658" i="4"/>
  <c r="AZ659" i="4"/>
  <c r="AZ660" i="4"/>
  <c r="AZ661" i="4"/>
  <c r="AZ662" i="4"/>
  <c r="AZ663" i="4"/>
  <c r="AZ664" i="4"/>
  <c r="AZ665" i="4"/>
  <c r="AZ666" i="4"/>
  <c r="AZ667" i="4"/>
  <c r="AZ668" i="4"/>
  <c r="AZ669" i="4"/>
  <c r="AZ670" i="4"/>
  <c r="AZ671" i="4"/>
  <c r="AZ672" i="4"/>
  <c r="AZ673" i="4"/>
  <c r="AZ674" i="4"/>
  <c r="AZ675" i="4"/>
  <c r="AZ676" i="4"/>
  <c r="AZ677" i="4"/>
  <c r="AZ678" i="4"/>
  <c r="AZ679" i="4"/>
  <c r="AZ680" i="4"/>
  <c r="AZ681" i="4"/>
  <c r="AZ682" i="4"/>
  <c r="AZ683" i="4"/>
  <c r="AZ684" i="4"/>
  <c r="AZ685" i="4"/>
  <c r="AZ686" i="4"/>
  <c r="AZ687" i="4"/>
  <c r="AZ688" i="4"/>
  <c r="AZ689" i="4"/>
  <c r="AZ690" i="4"/>
  <c r="AZ691" i="4"/>
  <c r="AZ692" i="4"/>
  <c r="AZ693" i="4"/>
  <c r="AZ694" i="4"/>
  <c r="AZ695" i="4"/>
  <c r="AZ696" i="4"/>
  <c r="AZ697" i="4"/>
  <c r="AZ698" i="4"/>
  <c r="AZ699" i="4"/>
  <c r="AZ700" i="4"/>
  <c r="AZ701" i="4"/>
  <c r="AZ702" i="4"/>
  <c r="AZ703" i="4"/>
  <c r="AZ704" i="4"/>
  <c r="AZ705" i="4"/>
  <c r="AZ706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Q648" i="4"/>
  <c r="AQ649" i="4"/>
  <c r="AQ650" i="4"/>
  <c r="AQ651" i="4"/>
  <c r="AQ652" i="4"/>
  <c r="AQ653" i="4"/>
  <c r="AQ654" i="4"/>
  <c r="AQ655" i="4"/>
  <c r="AQ656" i="4"/>
  <c r="AQ657" i="4"/>
  <c r="AQ658" i="4"/>
  <c r="AQ659" i="4"/>
  <c r="AQ660" i="4"/>
  <c r="AQ661" i="4"/>
  <c r="AQ662" i="4"/>
  <c r="AQ663" i="4"/>
  <c r="AQ664" i="4"/>
  <c r="AQ665" i="4"/>
  <c r="AQ666" i="4"/>
  <c r="AQ667" i="4"/>
  <c r="AQ668" i="4"/>
  <c r="AQ669" i="4"/>
  <c r="AQ670" i="4"/>
  <c r="AQ671" i="4"/>
  <c r="AQ672" i="4"/>
  <c r="AQ673" i="4"/>
  <c r="AQ674" i="4"/>
  <c r="AQ675" i="4"/>
  <c r="AQ676" i="4"/>
  <c r="AQ677" i="4"/>
  <c r="AQ678" i="4"/>
  <c r="AQ679" i="4"/>
  <c r="AQ680" i="4"/>
  <c r="AQ681" i="4"/>
  <c r="AQ682" i="4"/>
  <c r="AQ683" i="4"/>
  <c r="AQ684" i="4"/>
  <c r="AQ685" i="4"/>
  <c r="AQ686" i="4"/>
  <c r="AQ687" i="4"/>
  <c r="AQ688" i="4"/>
  <c r="AQ689" i="4"/>
  <c r="AQ690" i="4"/>
  <c r="AQ691" i="4"/>
  <c r="AQ692" i="4"/>
  <c r="AQ693" i="4"/>
  <c r="AQ694" i="4"/>
  <c r="AQ695" i="4"/>
  <c r="AQ696" i="4"/>
  <c r="AQ697" i="4"/>
  <c r="AQ698" i="4"/>
  <c r="AQ699" i="4"/>
  <c r="AQ700" i="4"/>
  <c r="AQ701" i="4"/>
  <c r="AQ702" i="4"/>
  <c r="AQ703" i="4"/>
  <c r="AQ704" i="4"/>
  <c r="AQ705" i="4"/>
  <c r="AQ706" i="4"/>
  <c r="AQ707" i="4"/>
  <c r="AQ708" i="4"/>
  <c r="AQ709" i="4"/>
  <c r="AQ710" i="4"/>
  <c r="AQ711" i="4"/>
  <c r="AQ712" i="4"/>
  <c r="AQ713" i="4"/>
  <c r="AQ714" i="4"/>
  <c r="AQ715" i="4"/>
  <c r="AQ716" i="4"/>
  <c r="AQ717" i="4"/>
  <c r="AQ718" i="4"/>
  <c r="AQ719" i="4"/>
  <c r="AQ720" i="4"/>
  <c r="AQ721" i="4"/>
  <c r="AQ722" i="4"/>
  <c r="AQ723" i="4"/>
  <c r="AQ724" i="4"/>
  <c r="AQ725" i="4"/>
  <c r="AQ726" i="4"/>
  <c r="AQ727" i="4"/>
  <c r="AQ728" i="4"/>
  <c r="AQ729" i="4"/>
  <c r="AQ730" i="4"/>
  <c r="AQ731" i="4"/>
  <c r="AQ732" i="4"/>
  <c r="AQ733" i="4"/>
  <c r="AQ734" i="4"/>
  <c r="AQ735" i="4"/>
  <c r="AQ736" i="4"/>
  <c r="AQ737" i="4"/>
  <c r="AQ738" i="4"/>
  <c r="AQ739" i="4"/>
  <c r="AM648" i="4"/>
  <c r="AM649" i="4"/>
  <c r="AM650" i="4"/>
  <c r="AM651" i="4"/>
  <c r="AM652" i="4"/>
  <c r="AM653" i="4"/>
  <c r="AM654" i="4"/>
  <c r="AM655" i="4"/>
  <c r="AM656" i="4"/>
  <c r="AM657" i="4"/>
  <c r="AM658" i="4"/>
  <c r="AM659" i="4"/>
  <c r="AM660" i="4"/>
  <c r="AM661" i="4"/>
  <c r="AM662" i="4"/>
  <c r="AM663" i="4"/>
  <c r="AM664" i="4"/>
  <c r="AM665" i="4"/>
  <c r="AM666" i="4"/>
  <c r="AM667" i="4"/>
  <c r="AM668" i="4"/>
  <c r="AM669" i="4"/>
  <c r="AM670" i="4"/>
  <c r="AM671" i="4"/>
  <c r="AM672" i="4"/>
  <c r="AM673" i="4"/>
  <c r="AM674" i="4"/>
  <c r="AM675" i="4"/>
  <c r="AM676" i="4"/>
  <c r="AM677" i="4"/>
  <c r="AM678" i="4"/>
  <c r="AM679" i="4"/>
  <c r="AM680" i="4"/>
  <c r="AM681" i="4"/>
  <c r="AM682" i="4"/>
  <c r="AM683" i="4"/>
  <c r="AM684" i="4"/>
  <c r="AM685" i="4"/>
  <c r="AM686" i="4"/>
  <c r="AM687" i="4"/>
  <c r="AM688" i="4"/>
  <c r="AM689" i="4"/>
  <c r="AM690" i="4"/>
  <c r="AM691" i="4"/>
  <c r="AM692" i="4"/>
  <c r="AM693" i="4"/>
  <c r="AM694" i="4"/>
  <c r="AM695" i="4"/>
  <c r="AM696" i="4"/>
  <c r="AM697" i="4"/>
  <c r="AM698" i="4"/>
  <c r="AM699" i="4"/>
  <c r="AM700" i="4"/>
  <c r="AM701" i="4"/>
  <c r="AM702" i="4"/>
  <c r="AM703" i="4"/>
  <c r="AM704" i="4"/>
  <c r="AM705" i="4"/>
  <c r="AM706" i="4"/>
  <c r="AM707" i="4"/>
  <c r="AM708" i="4"/>
  <c r="AM709" i="4"/>
  <c r="AM710" i="4"/>
  <c r="AM711" i="4"/>
  <c r="AM712" i="4"/>
  <c r="AM713" i="4"/>
  <c r="AM714" i="4"/>
  <c r="AM715" i="4"/>
  <c r="AM716" i="4"/>
  <c r="AM717" i="4"/>
  <c r="AM718" i="4"/>
  <c r="AM719" i="4"/>
  <c r="AM720" i="4"/>
  <c r="AM721" i="4"/>
  <c r="AM722" i="4"/>
  <c r="AM723" i="4"/>
  <c r="AM724" i="4"/>
  <c r="AM725" i="4"/>
  <c r="AM726" i="4"/>
  <c r="AM727" i="4"/>
  <c r="AM728" i="4"/>
  <c r="AM729" i="4"/>
  <c r="AM730" i="4"/>
  <c r="AM731" i="4"/>
  <c r="AM732" i="4"/>
  <c r="AM733" i="4"/>
  <c r="AM734" i="4"/>
  <c r="AM735" i="4"/>
  <c r="AM736" i="4"/>
  <c r="AM737" i="4"/>
  <c r="AM738" i="4"/>
  <c r="AM739" i="4"/>
  <c r="AM740" i="4"/>
  <c r="AM741" i="4"/>
  <c r="AM742" i="4"/>
  <c r="AM743" i="4"/>
  <c r="AM744" i="4"/>
  <c r="AM745" i="4"/>
  <c r="AM746" i="4"/>
  <c r="AM747" i="4"/>
  <c r="AM748" i="4"/>
  <c r="AM749" i="4"/>
  <c r="AI649" i="4"/>
  <c r="AI650" i="4"/>
  <c r="AI651" i="4"/>
  <c r="AI652" i="4"/>
  <c r="AI653" i="4"/>
  <c r="AI654" i="4"/>
  <c r="AI655" i="4"/>
  <c r="AI656" i="4"/>
  <c r="AI657" i="4"/>
  <c r="AI658" i="4"/>
  <c r="AI659" i="4"/>
  <c r="AI660" i="4"/>
  <c r="AI661" i="4"/>
  <c r="AI662" i="4"/>
  <c r="AI663" i="4"/>
  <c r="AI664" i="4"/>
  <c r="AI665" i="4"/>
  <c r="AI666" i="4"/>
  <c r="AI667" i="4"/>
  <c r="AI668" i="4"/>
  <c r="AI669" i="4"/>
  <c r="AI670" i="4"/>
  <c r="AI671" i="4"/>
  <c r="AI672" i="4"/>
  <c r="AI673" i="4"/>
  <c r="AI674" i="4"/>
  <c r="AI675" i="4"/>
  <c r="AI676" i="4"/>
  <c r="AI677" i="4"/>
  <c r="AI678" i="4"/>
  <c r="AI679" i="4"/>
  <c r="AI680" i="4"/>
  <c r="AI681" i="4"/>
  <c r="AI682" i="4"/>
  <c r="AI683" i="4"/>
  <c r="AI684" i="4"/>
  <c r="AI685" i="4"/>
  <c r="AI686" i="4"/>
  <c r="AI687" i="4"/>
  <c r="AI688" i="4"/>
  <c r="AI689" i="4"/>
  <c r="AI690" i="4"/>
  <c r="AI691" i="4"/>
  <c r="AI692" i="4"/>
  <c r="AI693" i="4"/>
  <c r="AI694" i="4"/>
  <c r="AI695" i="4"/>
  <c r="AI696" i="4"/>
  <c r="AI697" i="4"/>
  <c r="AI698" i="4"/>
  <c r="AI699" i="4"/>
  <c r="AI700" i="4"/>
  <c r="AI701" i="4"/>
  <c r="AI702" i="4"/>
  <c r="AI703" i="4"/>
  <c r="AI704" i="4"/>
  <c r="AI705" i="4"/>
  <c r="AI706" i="4"/>
  <c r="AI707" i="4"/>
  <c r="AI708" i="4"/>
  <c r="AI709" i="4"/>
  <c r="AI710" i="4"/>
  <c r="AI711" i="4"/>
  <c r="AI712" i="4"/>
  <c r="AI713" i="4"/>
  <c r="AI714" i="4"/>
  <c r="AI715" i="4"/>
  <c r="AI716" i="4"/>
  <c r="AI717" i="4"/>
  <c r="AI718" i="4"/>
  <c r="AI719" i="4"/>
  <c r="AI720" i="4"/>
  <c r="AI721" i="4"/>
  <c r="AI722" i="4"/>
  <c r="AI723" i="4"/>
  <c r="AI724" i="4"/>
  <c r="AI725" i="4"/>
  <c r="AI726" i="4"/>
  <c r="AI727" i="4"/>
  <c r="AI728" i="4"/>
  <c r="AI729" i="4"/>
  <c r="AI730" i="4"/>
  <c r="AI731" i="4"/>
  <c r="AI732" i="4"/>
  <c r="AI733" i="4"/>
  <c r="AI734" i="4"/>
  <c r="AI735" i="4"/>
  <c r="AI736" i="4"/>
  <c r="AI737" i="4"/>
  <c r="AI738" i="4"/>
  <c r="AI739" i="4"/>
  <c r="AI740" i="4"/>
  <c r="AI741" i="4"/>
  <c r="AI742" i="4"/>
  <c r="AI743" i="4"/>
  <c r="AI744" i="4"/>
  <c r="AI745" i="4"/>
  <c r="AI746" i="4"/>
  <c r="AI747" i="4"/>
  <c r="AI748" i="4"/>
  <c r="AI749" i="4"/>
  <c r="AI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87" i="4"/>
  <c r="AG688" i="4"/>
  <c r="AG689" i="4"/>
  <c r="AG690" i="4"/>
  <c r="AG691" i="4"/>
  <c r="AG692" i="4"/>
  <c r="AG693" i="4"/>
  <c r="AG694" i="4"/>
  <c r="AG695" i="4"/>
  <c r="AG696" i="4"/>
  <c r="AG697" i="4"/>
  <c r="AG698" i="4"/>
  <c r="AG699" i="4"/>
  <c r="AG700" i="4"/>
  <c r="AG701" i="4"/>
  <c r="AG702" i="4"/>
  <c r="AG703" i="4"/>
  <c r="AG704" i="4"/>
  <c r="AG705" i="4"/>
  <c r="AG706" i="4"/>
  <c r="AG707" i="4"/>
  <c r="AG708" i="4"/>
  <c r="AG709" i="4"/>
  <c r="AG710" i="4"/>
  <c r="AG711" i="4"/>
  <c r="AG712" i="4"/>
  <c r="AG713" i="4"/>
  <c r="AG714" i="4"/>
  <c r="AG715" i="4"/>
  <c r="AG716" i="4"/>
  <c r="AG717" i="4"/>
  <c r="AG718" i="4"/>
  <c r="AG719" i="4"/>
  <c r="AG720" i="4"/>
  <c r="AG721" i="4"/>
  <c r="AG722" i="4"/>
  <c r="AG723" i="4"/>
  <c r="AG724" i="4"/>
  <c r="AG725" i="4"/>
  <c r="AG726" i="4"/>
  <c r="AG727" i="4"/>
  <c r="AG728" i="4"/>
  <c r="AG729" i="4"/>
  <c r="AG730" i="4"/>
  <c r="AG731" i="4"/>
  <c r="AG732" i="4"/>
  <c r="AG733" i="4"/>
  <c r="AG734" i="4"/>
  <c r="AG735" i="4"/>
  <c r="AG736" i="4"/>
  <c r="AG737" i="4"/>
  <c r="AG738" i="4"/>
  <c r="AG739" i="4"/>
  <c r="AG740" i="4"/>
  <c r="AG741" i="4"/>
  <c r="AG742" i="4"/>
  <c r="AG743" i="4"/>
  <c r="AG744" i="4"/>
  <c r="AG745" i="4"/>
  <c r="AG746" i="4"/>
  <c r="AG747" i="4"/>
  <c r="AG648" i="4"/>
  <c r="AD648" i="4"/>
  <c r="AD649" i="4"/>
  <c r="AD650" i="4"/>
  <c r="AD651" i="4"/>
  <c r="AD652" i="4"/>
  <c r="AD653" i="4"/>
  <c r="AD654" i="4"/>
  <c r="AD655" i="4"/>
  <c r="AD656" i="4"/>
  <c r="CD656" i="4" s="1"/>
  <c r="CC656" i="4" s="1"/>
  <c r="AD657" i="4"/>
  <c r="CD657" i="4" s="1"/>
  <c r="CC657" i="4" s="1"/>
  <c r="AD658" i="4"/>
  <c r="CD658" i="4" s="1"/>
  <c r="CC658" i="4" s="1"/>
  <c r="AD659" i="4"/>
  <c r="CD659" i="4" s="1"/>
  <c r="CC659" i="4" s="1"/>
  <c r="AD660" i="4"/>
  <c r="CD660" i="4" s="1"/>
  <c r="CC660" i="4" s="1"/>
  <c r="AD661" i="4"/>
  <c r="CD661" i="4" s="1"/>
  <c r="CC661" i="4" s="1"/>
  <c r="AD662" i="4"/>
  <c r="CD662" i="4" s="1"/>
  <c r="CC662" i="4" s="1"/>
  <c r="AD663" i="4"/>
  <c r="CD663" i="4" s="1"/>
  <c r="CC663" i="4" s="1"/>
  <c r="AD664" i="4"/>
  <c r="CD664" i="4" s="1"/>
  <c r="CC664" i="4" s="1"/>
  <c r="AD665" i="4"/>
  <c r="CD665" i="4" s="1"/>
  <c r="CC665" i="4" s="1"/>
  <c r="AD666" i="4"/>
  <c r="CD666" i="4" s="1"/>
  <c r="CC666" i="4" s="1"/>
  <c r="AD667" i="4"/>
  <c r="CD667" i="4" s="1"/>
  <c r="CC667" i="4" s="1"/>
  <c r="AD668" i="4"/>
  <c r="AD669" i="4"/>
  <c r="AD670" i="4"/>
  <c r="AD671" i="4"/>
  <c r="AD672" i="4"/>
  <c r="AD673" i="4"/>
  <c r="AD674" i="4"/>
  <c r="AD675" i="4"/>
  <c r="AD676" i="4"/>
  <c r="CD676" i="4" s="1"/>
  <c r="CC676" i="4" s="1"/>
  <c r="AD677" i="4"/>
  <c r="CD677" i="4" s="1"/>
  <c r="CC677" i="4" s="1"/>
  <c r="AD678" i="4"/>
  <c r="CD678" i="4" s="1"/>
  <c r="CC678" i="4" s="1"/>
  <c r="AD679" i="4"/>
  <c r="CD679" i="4" s="1"/>
  <c r="CC679" i="4" s="1"/>
  <c r="AD680" i="4"/>
  <c r="CD680" i="4" s="1"/>
  <c r="CC680" i="4" s="1"/>
  <c r="AD681" i="4"/>
  <c r="CD681" i="4" s="1"/>
  <c r="CC681" i="4" s="1"/>
  <c r="AD682" i="4"/>
  <c r="CD682" i="4" s="1"/>
  <c r="CC682" i="4" s="1"/>
  <c r="AD683" i="4"/>
  <c r="CD683" i="4" s="1"/>
  <c r="CC683" i="4" s="1"/>
  <c r="AD684" i="4"/>
  <c r="CD684" i="4" s="1"/>
  <c r="CC684" i="4" s="1"/>
  <c r="AD685" i="4"/>
  <c r="CD685" i="4" s="1"/>
  <c r="CC685" i="4" s="1"/>
  <c r="AD686" i="4"/>
  <c r="CD686" i="4" s="1"/>
  <c r="CC686" i="4" s="1"/>
  <c r="AD687" i="4"/>
  <c r="CD687" i="4" s="1"/>
  <c r="CC687" i="4" s="1"/>
  <c r="AD688" i="4"/>
  <c r="AD689" i="4"/>
  <c r="AD690" i="4"/>
  <c r="AD691" i="4"/>
  <c r="AD692" i="4"/>
  <c r="AD693" i="4"/>
  <c r="AD694" i="4"/>
  <c r="AD695" i="4"/>
  <c r="AD696" i="4"/>
  <c r="CD696" i="4" s="1"/>
  <c r="CC696" i="4" s="1"/>
  <c r="AD697" i="4"/>
  <c r="CD697" i="4" s="1"/>
  <c r="CC697" i="4" s="1"/>
  <c r="AD698" i="4"/>
  <c r="CD698" i="4" s="1"/>
  <c r="CC698" i="4" s="1"/>
  <c r="AD699" i="4"/>
  <c r="CD699" i="4" s="1"/>
  <c r="CC699" i="4" s="1"/>
  <c r="AD700" i="4"/>
  <c r="CD700" i="4" s="1"/>
  <c r="CC700" i="4" s="1"/>
  <c r="AD701" i="4"/>
  <c r="CD701" i="4" s="1"/>
  <c r="CC701" i="4" s="1"/>
  <c r="AD702" i="4"/>
  <c r="CD702" i="4" s="1"/>
  <c r="CC702" i="4" s="1"/>
  <c r="AD703" i="4"/>
  <c r="CD703" i="4" s="1"/>
  <c r="CC703" i="4" s="1"/>
  <c r="AD704" i="4"/>
  <c r="CD704" i="4" s="1"/>
  <c r="CC704" i="4" s="1"/>
  <c r="AD705" i="4"/>
  <c r="CD705" i="4" s="1"/>
  <c r="CC705" i="4" s="1"/>
  <c r="AD706" i="4"/>
  <c r="CD706" i="4" s="1"/>
  <c r="CC706" i="4" s="1"/>
  <c r="AD707" i="4"/>
  <c r="CD707" i="4" s="1"/>
  <c r="CC707" i="4" s="1"/>
  <c r="AD708" i="4"/>
  <c r="AD709" i="4"/>
  <c r="AD710" i="4"/>
  <c r="AD711" i="4"/>
  <c r="AD712" i="4"/>
  <c r="AD713" i="4"/>
  <c r="AD714" i="4"/>
  <c r="AD715" i="4"/>
  <c r="AD716" i="4"/>
  <c r="CD716" i="4" s="1"/>
  <c r="CC716" i="4" s="1"/>
  <c r="AD717" i="4"/>
  <c r="CD717" i="4" s="1"/>
  <c r="CC717" i="4" s="1"/>
  <c r="AD718" i="4"/>
  <c r="CD718" i="4" s="1"/>
  <c r="CC718" i="4" s="1"/>
  <c r="AD719" i="4"/>
  <c r="CD719" i="4" s="1"/>
  <c r="CC719" i="4" s="1"/>
  <c r="AD720" i="4"/>
  <c r="CD720" i="4" s="1"/>
  <c r="CC720" i="4" s="1"/>
  <c r="AD721" i="4"/>
  <c r="CD721" i="4" s="1"/>
  <c r="CC721" i="4" s="1"/>
  <c r="AD722" i="4"/>
  <c r="CD722" i="4" s="1"/>
  <c r="CC722" i="4" s="1"/>
  <c r="AD723" i="4"/>
  <c r="CD723" i="4" s="1"/>
  <c r="CC723" i="4" s="1"/>
  <c r="AD724" i="4"/>
  <c r="CD724" i="4" s="1"/>
  <c r="CC724" i="4" s="1"/>
  <c r="AD725" i="4"/>
  <c r="CD725" i="4" s="1"/>
  <c r="CC725" i="4" s="1"/>
  <c r="AD726" i="4"/>
  <c r="CD726" i="4" s="1"/>
  <c r="CC726" i="4" s="1"/>
  <c r="AD727" i="4"/>
  <c r="CD727" i="4" s="1"/>
  <c r="CC727" i="4" s="1"/>
  <c r="AD728" i="4"/>
  <c r="AD729" i="4"/>
  <c r="AD730" i="4"/>
  <c r="AD731" i="4"/>
  <c r="AD732" i="4"/>
  <c r="AD733" i="4"/>
  <c r="AD734" i="4"/>
  <c r="AD735" i="4"/>
  <c r="AD736" i="4"/>
  <c r="CD736" i="4" s="1"/>
  <c r="CC736" i="4" s="1"/>
  <c r="AD737" i="4"/>
  <c r="CD737" i="4" s="1"/>
  <c r="CC737" i="4" s="1"/>
  <c r="AD738" i="4"/>
  <c r="CD738" i="4" s="1"/>
  <c r="CC738" i="4" s="1"/>
  <c r="AD739" i="4"/>
  <c r="CD739" i="4" s="1"/>
  <c r="CC739" i="4" s="1"/>
  <c r="AD740" i="4"/>
  <c r="CD740" i="4" s="1"/>
  <c r="CC740" i="4" s="1"/>
  <c r="AD741" i="4"/>
  <c r="CD741" i="4" s="1"/>
  <c r="CC741" i="4" s="1"/>
  <c r="AD742" i="4"/>
  <c r="CD742" i="4" s="1"/>
  <c r="CC742" i="4" s="1"/>
  <c r="AD743" i="4"/>
  <c r="CD743" i="4" s="1"/>
  <c r="CC743" i="4" s="1"/>
  <c r="AD744" i="4"/>
  <c r="CD744" i="4" s="1"/>
  <c r="CC744" i="4" s="1"/>
  <c r="AD745" i="4"/>
  <c r="CD745" i="4" s="1"/>
  <c r="CC745" i="4" s="1"/>
  <c r="AD746" i="4"/>
  <c r="CD746" i="4" s="1"/>
  <c r="CC746" i="4" s="1"/>
  <c r="AD747" i="4"/>
  <c r="CD747" i="4" s="1"/>
  <c r="CC747" i="4" s="1"/>
  <c r="AD748" i="4"/>
  <c r="AD749" i="4"/>
  <c r="AC648" i="4"/>
  <c r="AC649" i="4"/>
  <c r="AC650" i="4"/>
  <c r="AC651" i="4"/>
  <c r="AC652" i="4"/>
  <c r="AC653" i="4"/>
  <c r="AC654" i="4"/>
  <c r="AC655" i="4"/>
  <c r="AC656" i="4"/>
  <c r="AC657" i="4"/>
  <c r="BP657" i="4" s="1"/>
  <c r="BO657" i="4" s="1"/>
  <c r="AC658" i="4"/>
  <c r="AC659" i="4"/>
  <c r="AC660" i="4"/>
  <c r="AC661" i="4"/>
  <c r="AC662" i="4"/>
  <c r="AC663" i="4"/>
  <c r="AC664" i="4"/>
  <c r="AC665" i="4"/>
  <c r="AC666" i="4"/>
  <c r="AC667" i="4"/>
  <c r="AC668" i="4"/>
  <c r="BP668" i="4" s="1"/>
  <c r="BO668" i="4" s="1"/>
  <c r="AC669" i="4"/>
  <c r="AC670" i="4"/>
  <c r="AC671" i="4"/>
  <c r="AC672" i="4"/>
  <c r="AC673" i="4"/>
  <c r="AC674" i="4"/>
  <c r="AC675" i="4"/>
  <c r="AC676" i="4"/>
  <c r="AC677" i="4"/>
  <c r="BP677" i="4" s="1"/>
  <c r="BO677" i="4" s="1"/>
  <c r="AC678" i="4"/>
  <c r="AC679" i="4"/>
  <c r="AC680" i="4"/>
  <c r="AC681" i="4"/>
  <c r="AC682" i="4"/>
  <c r="AC683" i="4"/>
  <c r="AC684" i="4"/>
  <c r="AC685" i="4"/>
  <c r="AC686" i="4"/>
  <c r="AC687" i="4"/>
  <c r="AC688" i="4"/>
  <c r="BP688" i="4" s="1"/>
  <c r="BO688" i="4" s="1"/>
  <c r="AC689" i="4"/>
  <c r="AC690" i="4"/>
  <c r="AC691" i="4"/>
  <c r="AC692" i="4"/>
  <c r="AC693" i="4"/>
  <c r="AC694" i="4"/>
  <c r="AC695" i="4"/>
  <c r="AC696" i="4"/>
  <c r="AC697" i="4"/>
  <c r="BP697" i="4" s="1"/>
  <c r="BO697" i="4" s="1"/>
  <c r="AC698" i="4"/>
  <c r="AC699" i="4"/>
  <c r="AC700" i="4"/>
  <c r="AC701" i="4"/>
  <c r="AC702" i="4"/>
  <c r="AC703" i="4"/>
  <c r="AC704" i="4"/>
  <c r="AC705" i="4"/>
  <c r="AC706" i="4"/>
  <c r="AC707" i="4"/>
  <c r="AC708" i="4"/>
  <c r="BP708" i="4" s="1"/>
  <c r="BO708" i="4" s="1"/>
  <c r="AC709" i="4"/>
  <c r="AC710" i="4"/>
  <c r="AC711" i="4"/>
  <c r="AC712" i="4"/>
  <c r="AC713" i="4"/>
  <c r="AC714" i="4"/>
  <c r="AC715" i="4"/>
  <c r="AC716" i="4"/>
  <c r="AC717" i="4"/>
  <c r="BP717" i="4" s="1"/>
  <c r="BO717" i="4" s="1"/>
  <c r="AC718" i="4"/>
  <c r="AC719" i="4"/>
  <c r="AC720" i="4"/>
  <c r="AC721" i="4"/>
  <c r="AC722" i="4"/>
  <c r="AC723" i="4"/>
  <c r="AC724" i="4"/>
  <c r="AC725" i="4"/>
  <c r="AC726" i="4"/>
  <c r="AC727" i="4"/>
  <c r="AC728" i="4"/>
  <c r="BP728" i="4" s="1"/>
  <c r="BO728" i="4" s="1"/>
  <c r="AC729" i="4"/>
  <c r="AC730" i="4"/>
  <c r="AC731" i="4"/>
  <c r="AC732" i="4"/>
  <c r="AC733" i="4"/>
  <c r="AC734" i="4"/>
  <c r="AC735" i="4"/>
  <c r="AC736" i="4"/>
  <c r="AC737" i="4"/>
  <c r="BP737" i="4" s="1"/>
  <c r="BO737" i="4" s="1"/>
  <c r="AC738" i="4"/>
  <c r="AC739" i="4"/>
  <c r="AC740" i="4"/>
  <c r="AC741" i="4"/>
  <c r="AC742" i="4"/>
  <c r="AC743" i="4"/>
  <c r="AC744" i="4"/>
  <c r="AC745" i="4"/>
  <c r="AC746" i="4"/>
  <c r="AC747" i="4"/>
  <c r="AC748" i="4"/>
  <c r="BP748" i="4" s="1"/>
  <c r="BO748" i="4" s="1"/>
  <c r="AC749" i="4"/>
  <c r="AB648" i="4"/>
  <c r="AB649" i="4"/>
  <c r="AB650" i="4"/>
  <c r="AB651" i="4"/>
  <c r="AB652" i="4"/>
  <c r="AB653" i="4"/>
  <c r="AB654" i="4"/>
  <c r="AB655" i="4"/>
  <c r="AB656" i="4"/>
  <c r="AB657" i="4"/>
  <c r="AB658" i="4"/>
  <c r="AB659" i="4"/>
  <c r="CF659" i="4" s="1"/>
  <c r="CE659" i="4" s="1"/>
  <c r="AB660" i="4"/>
  <c r="AB661" i="4"/>
  <c r="AB662" i="4"/>
  <c r="CF662" i="4" s="1"/>
  <c r="CE662" i="4" s="1"/>
  <c r="AB663" i="4"/>
  <c r="CF663" i="4" s="1"/>
  <c r="CE663" i="4" s="1"/>
  <c r="AB664" i="4"/>
  <c r="CF664" i="4" s="1"/>
  <c r="CE664" i="4" s="1"/>
  <c r="AB665" i="4"/>
  <c r="CF665" i="4" s="1"/>
  <c r="CE665" i="4" s="1"/>
  <c r="AB666" i="4"/>
  <c r="CF666" i="4" s="1"/>
  <c r="CE666" i="4" s="1"/>
  <c r="AB667" i="4"/>
  <c r="CF667" i="4" s="1"/>
  <c r="CE667" i="4" s="1"/>
  <c r="AB668" i="4"/>
  <c r="AB669" i="4"/>
  <c r="AB670" i="4"/>
  <c r="AB671" i="4"/>
  <c r="AB672" i="4"/>
  <c r="AB673" i="4"/>
  <c r="AB674" i="4"/>
  <c r="AB675" i="4"/>
  <c r="AB676" i="4"/>
  <c r="AB677" i="4"/>
  <c r="AB678" i="4"/>
  <c r="AB679" i="4"/>
  <c r="AB680" i="4"/>
  <c r="AB681" i="4"/>
  <c r="CF681" i="4" s="1"/>
  <c r="CE681" i="4" s="1"/>
  <c r="AB682" i="4"/>
  <c r="CF682" i="4" s="1"/>
  <c r="CE682" i="4" s="1"/>
  <c r="AB683" i="4"/>
  <c r="CF683" i="4" s="1"/>
  <c r="CE683" i="4" s="1"/>
  <c r="AB684" i="4"/>
  <c r="CF684" i="4" s="1"/>
  <c r="CE684" i="4" s="1"/>
  <c r="AB685" i="4"/>
  <c r="CF685" i="4" s="1"/>
  <c r="CE685" i="4" s="1"/>
  <c r="AB686" i="4"/>
  <c r="CF686" i="4" s="1"/>
  <c r="CE686" i="4" s="1"/>
  <c r="AB687" i="4"/>
  <c r="CF687" i="4" s="1"/>
  <c r="CE687" i="4" s="1"/>
  <c r="AB688" i="4"/>
  <c r="AB689" i="4"/>
  <c r="AB690" i="4"/>
  <c r="AB691" i="4"/>
  <c r="AB692" i="4"/>
  <c r="AB693" i="4"/>
  <c r="AB694" i="4"/>
  <c r="AB695" i="4"/>
  <c r="AB696" i="4"/>
  <c r="AB697" i="4"/>
  <c r="AB698" i="4"/>
  <c r="AB699" i="4"/>
  <c r="AB700" i="4"/>
  <c r="AB701" i="4"/>
  <c r="CF701" i="4" s="1"/>
  <c r="CE701" i="4" s="1"/>
  <c r="AB702" i="4"/>
  <c r="CF702" i="4" s="1"/>
  <c r="CE702" i="4" s="1"/>
  <c r="AB703" i="4"/>
  <c r="CF703" i="4" s="1"/>
  <c r="CE703" i="4" s="1"/>
  <c r="AB704" i="4"/>
  <c r="CF704" i="4" s="1"/>
  <c r="CE704" i="4" s="1"/>
  <c r="AB705" i="4"/>
  <c r="CF705" i="4" s="1"/>
  <c r="CE705" i="4" s="1"/>
  <c r="AB706" i="4"/>
  <c r="CF706" i="4" s="1"/>
  <c r="CE706" i="4" s="1"/>
  <c r="AB707" i="4"/>
  <c r="CF707" i="4" s="1"/>
  <c r="CE707" i="4" s="1"/>
  <c r="AB708" i="4"/>
  <c r="AB709" i="4"/>
  <c r="AB710" i="4"/>
  <c r="AB711" i="4"/>
  <c r="AB712" i="4"/>
  <c r="AB713" i="4"/>
  <c r="AB714" i="4"/>
  <c r="AB715" i="4"/>
  <c r="AB716" i="4"/>
  <c r="AB717" i="4"/>
  <c r="AB718" i="4"/>
  <c r="AB719" i="4"/>
  <c r="AB720" i="4"/>
  <c r="AB721" i="4"/>
  <c r="CF721" i="4" s="1"/>
  <c r="CE721" i="4" s="1"/>
  <c r="AB722" i="4"/>
  <c r="CF722" i="4" s="1"/>
  <c r="CE722" i="4" s="1"/>
  <c r="AB723" i="4"/>
  <c r="CF723" i="4" s="1"/>
  <c r="CE723" i="4" s="1"/>
  <c r="AB724" i="4"/>
  <c r="CF724" i="4" s="1"/>
  <c r="CE724" i="4" s="1"/>
  <c r="AB725" i="4"/>
  <c r="CF725" i="4" s="1"/>
  <c r="CE725" i="4" s="1"/>
  <c r="AB726" i="4"/>
  <c r="CF726" i="4" s="1"/>
  <c r="CE726" i="4" s="1"/>
  <c r="AB727" i="4"/>
  <c r="CF727" i="4" s="1"/>
  <c r="CE727" i="4" s="1"/>
  <c r="AB728" i="4"/>
  <c r="AB729" i="4"/>
  <c r="AB730" i="4"/>
  <c r="AB731" i="4"/>
  <c r="AB732" i="4"/>
  <c r="AB733" i="4"/>
  <c r="AB734" i="4"/>
  <c r="AB735" i="4"/>
  <c r="AB736" i="4"/>
  <c r="AB737" i="4"/>
  <c r="AB738" i="4"/>
  <c r="AB739" i="4"/>
  <c r="AB740" i="4"/>
  <c r="AB741" i="4"/>
  <c r="CF741" i="4" s="1"/>
  <c r="CE741" i="4" s="1"/>
  <c r="AB742" i="4"/>
  <c r="CF742" i="4" s="1"/>
  <c r="CE742" i="4" s="1"/>
  <c r="AB743" i="4"/>
  <c r="CF743" i="4" s="1"/>
  <c r="CE743" i="4" s="1"/>
  <c r="AB744" i="4"/>
  <c r="CF744" i="4" s="1"/>
  <c r="CE744" i="4" s="1"/>
  <c r="AB745" i="4"/>
  <c r="CF745" i="4" s="1"/>
  <c r="CE745" i="4" s="1"/>
  <c r="AB746" i="4"/>
  <c r="CF746" i="4" s="1"/>
  <c r="CE746" i="4" s="1"/>
  <c r="AB747" i="4"/>
  <c r="CF747" i="4" s="1"/>
  <c r="CE747" i="4" s="1"/>
  <c r="AB748" i="4"/>
  <c r="AB749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B650" i="4"/>
  <c r="G650" i="4"/>
  <c r="B651" i="4"/>
  <c r="G651" i="4"/>
  <c r="B652" i="4"/>
  <c r="G652" i="4"/>
  <c r="B653" i="4"/>
  <c r="G653" i="4"/>
  <c r="B654" i="4"/>
  <c r="G654" i="4"/>
  <c r="B655" i="4"/>
  <c r="G655" i="4"/>
  <c r="B656" i="4"/>
  <c r="G656" i="4"/>
  <c r="B657" i="4"/>
  <c r="G657" i="4"/>
  <c r="B658" i="4"/>
  <c r="G658" i="4"/>
  <c r="B659" i="4"/>
  <c r="G659" i="4"/>
  <c r="B660" i="4"/>
  <c r="G660" i="4"/>
  <c r="B661" i="4"/>
  <c r="G661" i="4"/>
  <c r="B662" i="4"/>
  <c r="G662" i="4"/>
  <c r="G649" i="4"/>
  <c r="B649" i="4"/>
  <c r="S662" i="4"/>
  <c r="S661" i="4"/>
  <c r="CF661" i="4" s="1"/>
  <c r="CE661" i="4" s="1"/>
  <c r="S660" i="4"/>
  <c r="CF660" i="4" s="1"/>
  <c r="CE660" i="4" s="1"/>
  <c r="S659" i="4"/>
  <c r="S658" i="4"/>
  <c r="S657" i="4"/>
  <c r="S656" i="4"/>
  <c r="S655" i="4"/>
  <c r="CJ655" i="4" s="1"/>
  <c r="CI655" i="4" s="1"/>
  <c r="S654" i="4"/>
  <c r="S653" i="4"/>
  <c r="S652" i="4"/>
  <c r="S651" i="4"/>
  <c r="S650" i="4"/>
  <c r="S649" i="4"/>
  <c r="S648" i="4"/>
  <c r="CF648" i="4" s="1"/>
  <c r="CE648" i="4" s="1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48" i="4"/>
  <c r="B648" i="4"/>
  <c r="CJ175" i="4"/>
  <c r="CJ176" i="4"/>
  <c r="CJ177" i="4"/>
  <c r="CJ178" i="4"/>
  <c r="CJ179" i="4"/>
  <c r="CJ180" i="4"/>
  <c r="CI180" i="4" s="1"/>
  <c r="CJ181" i="4"/>
  <c r="CI181" i="4" s="1"/>
  <c r="CJ182" i="4"/>
  <c r="CI182" i="4" s="1"/>
  <c r="CJ183" i="4"/>
  <c r="CI183" i="4" s="1"/>
  <c r="CJ184" i="4"/>
  <c r="CI184" i="4" s="1"/>
  <c r="CJ185" i="4"/>
  <c r="CI185" i="4" s="1"/>
  <c r="CJ186" i="4"/>
  <c r="CI186" i="4" s="1"/>
  <c r="CJ187" i="4"/>
  <c r="CI187" i="4" s="1"/>
  <c r="CJ188" i="4"/>
  <c r="CI188" i="4" s="1"/>
  <c r="CJ189" i="4"/>
  <c r="CI189" i="4" s="1"/>
  <c r="CJ190" i="4"/>
  <c r="CI190" i="4" s="1"/>
  <c r="CJ191" i="4"/>
  <c r="CI191" i="4" s="1"/>
  <c r="CJ192" i="4"/>
  <c r="CI192" i="4" s="1"/>
  <c r="CJ193" i="4"/>
  <c r="CI193" i="4" s="1"/>
  <c r="CJ194" i="4"/>
  <c r="CI194" i="4" s="1"/>
  <c r="CJ195" i="4"/>
  <c r="CJ196" i="4"/>
  <c r="CJ197" i="4"/>
  <c r="CJ198" i="4"/>
  <c r="CJ199" i="4"/>
  <c r="CJ200" i="4"/>
  <c r="CI200" i="4" s="1"/>
  <c r="CJ201" i="4"/>
  <c r="CI201" i="4" s="1"/>
  <c r="CJ202" i="4"/>
  <c r="CI202" i="4" s="1"/>
  <c r="CJ203" i="4"/>
  <c r="CI203" i="4" s="1"/>
  <c r="CJ204" i="4"/>
  <c r="CI204" i="4" s="1"/>
  <c r="CJ205" i="4"/>
  <c r="CI205" i="4" s="1"/>
  <c r="CJ206" i="4"/>
  <c r="CI206" i="4" s="1"/>
  <c r="CJ207" i="4"/>
  <c r="CJ208" i="4"/>
  <c r="CJ209" i="4"/>
  <c r="CJ210" i="4"/>
  <c r="CJ211" i="4"/>
  <c r="CJ212" i="4"/>
  <c r="CJ213" i="4"/>
  <c r="CJ214" i="4"/>
  <c r="CI214" i="4" s="1"/>
  <c r="CJ215" i="4"/>
  <c r="CJ216" i="4"/>
  <c r="CJ217" i="4"/>
  <c r="CJ218" i="4"/>
  <c r="CJ219" i="4"/>
  <c r="CJ220" i="4"/>
  <c r="CI220" i="4" s="1"/>
  <c r="CJ221" i="4"/>
  <c r="CI221" i="4" s="1"/>
  <c r="CJ222" i="4"/>
  <c r="CI222" i="4" s="1"/>
  <c r="CJ223" i="4"/>
  <c r="CI223" i="4" s="1"/>
  <c r="CJ224" i="4"/>
  <c r="CI224" i="4" s="1"/>
  <c r="CJ225" i="4"/>
  <c r="CI225" i="4" s="1"/>
  <c r="CJ226" i="4"/>
  <c r="CI226" i="4" s="1"/>
  <c r="CJ227" i="4"/>
  <c r="CJ228" i="4"/>
  <c r="CJ229" i="4"/>
  <c r="CI229" i="4" s="1"/>
  <c r="CJ230" i="4"/>
  <c r="CI230" i="4" s="1"/>
  <c r="CJ231" i="4"/>
  <c r="CI231" i="4" s="1"/>
  <c r="CJ232" i="4"/>
  <c r="CI232" i="4" s="1"/>
  <c r="CJ233" i="4"/>
  <c r="CI233" i="4" s="1"/>
  <c r="CJ234" i="4"/>
  <c r="CI234" i="4" s="1"/>
  <c r="CJ235" i="4"/>
  <c r="CJ236" i="4"/>
  <c r="CJ237" i="4"/>
  <c r="CJ238" i="4"/>
  <c r="CJ239" i="4"/>
  <c r="CJ240" i="4"/>
  <c r="CI240" i="4" s="1"/>
  <c r="CJ241" i="4"/>
  <c r="CI241" i="4" s="1"/>
  <c r="CJ242" i="4"/>
  <c r="CI242" i="4" s="1"/>
  <c r="CJ243" i="4"/>
  <c r="CI243" i="4" s="1"/>
  <c r="CJ244" i="4"/>
  <c r="CI244" i="4" s="1"/>
  <c r="CJ245" i="4"/>
  <c r="CI245" i="4" s="1"/>
  <c r="CJ246" i="4"/>
  <c r="CI246" i="4" s="1"/>
  <c r="CJ247" i="4"/>
  <c r="CJ248" i="4"/>
  <c r="CI248" i="4" s="1"/>
  <c r="CJ249" i="4"/>
  <c r="CI249" i="4" s="1"/>
  <c r="CJ250" i="4"/>
  <c r="CI250" i="4" s="1"/>
  <c r="CJ251" i="4"/>
  <c r="CI251" i="4" s="1"/>
  <c r="CJ252" i="4"/>
  <c r="CI252" i="4" s="1"/>
  <c r="CJ253" i="4"/>
  <c r="CI253" i="4" s="1"/>
  <c r="CJ254" i="4"/>
  <c r="CI254" i="4" s="1"/>
  <c r="CJ255" i="4"/>
  <c r="CJ256" i="4"/>
  <c r="CJ257" i="4"/>
  <c r="CJ258" i="4"/>
  <c r="CJ259" i="4"/>
  <c r="CJ260" i="4"/>
  <c r="CI260" i="4" s="1"/>
  <c r="CJ261" i="4"/>
  <c r="CI261" i="4" s="1"/>
  <c r="CJ262" i="4"/>
  <c r="CI262" i="4" s="1"/>
  <c r="CJ263" i="4"/>
  <c r="CI263" i="4" s="1"/>
  <c r="CJ264" i="4"/>
  <c r="CI264" i="4" s="1"/>
  <c r="CJ265" i="4"/>
  <c r="CI265" i="4" s="1"/>
  <c r="CJ266" i="4"/>
  <c r="CI266" i="4" s="1"/>
  <c r="CJ267" i="4"/>
  <c r="CJ268" i="4"/>
  <c r="CJ269" i="4"/>
  <c r="CJ270" i="4"/>
  <c r="CJ271" i="4"/>
  <c r="CJ272" i="4"/>
  <c r="CJ273" i="4"/>
  <c r="CJ274" i="4"/>
  <c r="CJ275" i="4"/>
  <c r="CJ276" i="4"/>
  <c r="CJ277" i="4"/>
  <c r="CJ278" i="4"/>
  <c r="CJ279" i="4"/>
  <c r="CJ280" i="4"/>
  <c r="CI280" i="4" s="1"/>
  <c r="CJ281" i="4"/>
  <c r="CI281" i="4" s="1"/>
  <c r="CJ282" i="4"/>
  <c r="CI282" i="4" s="1"/>
  <c r="CJ283" i="4"/>
  <c r="CI283" i="4" s="1"/>
  <c r="CJ284" i="4"/>
  <c r="CI284" i="4" s="1"/>
  <c r="CJ285" i="4"/>
  <c r="CI285" i="4" s="1"/>
  <c r="CJ286" i="4"/>
  <c r="CI286" i="4" s="1"/>
  <c r="CJ287" i="4"/>
  <c r="CJ288" i="4"/>
  <c r="CJ289" i="4"/>
  <c r="CJ290" i="4"/>
  <c r="CI290" i="4" s="1"/>
  <c r="CJ291" i="4"/>
  <c r="CI291" i="4" s="1"/>
  <c r="CJ292" i="4"/>
  <c r="CI292" i="4" s="1"/>
  <c r="CJ293" i="4"/>
  <c r="CI293" i="4" s="1"/>
  <c r="CJ294" i="4"/>
  <c r="CI294" i="4" s="1"/>
  <c r="CJ295" i="4"/>
  <c r="CJ296" i="4"/>
  <c r="CJ297" i="4"/>
  <c r="CJ298" i="4"/>
  <c r="CJ299" i="4"/>
  <c r="CJ300" i="4"/>
  <c r="CI300" i="4" s="1"/>
  <c r="CJ301" i="4"/>
  <c r="CI301" i="4" s="1"/>
  <c r="CJ302" i="4"/>
  <c r="CI302" i="4" s="1"/>
  <c r="CJ303" i="4"/>
  <c r="CI303" i="4" s="1"/>
  <c r="CJ304" i="4"/>
  <c r="CI304" i="4" s="1"/>
  <c r="CJ305" i="4"/>
  <c r="CI305" i="4" s="1"/>
  <c r="CJ306" i="4"/>
  <c r="CI306" i="4" s="1"/>
  <c r="CJ307" i="4"/>
  <c r="CJ308" i="4"/>
  <c r="CJ309" i="4"/>
  <c r="CI309" i="4" s="1"/>
  <c r="CJ310" i="4"/>
  <c r="CI310" i="4" s="1"/>
  <c r="CJ311" i="4"/>
  <c r="CI311" i="4" s="1"/>
  <c r="CJ312" i="4"/>
  <c r="CI312" i="4" s="1"/>
  <c r="CJ313" i="4"/>
  <c r="CI313" i="4" s="1"/>
  <c r="CJ314" i="4"/>
  <c r="CI314" i="4" s="1"/>
  <c r="CJ315" i="4"/>
  <c r="CJ316" i="4"/>
  <c r="CJ317" i="4"/>
  <c r="CJ318" i="4"/>
  <c r="CJ319" i="4"/>
  <c r="CJ320" i="4"/>
  <c r="CI320" i="4" s="1"/>
  <c r="CJ321" i="4"/>
  <c r="CI321" i="4" s="1"/>
  <c r="CJ322" i="4"/>
  <c r="CI322" i="4" s="1"/>
  <c r="CJ323" i="4"/>
  <c r="CI323" i="4" s="1"/>
  <c r="CJ324" i="4"/>
  <c r="CI324" i="4" s="1"/>
  <c r="CJ325" i="4"/>
  <c r="CI325" i="4" s="1"/>
  <c r="CJ326" i="4"/>
  <c r="CI326" i="4" s="1"/>
  <c r="CJ327" i="4"/>
  <c r="CI327" i="4" s="1"/>
  <c r="CJ328" i="4"/>
  <c r="CI328" i="4" s="1"/>
  <c r="CJ329" i="4"/>
  <c r="CI329" i="4" s="1"/>
  <c r="CJ330" i="4"/>
  <c r="CI330" i="4" s="1"/>
  <c r="CJ331" i="4"/>
  <c r="CI331" i="4" s="1"/>
  <c r="CJ332" i="4"/>
  <c r="CI332" i="4" s="1"/>
  <c r="CJ333" i="4"/>
  <c r="CI333" i="4" s="1"/>
  <c r="CJ334" i="4"/>
  <c r="CI334" i="4" s="1"/>
  <c r="CJ335" i="4"/>
  <c r="CJ336" i="4"/>
  <c r="CJ337" i="4"/>
  <c r="CJ338" i="4"/>
  <c r="CJ339" i="4"/>
  <c r="CJ340" i="4"/>
  <c r="CI340" i="4" s="1"/>
  <c r="CJ341" i="4"/>
  <c r="CI341" i="4" s="1"/>
  <c r="CJ342" i="4"/>
  <c r="CI342" i="4" s="1"/>
  <c r="CJ343" i="4"/>
  <c r="CI343" i="4" s="1"/>
  <c r="CJ344" i="4"/>
  <c r="CI344" i="4" s="1"/>
  <c r="CJ345" i="4"/>
  <c r="CI345" i="4" s="1"/>
  <c r="CJ346" i="4"/>
  <c r="CI346" i="4" s="1"/>
  <c r="CJ347" i="4"/>
  <c r="CI347" i="4" s="1"/>
  <c r="CJ348" i="4"/>
  <c r="CI348" i="4" s="1"/>
  <c r="CJ349" i="4"/>
  <c r="CI349" i="4" s="1"/>
  <c r="CJ350" i="4"/>
  <c r="CI350" i="4" s="1"/>
  <c r="CJ351" i="4"/>
  <c r="CI351" i="4" s="1"/>
  <c r="CJ352" i="4"/>
  <c r="CI352" i="4" s="1"/>
  <c r="CJ353" i="4"/>
  <c r="CI353" i="4" s="1"/>
  <c r="CJ354" i="4"/>
  <c r="CI354" i="4" s="1"/>
  <c r="CJ355" i="4"/>
  <c r="CJ356" i="4"/>
  <c r="CJ357" i="4"/>
  <c r="CJ358" i="4"/>
  <c r="CJ359" i="4"/>
  <c r="CJ360" i="4"/>
  <c r="CI360" i="4" s="1"/>
  <c r="CJ361" i="4"/>
  <c r="CI361" i="4" s="1"/>
  <c r="CJ362" i="4"/>
  <c r="CI362" i="4" s="1"/>
  <c r="CJ363" i="4"/>
  <c r="CI363" i="4" s="1"/>
  <c r="CJ364" i="4"/>
  <c r="CI364" i="4" s="1"/>
  <c r="CJ365" i="4"/>
  <c r="CI365" i="4" s="1"/>
  <c r="CJ366" i="4"/>
  <c r="CI366" i="4" s="1"/>
  <c r="CJ367" i="4"/>
  <c r="CJ368" i="4"/>
  <c r="CJ369" i="4"/>
  <c r="CJ370" i="4"/>
  <c r="CI370" i="4" s="1"/>
  <c r="CJ371" i="4"/>
  <c r="CI371" i="4" s="1"/>
  <c r="CJ372" i="4"/>
  <c r="CI372" i="4" s="1"/>
  <c r="CJ373" i="4"/>
  <c r="CI373" i="4" s="1"/>
  <c r="CJ374" i="4"/>
  <c r="CI374" i="4" s="1"/>
  <c r="CJ375" i="4"/>
  <c r="CJ376" i="4"/>
  <c r="CJ377" i="4"/>
  <c r="CJ378" i="4"/>
  <c r="CJ379" i="4"/>
  <c r="CJ380" i="4"/>
  <c r="CI380" i="4" s="1"/>
  <c r="CJ381" i="4"/>
  <c r="CI381" i="4" s="1"/>
  <c r="CJ382" i="4"/>
  <c r="CI382" i="4" s="1"/>
  <c r="CJ383" i="4"/>
  <c r="CI383" i="4" s="1"/>
  <c r="CJ384" i="4"/>
  <c r="CI384" i="4" s="1"/>
  <c r="CJ385" i="4"/>
  <c r="CI385" i="4" s="1"/>
  <c r="CJ386" i="4"/>
  <c r="CI386" i="4" s="1"/>
  <c r="CJ387" i="4"/>
  <c r="CI387" i="4" s="1"/>
  <c r="CJ388" i="4"/>
  <c r="CI388" i="4" s="1"/>
  <c r="CJ389" i="4"/>
  <c r="CI389" i="4" s="1"/>
  <c r="CJ390" i="4"/>
  <c r="CI390" i="4" s="1"/>
  <c r="CJ391" i="4"/>
  <c r="CI391" i="4" s="1"/>
  <c r="CJ392" i="4"/>
  <c r="CI392" i="4" s="1"/>
  <c r="CJ393" i="4"/>
  <c r="CI393" i="4" s="1"/>
  <c r="CJ394" i="4"/>
  <c r="CI394" i="4" s="1"/>
  <c r="CJ395" i="4"/>
  <c r="CJ396" i="4"/>
  <c r="CJ397" i="4"/>
  <c r="CJ398" i="4"/>
  <c r="CJ399" i="4"/>
  <c r="CJ400" i="4"/>
  <c r="CI400" i="4" s="1"/>
  <c r="CJ401" i="4"/>
  <c r="CI401" i="4" s="1"/>
  <c r="CJ402" i="4"/>
  <c r="CI402" i="4" s="1"/>
  <c r="CJ403" i="4"/>
  <c r="CI403" i="4" s="1"/>
  <c r="CJ404" i="4"/>
  <c r="CI404" i="4" s="1"/>
  <c r="CJ405" i="4"/>
  <c r="CI405" i="4" s="1"/>
  <c r="CJ406" i="4"/>
  <c r="CI406" i="4" s="1"/>
  <c r="CJ407" i="4"/>
  <c r="CI407" i="4" s="1"/>
  <c r="CJ408" i="4"/>
  <c r="CI408" i="4" s="1"/>
  <c r="CJ409" i="4"/>
  <c r="CI409" i="4" s="1"/>
  <c r="CJ410" i="4"/>
  <c r="CI410" i="4" s="1"/>
  <c r="CJ411" i="4"/>
  <c r="CI411" i="4" s="1"/>
  <c r="CJ412" i="4"/>
  <c r="CI412" i="4" s="1"/>
  <c r="CJ413" i="4"/>
  <c r="CI413" i="4" s="1"/>
  <c r="CJ414" i="4"/>
  <c r="CI414" i="4" s="1"/>
  <c r="CJ415" i="4"/>
  <c r="CJ416" i="4"/>
  <c r="CJ417" i="4"/>
  <c r="CJ418" i="4"/>
  <c r="CJ419" i="4"/>
  <c r="CJ420" i="4"/>
  <c r="CI420" i="4" s="1"/>
  <c r="CJ421" i="4"/>
  <c r="CI421" i="4" s="1"/>
  <c r="CJ422" i="4"/>
  <c r="CI422" i="4" s="1"/>
  <c r="CJ423" i="4"/>
  <c r="CI423" i="4" s="1"/>
  <c r="CJ424" i="4"/>
  <c r="CI424" i="4" s="1"/>
  <c r="CJ425" i="4"/>
  <c r="CI425" i="4" s="1"/>
  <c r="CJ426" i="4"/>
  <c r="CI426" i="4" s="1"/>
  <c r="CJ427" i="4"/>
  <c r="CJ428" i="4"/>
  <c r="CJ429" i="4"/>
  <c r="CJ430" i="4"/>
  <c r="CJ431" i="4"/>
  <c r="CI431" i="4" s="1"/>
  <c r="CJ432" i="4"/>
  <c r="CI432" i="4" s="1"/>
  <c r="CJ433" i="4"/>
  <c r="CI433" i="4" s="1"/>
  <c r="CJ434" i="4"/>
  <c r="CI434" i="4" s="1"/>
  <c r="CJ435" i="4"/>
  <c r="CJ436" i="4"/>
  <c r="CJ437" i="4"/>
  <c r="CJ438" i="4"/>
  <c r="CJ439" i="4"/>
  <c r="CJ440" i="4"/>
  <c r="CI440" i="4" s="1"/>
  <c r="CJ441" i="4"/>
  <c r="CI441" i="4" s="1"/>
  <c r="CJ442" i="4"/>
  <c r="CI442" i="4" s="1"/>
  <c r="CJ443" i="4"/>
  <c r="CI443" i="4" s="1"/>
  <c r="CJ444" i="4"/>
  <c r="CI444" i="4" s="1"/>
  <c r="CJ445" i="4"/>
  <c r="CI445" i="4" s="1"/>
  <c r="CJ446" i="4"/>
  <c r="CI446" i="4" s="1"/>
  <c r="CJ447" i="4"/>
  <c r="CI447" i="4" s="1"/>
  <c r="CJ448" i="4"/>
  <c r="CI448" i="4" s="1"/>
  <c r="CJ449" i="4"/>
  <c r="CI449" i="4" s="1"/>
  <c r="CJ450" i="4"/>
  <c r="CI450" i="4" s="1"/>
  <c r="CJ451" i="4"/>
  <c r="CI451" i="4" s="1"/>
  <c r="CJ452" i="4"/>
  <c r="CI452" i="4" s="1"/>
  <c r="CJ453" i="4"/>
  <c r="CI453" i="4" s="1"/>
  <c r="CJ454" i="4"/>
  <c r="CI454" i="4" s="1"/>
  <c r="CJ455" i="4"/>
  <c r="CJ456" i="4"/>
  <c r="CJ457" i="4"/>
  <c r="CJ458" i="4"/>
  <c r="CJ459" i="4"/>
  <c r="CJ460" i="4"/>
  <c r="CI460" i="4" s="1"/>
  <c r="CJ461" i="4"/>
  <c r="CI461" i="4" s="1"/>
  <c r="CJ462" i="4"/>
  <c r="CI462" i="4" s="1"/>
  <c r="CJ463" i="4"/>
  <c r="CI463" i="4" s="1"/>
  <c r="CJ464" i="4"/>
  <c r="CI464" i="4" s="1"/>
  <c r="CJ465" i="4"/>
  <c r="CI465" i="4" s="1"/>
  <c r="CJ466" i="4"/>
  <c r="CI466" i="4" s="1"/>
  <c r="CJ467" i="4"/>
  <c r="CI467" i="4" s="1"/>
  <c r="CJ468" i="4"/>
  <c r="CI468" i="4" s="1"/>
  <c r="CJ469" i="4"/>
  <c r="CI469" i="4" s="1"/>
  <c r="CJ470" i="4"/>
  <c r="CI470" i="4" s="1"/>
  <c r="CJ471" i="4"/>
  <c r="CI471" i="4" s="1"/>
  <c r="CJ472" i="4"/>
  <c r="CI472" i="4" s="1"/>
  <c r="CJ473" i="4"/>
  <c r="CI473" i="4" s="1"/>
  <c r="CJ474" i="4"/>
  <c r="CI474" i="4" s="1"/>
  <c r="CJ475" i="4"/>
  <c r="CJ476" i="4"/>
  <c r="CJ477" i="4"/>
  <c r="CJ478" i="4"/>
  <c r="CJ479" i="4"/>
  <c r="CJ480" i="4"/>
  <c r="CI480" i="4" s="1"/>
  <c r="CJ481" i="4"/>
  <c r="CI481" i="4" s="1"/>
  <c r="CJ482" i="4"/>
  <c r="CI482" i="4" s="1"/>
  <c r="CJ483" i="4"/>
  <c r="CI483" i="4" s="1"/>
  <c r="CJ484" i="4"/>
  <c r="CI484" i="4" s="1"/>
  <c r="CJ485" i="4"/>
  <c r="CI485" i="4" s="1"/>
  <c r="CJ486" i="4"/>
  <c r="CI486" i="4" s="1"/>
  <c r="CJ487" i="4"/>
  <c r="CJ488" i="4"/>
  <c r="CJ489" i="4"/>
  <c r="CJ490" i="4"/>
  <c r="CJ491" i="4"/>
  <c r="CJ492" i="4"/>
  <c r="CI492" i="4" s="1"/>
  <c r="CJ493" i="4"/>
  <c r="CI493" i="4" s="1"/>
  <c r="CJ494" i="4"/>
  <c r="CI494" i="4" s="1"/>
  <c r="CJ495" i="4"/>
  <c r="CJ496" i="4"/>
  <c r="CJ497" i="4"/>
  <c r="CJ498" i="4"/>
  <c r="CJ499" i="4"/>
  <c r="CJ500" i="4"/>
  <c r="CI500" i="4" s="1"/>
  <c r="CJ501" i="4"/>
  <c r="CI501" i="4" s="1"/>
  <c r="CJ502" i="4"/>
  <c r="CI502" i="4" s="1"/>
  <c r="CJ503" i="4"/>
  <c r="CI503" i="4" s="1"/>
  <c r="CJ504" i="4"/>
  <c r="CI504" i="4" s="1"/>
  <c r="CJ505" i="4"/>
  <c r="CI505" i="4" s="1"/>
  <c r="CJ506" i="4"/>
  <c r="CI506" i="4" s="1"/>
  <c r="CJ507" i="4"/>
  <c r="CI507" i="4" s="1"/>
  <c r="CJ508" i="4"/>
  <c r="CI508" i="4" s="1"/>
  <c r="CJ509" i="4"/>
  <c r="CI509" i="4" s="1"/>
  <c r="CJ510" i="4"/>
  <c r="CI510" i="4" s="1"/>
  <c r="CJ511" i="4"/>
  <c r="CI511" i="4" s="1"/>
  <c r="CJ512" i="4"/>
  <c r="CI512" i="4" s="1"/>
  <c r="CJ513" i="4"/>
  <c r="CI513" i="4" s="1"/>
  <c r="CJ514" i="4"/>
  <c r="CI514" i="4" s="1"/>
  <c r="CJ515" i="4"/>
  <c r="CJ516" i="4"/>
  <c r="CJ517" i="4"/>
  <c r="CJ518" i="4"/>
  <c r="CJ519" i="4"/>
  <c r="CJ520" i="4"/>
  <c r="CI520" i="4" s="1"/>
  <c r="CJ521" i="4"/>
  <c r="CI521" i="4" s="1"/>
  <c r="CJ522" i="4"/>
  <c r="CI522" i="4" s="1"/>
  <c r="CJ523" i="4"/>
  <c r="CI523" i="4" s="1"/>
  <c r="CJ524" i="4"/>
  <c r="CI524" i="4" s="1"/>
  <c r="CJ525" i="4"/>
  <c r="CI525" i="4" s="1"/>
  <c r="CJ526" i="4"/>
  <c r="CI526" i="4" s="1"/>
  <c r="CJ527" i="4"/>
  <c r="CI527" i="4" s="1"/>
  <c r="CJ528" i="4"/>
  <c r="CI528" i="4" s="1"/>
  <c r="CJ529" i="4"/>
  <c r="CI529" i="4" s="1"/>
  <c r="CJ530" i="4"/>
  <c r="CI530" i="4" s="1"/>
  <c r="CJ531" i="4"/>
  <c r="CI531" i="4" s="1"/>
  <c r="CJ532" i="4"/>
  <c r="CI532" i="4" s="1"/>
  <c r="CJ533" i="4"/>
  <c r="CI533" i="4" s="1"/>
  <c r="CJ534" i="4"/>
  <c r="CI534" i="4" s="1"/>
  <c r="CJ535" i="4"/>
  <c r="CJ536" i="4"/>
  <c r="CJ537" i="4"/>
  <c r="CJ538" i="4"/>
  <c r="CJ539" i="4"/>
  <c r="CJ540" i="4"/>
  <c r="CI540" i="4" s="1"/>
  <c r="CJ541" i="4"/>
  <c r="CI541" i="4" s="1"/>
  <c r="CJ542" i="4"/>
  <c r="CI542" i="4" s="1"/>
  <c r="CJ543" i="4"/>
  <c r="CI543" i="4" s="1"/>
  <c r="CJ544" i="4"/>
  <c r="CI544" i="4" s="1"/>
  <c r="CJ545" i="4"/>
  <c r="CI545" i="4" s="1"/>
  <c r="CJ546" i="4"/>
  <c r="CI546" i="4" s="1"/>
  <c r="CJ547" i="4"/>
  <c r="CJ548" i="4"/>
  <c r="CJ549" i="4"/>
  <c r="CJ550" i="4"/>
  <c r="CJ551" i="4"/>
  <c r="CJ552" i="4"/>
  <c r="CJ553" i="4"/>
  <c r="CI553" i="4" s="1"/>
  <c r="CJ554" i="4"/>
  <c r="CI554" i="4" s="1"/>
  <c r="CJ555" i="4"/>
  <c r="CJ556" i="4"/>
  <c r="CJ557" i="4"/>
  <c r="CJ558" i="4"/>
  <c r="CJ559" i="4"/>
  <c r="CJ560" i="4"/>
  <c r="CI560" i="4" s="1"/>
  <c r="CJ561" i="4"/>
  <c r="CI561" i="4" s="1"/>
  <c r="CJ562" i="4"/>
  <c r="CI562" i="4" s="1"/>
  <c r="CJ563" i="4"/>
  <c r="CI563" i="4" s="1"/>
  <c r="CJ564" i="4"/>
  <c r="CI564" i="4" s="1"/>
  <c r="CJ565" i="4"/>
  <c r="CI565" i="4" s="1"/>
  <c r="CJ566" i="4"/>
  <c r="CJ567" i="4"/>
  <c r="CI567" i="4" s="1"/>
  <c r="CJ568" i="4"/>
  <c r="CI568" i="4" s="1"/>
  <c r="CJ569" i="4"/>
  <c r="CI569" i="4" s="1"/>
  <c r="CJ570" i="4"/>
  <c r="CI570" i="4" s="1"/>
  <c r="CJ571" i="4"/>
  <c r="CI571" i="4" s="1"/>
  <c r="CJ572" i="4"/>
  <c r="CI572" i="4" s="1"/>
  <c r="CJ573" i="4"/>
  <c r="CI573" i="4" s="1"/>
  <c r="CJ574" i="4"/>
  <c r="CI574" i="4" s="1"/>
  <c r="CJ575" i="4"/>
  <c r="CJ576" i="4"/>
  <c r="CJ577" i="4"/>
  <c r="CJ578" i="4"/>
  <c r="CJ579" i="4"/>
  <c r="CJ580" i="4"/>
  <c r="CI580" i="4" s="1"/>
  <c r="CJ581" i="4"/>
  <c r="CI581" i="4" s="1"/>
  <c r="CJ582" i="4"/>
  <c r="CI582" i="4" s="1"/>
  <c r="CJ583" i="4"/>
  <c r="CI583" i="4" s="1"/>
  <c r="CJ584" i="4"/>
  <c r="CI584" i="4" s="1"/>
  <c r="CJ585" i="4"/>
  <c r="CI585" i="4" s="1"/>
  <c r="CJ586" i="4"/>
  <c r="CI586" i="4" s="1"/>
  <c r="CJ587" i="4"/>
  <c r="CI587" i="4" s="1"/>
  <c r="CJ588" i="4"/>
  <c r="CI588" i="4" s="1"/>
  <c r="CJ589" i="4"/>
  <c r="CI589" i="4" s="1"/>
  <c r="CJ590" i="4"/>
  <c r="CI590" i="4" s="1"/>
  <c r="CJ591" i="4"/>
  <c r="CI591" i="4" s="1"/>
  <c r="CJ592" i="4"/>
  <c r="CI592" i="4" s="1"/>
  <c r="CJ593" i="4"/>
  <c r="CI593" i="4" s="1"/>
  <c r="CJ594" i="4"/>
  <c r="CI594" i="4" s="1"/>
  <c r="CJ595" i="4"/>
  <c r="CJ596" i="4"/>
  <c r="CJ597" i="4"/>
  <c r="CJ598" i="4"/>
  <c r="CJ599" i="4"/>
  <c r="CJ600" i="4"/>
  <c r="CI600" i="4" s="1"/>
  <c r="CJ601" i="4"/>
  <c r="CI601" i="4" s="1"/>
  <c r="CJ602" i="4"/>
  <c r="CI602" i="4" s="1"/>
  <c r="CJ603" i="4"/>
  <c r="CI603" i="4" s="1"/>
  <c r="CJ604" i="4"/>
  <c r="CI604" i="4" s="1"/>
  <c r="CJ605" i="4"/>
  <c r="CI605" i="4" s="1"/>
  <c r="CJ606" i="4"/>
  <c r="CI606" i="4" s="1"/>
  <c r="CJ607" i="4"/>
  <c r="CJ608" i="4"/>
  <c r="CJ609" i="4"/>
  <c r="CJ610" i="4"/>
  <c r="CJ611" i="4"/>
  <c r="CJ612" i="4"/>
  <c r="CJ613" i="4"/>
  <c r="CI613" i="4" s="1"/>
  <c r="CJ614" i="4"/>
  <c r="CI614" i="4" s="1"/>
  <c r="CJ615" i="4"/>
  <c r="CJ616" i="4"/>
  <c r="CJ617" i="4"/>
  <c r="CJ618" i="4"/>
  <c r="CJ619" i="4"/>
  <c r="CJ620" i="4"/>
  <c r="CI620" i="4" s="1"/>
  <c r="CJ621" i="4"/>
  <c r="CI621" i="4" s="1"/>
  <c r="CJ622" i="4"/>
  <c r="CI622" i="4" s="1"/>
  <c r="CJ623" i="4"/>
  <c r="CI623" i="4" s="1"/>
  <c r="CJ624" i="4"/>
  <c r="CI624" i="4" s="1"/>
  <c r="CJ625" i="4"/>
  <c r="CI625" i="4" s="1"/>
  <c r="CJ626" i="4"/>
  <c r="CJ627" i="4"/>
  <c r="CI627" i="4" s="1"/>
  <c r="CJ628" i="4"/>
  <c r="CI628" i="4" s="1"/>
  <c r="CJ629" i="4"/>
  <c r="CI629" i="4" s="1"/>
  <c r="CJ630" i="4"/>
  <c r="CI630" i="4" s="1"/>
  <c r="CJ631" i="4"/>
  <c r="CI631" i="4" s="1"/>
  <c r="CJ632" i="4"/>
  <c r="CI632" i="4" s="1"/>
  <c r="CJ633" i="4"/>
  <c r="CI633" i="4" s="1"/>
  <c r="CJ634" i="4"/>
  <c r="CI634" i="4" s="1"/>
  <c r="CJ635" i="4"/>
  <c r="CJ636" i="4"/>
  <c r="CJ637" i="4"/>
  <c r="CJ638" i="4"/>
  <c r="CJ639" i="4"/>
  <c r="CJ640" i="4"/>
  <c r="CI640" i="4" s="1"/>
  <c r="CJ641" i="4"/>
  <c r="CI641" i="4" s="1"/>
  <c r="CJ642" i="4"/>
  <c r="CI642" i="4" s="1"/>
  <c r="CJ643" i="4"/>
  <c r="CI643" i="4" s="1"/>
  <c r="CJ644" i="4"/>
  <c r="CI644" i="4" s="1"/>
  <c r="CJ645" i="4"/>
  <c r="CI645" i="4" s="1"/>
  <c r="CJ646" i="4"/>
  <c r="CI646" i="4" s="1"/>
  <c r="CJ647" i="4"/>
  <c r="CI647" i="4" s="1"/>
  <c r="CJ648" i="4"/>
  <c r="CI648" i="4" s="1"/>
  <c r="CJ649" i="4"/>
  <c r="CI649" i="4" s="1"/>
  <c r="CJ650" i="4"/>
  <c r="CI650" i="4" s="1"/>
  <c r="CJ651" i="4"/>
  <c r="CI651" i="4" s="1"/>
  <c r="CJ652" i="4"/>
  <c r="CI652" i="4" s="1"/>
  <c r="CJ653" i="4"/>
  <c r="CI653" i="4" s="1"/>
  <c r="CJ654" i="4"/>
  <c r="CI654" i="4" s="1"/>
  <c r="CJ656" i="4"/>
  <c r="CI656" i="4" s="1"/>
  <c r="CJ657" i="4"/>
  <c r="CJ658" i="4"/>
  <c r="CJ659" i="4"/>
  <c r="CJ660" i="4"/>
  <c r="CI660" i="4" s="1"/>
  <c r="CJ661" i="4"/>
  <c r="CI661" i="4" s="1"/>
  <c r="CJ662" i="4"/>
  <c r="CI662" i="4" s="1"/>
  <c r="CJ663" i="4"/>
  <c r="CI663" i="4" s="1"/>
  <c r="CJ664" i="4"/>
  <c r="CI664" i="4" s="1"/>
  <c r="CJ665" i="4"/>
  <c r="CI665" i="4" s="1"/>
  <c r="CJ666" i="4"/>
  <c r="CJ667" i="4"/>
  <c r="CJ668" i="4"/>
  <c r="CJ669" i="4"/>
  <c r="CJ670" i="4"/>
  <c r="CJ671" i="4"/>
  <c r="CI671" i="4" s="1"/>
  <c r="CJ672" i="4"/>
  <c r="CI672" i="4" s="1"/>
  <c r="CJ673" i="4"/>
  <c r="CI673" i="4" s="1"/>
  <c r="CJ674" i="4"/>
  <c r="CI674" i="4" s="1"/>
  <c r="CJ675" i="4"/>
  <c r="CJ676" i="4"/>
  <c r="CJ677" i="4"/>
  <c r="CJ678" i="4"/>
  <c r="CJ679" i="4"/>
  <c r="CJ680" i="4"/>
  <c r="CI680" i="4" s="1"/>
  <c r="CJ681" i="4"/>
  <c r="CI681" i="4" s="1"/>
  <c r="CJ682" i="4"/>
  <c r="CI682" i="4" s="1"/>
  <c r="CJ683" i="4"/>
  <c r="CI683" i="4" s="1"/>
  <c r="CJ684" i="4"/>
  <c r="CI684" i="4" s="1"/>
  <c r="CJ685" i="4"/>
  <c r="CI685" i="4" s="1"/>
  <c r="CJ686" i="4"/>
  <c r="CI686" i="4" s="1"/>
  <c r="CJ687" i="4"/>
  <c r="CI687" i="4" s="1"/>
  <c r="CJ688" i="4"/>
  <c r="CI688" i="4" s="1"/>
  <c r="CJ689" i="4"/>
  <c r="CI689" i="4" s="1"/>
  <c r="CJ690" i="4"/>
  <c r="CI690" i="4" s="1"/>
  <c r="CJ691" i="4"/>
  <c r="CI691" i="4" s="1"/>
  <c r="CJ692" i="4"/>
  <c r="CI692" i="4" s="1"/>
  <c r="CJ693" i="4"/>
  <c r="CI693" i="4" s="1"/>
  <c r="CJ694" i="4"/>
  <c r="CI694" i="4" s="1"/>
  <c r="CJ695" i="4"/>
  <c r="CJ696" i="4"/>
  <c r="CJ697" i="4"/>
  <c r="CJ698" i="4"/>
  <c r="CJ699" i="4"/>
  <c r="CJ700" i="4"/>
  <c r="CI700" i="4" s="1"/>
  <c r="CJ701" i="4"/>
  <c r="CI701" i="4" s="1"/>
  <c r="CJ702" i="4"/>
  <c r="CI702" i="4" s="1"/>
  <c r="CJ703" i="4"/>
  <c r="CI703" i="4" s="1"/>
  <c r="CJ704" i="4"/>
  <c r="CI704" i="4" s="1"/>
  <c r="CJ705" i="4"/>
  <c r="CI705" i="4" s="1"/>
  <c r="CJ706" i="4"/>
  <c r="CJ707" i="4"/>
  <c r="CI707" i="4" s="1"/>
  <c r="CJ708" i="4"/>
  <c r="CI708" i="4" s="1"/>
  <c r="CJ709" i="4"/>
  <c r="CI709" i="4" s="1"/>
  <c r="CJ710" i="4"/>
  <c r="CI710" i="4" s="1"/>
  <c r="CJ711" i="4"/>
  <c r="CI711" i="4" s="1"/>
  <c r="CJ712" i="4"/>
  <c r="CI712" i="4" s="1"/>
  <c r="CJ713" i="4"/>
  <c r="CI713" i="4" s="1"/>
  <c r="CJ714" i="4"/>
  <c r="CI714" i="4" s="1"/>
  <c r="CJ715" i="4"/>
  <c r="CJ716" i="4"/>
  <c r="CJ717" i="4"/>
  <c r="CJ718" i="4"/>
  <c r="CJ719" i="4"/>
  <c r="CJ720" i="4"/>
  <c r="CI720" i="4" s="1"/>
  <c r="CJ721" i="4"/>
  <c r="CI721" i="4" s="1"/>
  <c r="CJ722" i="4"/>
  <c r="CI722" i="4" s="1"/>
  <c r="CJ723" i="4"/>
  <c r="CI723" i="4" s="1"/>
  <c r="CJ724" i="4"/>
  <c r="CI724" i="4" s="1"/>
  <c r="CJ725" i="4"/>
  <c r="CI725" i="4" s="1"/>
  <c r="CJ726" i="4"/>
  <c r="CJ727" i="4"/>
  <c r="CJ728" i="4"/>
  <c r="CJ729" i="4"/>
  <c r="CI729" i="4" s="1"/>
  <c r="CJ730" i="4"/>
  <c r="CI730" i="4" s="1"/>
  <c r="CJ731" i="4"/>
  <c r="CI731" i="4" s="1"/>
  <c r="CJ732" i="4"/>
  <c r="CI732" i="4" s="1"/>
  <c r="CJ733" i="4"/>
  <c r="CI733" i="4" s="1"/>
  <c r="CJ734" i="4"/>
  <c r="CI734" i="4" s="1"/>
  <c r="CJ735" i="4"/>
  <c r="CJ736" i="4"/>
  <c r="CJ737" i="4"/>
  <c r="CJ738" i="4"/>
  <c r="CJ739" i="4"/>
  <c r="CJ740" i="4"/>
  <c r="CI740" i="4" s="1"/>
  <c r="CJ741" i="4"/>
  <c r="CI741" i="4" s="1"/>
  <c r="CJ742" i="4"/>
  <c r="CI742" i="4" s="1"/>
  <c r="CJ743" i="4"/>
  <c r="CI743" i="4" s="1"/>
  <c r="CJ744" i="4"/>
  <c r="CI744" i="4" s="1"/>
  <c r="CJ745" i="4"/>
  <c r="CI745" i="4" s="1"/>
  <c r="CJ746" i="4"/>
  <c r="CJ747" i="4"/>
  <c r="CJ748" i="4"/>
  <c r="CJ749" i="4"/>
  <c r="CI175" i="4"/>
  <c r="CI176" i="4"/>
  <c r="CI177" i="4"/>
  <c r="CI178" i="4"/>
  <c r="CI179" i="4"/>
  <c r="CI195" i="4"/>
  <c r="CI196" i="4"/>
  <c r="CI197" i="4"/>
  <c r="CI198" i="4"/>
  <c r="CI199" i="4"/>
  <c r="CI207" i="4"/>
  <c r="CI208" i="4"/>
  <c r="CI209" i="4"/>
  <c r="CI210" i="4"/>
  <c r="CI211" i="4"/>
  <c r="CI212" i="4"/>
  <c r="CI213" i="4"/>
  <c r="CI215" i="4"/>
  <c r="CI216" i="4"/>
  <c r="CI217" i="4"/>
  <c r="CI218" i="4"/>
  <c r="CI219" i="4"/>
  <c r="CI227" i="4"/>
  <c r="CI228" i="4"/>
  <c r="CI235" i="4"/>
  <c r="CI236" i="4"/>
  <c r="CI237" i="4"/>
  <c r="CI238" i="4"/>
  <c r="CI239" i="4"/>
  <c r="CI247" i="4"/>
  <c r="CI255" i="4"/>
  <c r="CI256" i="4"/>
  <c r="CI257" i="4"/>
  <c r="CI258" i="4"/>
  <c r="CI259" i="4"/>
  <c r="CI267" i="4"/>
  <c r="CI268" i="4"/>
  <c r="CI269" i="4"/>
  <c r="CI270" i="4"/>
  <c r="CI271" i="4"/>
  <c r="CI272" i="4"/>
  <c r="CI273" i="4"/>
  <c r="CI274" i="4"/>
  <c r="CI275" i="4"/>
  <c r="CI276" i="4"/>
  <c r="CI277" i="4"/>
  <c r="CI278" i="4"/>
  <c r="CI279" i="4"/>
  <c r="CI287" i="4"/>
  <c r="CI288" i="4"/>
  <c r="CI289" i="4"/>
  <c r="CI295" i="4"/>
  <c r="CI296" i="4"/>
  <c r="CI297" i="4"/>
  <c r="CI298" i="4"/>
  <c r="CI299" i="4"/>
  <c r="CI307" i="4"/>
  <c r="CI308" i="4"/>
  <c r="CI315" i="4"/>
  <c r="CI316" i="4"/>
  <c r="CI317" i="4"/>
  <c r="CI318" i="4"/>
  <c r="CI319" i="4"/>
  <c r="CI335" i="4"/>
  <c r="CI336" i="4"/>
  <c r="CI337" i="4"/>
  <c r="CI338" i="4"/>
  <c r="CI339" i="4"/>
  <c r="CI355" i="4"/>
  <c r="CI356" i="4"/>
  <c r="CI357" i="4"/>
  <c r="CI358" i="4"/>
  <c r="CI359" i="4"/>
  <c r="CI367" i="4"/>
  <c r="CI368" i="4"/>
  <c r="CI369" i="4"/>
  <c r="CI375" i="4"/>
  <c r="CI376" i="4"/>
  <c r="CI377" i="4"/>
  <c r="CI378" i="4"/>
  <c r="CI379" i="4"/>
  <c r="CI395" i="4"/>
  <c r="CI396" i="4"/>
  <c r="CI397" i="4"/>
  <c r="CI398" i="4"/>
  <c r="CI399" i="4"/>
  <c r="CI415" i="4"/>
  <c r="CI416" i="4"/>
  <c r="CI417" i="4"/>
  <c r="CI418" i="4"/>
  <c r="CI419" i="4"/>
  <c r="CI427" i="4"/>
  <c r="CI428" i="4"/>
  <c r="CI429" i="4"/>
  <c r="CI430" i="4"/>
  <c r="CI435" i="4"/>
  <c r="CI436" i="4"/>
  <c r="CI437" i="4"/>
  <c r="CI438" i="4"/>
  <c r="CI439" i="4"/>
  <c r="CI455" i="4"/>
  <c r="CI456" i="4"/>
  <c r="CI457" i="4"/>
  <c r="CI458" i="4"/>
  <c r="CI459" i="4"/>
  <c r="CI475" i="4"/>
  <c r="CI476" i="4"/>
  <c r="CI477" i="4"/>
  <c r="CI478" i="4"/>
  <c r="CI479" i="4"/>
  <c r="CI487" i="4"/>
  <c r="CI488" i="4"/>
  <c r="CI489" i="4"/>
  <c r="CI490" i="4"/>
  <c r="CI491" i="4"/>
  <c r="CI495" i="4"/>
  <c r="CI496" i="4"/>
  <c r="CI497" i="4"/>
  <c r="CI498" i="4"/>
  <c r="CI499" i="4"/>
  <c r="CI515" i="4"/>
  <c r="CI516" i="4"/>
  <c r="CI517" i="4"/>
  <c r="CI518" i="4"/>
  <c r="CI519" i="4"/>
  <c r="CI535" i="4"/>
  <c r="CI536" i="4"/>
  <c r="CI537" i="4"/>
  <c r="CI538" i="4"/>
  <c r="CI539" i="4"/>
  <c r="CI547" i="4"/>
  <c r="CI548" i="4"/>
  <c r="CI549" i="4"/>
  <c r="CI550" i="4"/>
  <c r="CI551" i="4"/>
  <c r="CI552" i="4"/>
  <c r="CI555" i="4"/>
  <c r="CI556" i="4"/>
  <c r="CI557" i="4"/>
  <c r="CI558" i="4"/>
  <c r="CI559" i="4"/>
  <c r="CI566" i="4"/>
  <c r="CI575" i="4"/>
  <c r="CI576" i="4"/>
  <c r="CI577" i="4"/>
  <c r="CI578" i="4"/>
  <c r="CI579" i="4"/>
  <c r="CI595" i="4"/>
  <c r="CI596" i="4"/>
  <c r="CI597" i="4"/>
  <c r="CI598" i="4"/>
  <c r="CI599" i="4"/>
  <c r="CI607" i="4"/>
  <c r="CI608" i="4"/>
  <c r="CI609" i="4"/>
  <c r="CI610" i="4"/>
  <c r="CI611" i="4"/>
  <c r="CI612" i="4"/>
  <c r="CI615" i="4"/>
  <c r="CI616" i="4"/>
  <c r="CI617" i="4"/>
  <c r="CI618" i="4"/>
  <c r="CI619" i="4"/>
  <c r="CI626" i="4"/>
  <c r="CI635" i="4"/>
  <c r="CI636" i="4"/>
  <c r="CI637" i="4"/>
  <c r="CI638" i="4"/>
  <c r="CI639" i="4"/>
  <c r="CI657" i="4"/>
  <c r="CI658" i="4"/>
  <c r="CI659" i="4"/>
  <c r="CI666" i="4"/>
  <c r="CI667" i="4"/>
  <c r="CI668" i="4"/>
  <c r="CI669" i="4"/>
  <c r="CI670" i="4"/>
  <c r="CI675" i="4"/>
  <c r="CI676" i="4"/>
  <c r="CI677" i="4"/>
  <c r="CI678" i="4"/>
  <c r="CI679" i="4"/>
  <c r="CI695" i="4"/>
  <c r="CI696" i="4"/>
  <c r="CI697" i="4"/>
  <c r="CI698" i="4"/>
  <c r="CI699" i="4"/>
  <c r="CI706" i="4"/>
  <c r="CI715" i="4"/>
  <c r="CI716" i="4"/>
  <c r="CI717" i="4"/>
  <c r="CI718" i="4"/>
  <c r="CI719" i="4"/>
  <c r="CI726" i="4"/>
  <c r="CI727" i="4"/>
  <c r="CI728" i="4"/>
  <c r="CI735" i="4"/>
  <c r="CI736" i="4"/>
  <c r="CI737" i="4"/>
  <c r="CI738" i="4"/>
  <c r="CI739" i="4"/>
  <c r="CI746" i="4"/>
  <c r="CI747" i="4"/>
  <c r="CI748" i="4"/>
  <c r="CI749" i="4"/>
  <c r="CH620" i="4"/>
  <c r="CH621" i="4"/>
  <c r="CH622" i="4"/>
  <c r="CH623" i="4"/>
  <c r="CH624" i="4"/>
  <c r="CH625" i="4"/>
  <c r="CH626" i="4"/>
  <c r="CH627" i="4"/>
  <c r="CH628" i="4"/>
  <c r="CH629" i="4"/>
  <c r="CH630" i="4"/>
  <c r="CG630" i="4" s="1"/>
  <c r="CH631" i="4"/>
  <c r="CG631" i="4" s="1"/>
  <c r="CH632" i="4"/>
  <c r="CG632" i="4" s="1"/>
  <c r="CH633" i="4"/>
  <c r="CG633" i="4" s="1"/>
  <c r="CH634" i="4"/>
  <c r="CG634" i="4" s="1"/>
  <c r="CH635" i="4"/>
  <c r="CG635" i="4" s="1"/>
  <c r="CH636" i="4"/>
  <c r="CG636" i="4" s="1"/>
  <c r="CH637" i="4"/>
  <c r="CG637" i="4" s="1"/>
  <c r="CH638" i="4"/>
  <c r="CG638" i="4" s="1"/>
  <c r="CH639" i="4"/>
  <c r="CG639" i="4" s="1"/>
  <c r="CH640" i="4"/>
  <c r="CH641" i="4"/>
  <c r="CH642" i="4"/>
  <c r="CH643" i="4"/>
  <c r="CH644" i="4"/>
  <c r="CH645" i="4"/>
  <c r="CH646" i="4"/>
  <c r="CH647" i="4"/>
  <c r="CH648" i="4"/>
  <c r="CH649" i="4"/>
  <c r="CH650" i="4"/>
  <c r="CG650" i="4" s="1"/>
  <c r="CH651" i="4"/>
  <c r="CG651" i="4" s="1"/>
  <c r="CH652" i="4"/>
  <c r="CG652" i="4" s="1"/>
  <c r="CH653" i="4"/>
  <c r="CG653" i="4" s="1"/>
  <c r="CH654" i="4"/>
  <c r="CG654" i="4" s="1"/>
  <c r="CH655" i="4"/>
  <c r="CG655" i="4" s="1"/>
  <c r="CH656" i="4"/>
  <c r="CG656" i="4" s="1"/>
  <c r="CH657" i="4"/>
  <c r="CG657" i="4" s="1"/>
  <c r="CH658" i="4"/>
  <c r="CG658" i="4" s="1"/>
  <c r="CH659" i="4"/>
  <c r="CG659" i="4" s="1"/>
  <c r="CH660" i="4"/>
  <c r="CH661" i="4"/>
  <c r="CH662" i="4"/>
  <c r="CH663" i="4"/>
  <c r="CH664" i="4"/>
  <c r="CH665" i="4"/>
  <c r="CH666" i="4"/>
  <c r="CH667" i="4"/>
  <c r="CH668" i="4"/>
  <c r="CH669" i="4"/>
  <c r="CH670" i="4"/>
  <c r="CG670" i="4" s="1"/>
  <c r="CH671" i="4"/>
  <c r="CG671" i="4" s="1"/>
  <c r="CH672" i="4"/>
  <c r="CG672" i="4" s="1"/>
  <c r="CH673" i="4"/>
  <c r="CG673" i="4" s="1"/>
  <c r="CH674" i="4"/>
  <c r="CG674" i="4" s="1"/>
  <c r="CH675" i="4"/>
  <c r="CG675" i="4" s="1"/>
  <c r="CH676" i="4"/>
  <c r="CG676" i="4" s="1"/>
  <c r="CH677" i="4"/>
  <c r="CG677" i="4" s="1"/>
  <c r="CH678" i="4"/>
  <c r="CG678" i="4" s="1"/>
  <c r="CH679" i="4"/>
  <c r="CG679" i="4" s="1"/>
  <c r="CH680" i="4"/>
  <c r="CH681" i="4"/>
  <c r="CH682" i="4"/>
  <c r="CH683" i="4"/>
  <c r="CH684" i="4"/>
  <c r="CH685" i="4"/>
  <c r="CH686" i="4"/>
  <c r="CH687" i="4"/>
  <c r="CH688" i="4"/>
  <c r="CH689" i="4"/>
  <c r="CH690" i="4"/>
  <c r="CG690" i="4" s="1"/>
  <c r="CH691" i="4"/>
  <c r="CG691" i="4" s="1"/>
  <c r="CH692" i="4"/>
  <c r="CG692" i="4" s="1"/>
  <c r="CH693" i="4"/>
  <c r="CG693" i="4" s="1"/>
  <c r="CH694" i="4"/>
  <c r="CG694" i="4" s="1"/>
  <c r="CH695" i="4"/>
  <c r="CG695" i="4" s="1"/>
  <c r="CH696" i="4"/>
  <c r="CG696" i="4" s="1"/>
  <c r="CH697" i="4"/>
  <c r="CG697" i="4" s="1"/>
  <c r="CH698" i="4"/>
  <c r="CG698" i="4" s="1"/>
  <c r="CH699" i="4"/>
  <c r="CG699" i="4" s="1"/>
  <c r="CH700" i="4"/>
  <c r="CH701" i="4"/>
  <c r="CH702" i="4"/>
  <c r="CH703" i="4"/>
  <c r="CH704" i="4"/>
  <c r="CH705" i="4"/>
  <c r="CH706" i="4"/>
  <c r="CH707" i="4"/>
  <c r="CH708" i="4"/>
  <c r="CH709" i="4"/>
  <c r="CH710" i="4"/>
  <c r="CG710" i="4" s="1"/>
  <c r="CH711" i="4"/>
  <c r="CG711" i="4" s="1"/>
  <c r="CH712" i="4"/>
  <c r="CG712" i="4" s="1"/>
  <c r="CH713" i="4"/>
  <c r="CG713" i="4" s="1"/>
  <c r="CH714" i="4"/>
  <c r="CG714" i="4" s="1"/>
  <c r="CH715" i="4"/>
  <c r="CG715" i="4" s="1"/>
  <c r="CH716" i="4"/>
  <c r="CG716" i="4" s="1"/>
  <c r="CH717" i="4"/>
  <c r="CG717" i="4" s="1"/>
  <c r="CH718" i="4"/>
  <c r="CG718" i="4" s="1"/>
  <c r="CH719" i="4"/>
  <c r="CG719" i="4" s="1"/>
  <c r="CH720" i="4"/>
  <c r="CH721" i="4"/>
  <c r="CH722" i="4"/>
  <c r="CH723" i="4"/>
  <c r="CH724" i="4"/>
  <c r="CH725" i="4"/>
  <c r="CH726" i="4"/>
  <c r="CH727" i="4"/>
  <c r="CH728" i="4"/>
  <c r="CH729" i="4"/>
  <c r="CH730" i="4"/>
  <c r="CG730" i="4" s="1"/>
  <c r="CH731" i="4"/>
  <c r="CG731" i="4" s="1"/>
  <c r="CH732" i="4"/>
  <c r="CG732" i="4" s="1"/>
  <c r="CH733" i="4"/>
  <c r="CG733" i="4" s="1"/>
  <c r="CH734" i="4"/>
  <c r="CG734" i="4" s="1"/>
  <c r="CH735" i="4"/>
  <c r="CG735" i="4" s="1"/>
  <c r="CH736" i="4"/>
  <c r="CG736" i="4" s="1"/>
  <c r="CH737" i="4"/>
  <c r="CG737" i="4" s="1"/>
  <c r="CH738" i="4"/>
  <c r="CG738" i="4" s="1"/>
  <c r="CH739" i="4"/>
  <c r="CG739" i="4" s="1"/>
  <c r="CH740" i="4"/>
  <c r="CH741" i="4"/>
  <c r="CH742" i="4"/>
  <c r="CH743" i="4"/>
  <c r="CH744" i="4"/>
  <c r="CH745" i="4"/>
  <c r="CH746" i="4"/>
  <c r="CH747" i="4"/>
  <c r="CH748" i="4"/>
  <c r="CH749" i="4"/>
  <c r="CG620" i="4"/>
  <c r="CG621" i="4"/>
  <c r="CG622" i="4"/>
  <c r="CG623" i="4"/>
  <c r="CG624" i="4"/>
  <c r="CG625" i="4"/>
  <c r="CG626" i="4"/>
  <c r="CG627" i="4"/>
  <c r="CG628" i="4"/>
  <c r="CG629" i="4"/>
  <c r="CG640" i="4"/>
  <c r="CG641" i="4"/>
  <c r="CG642" i="4"/>
  <c r="CG643" i="4"/>
  <c r="CG644" i="4"/>
  <c r="CG645" i="4"/>
  <c r="CG646" i="4"/>
  <c r="CG647" i="4"/>
  <c r="CG648" i="4"/>
  <c r="CG649" i="4"/>
  <c r="CG660" i="4"/>
  <c r="CG661" i="4"/>
  <c r="CG662" i="4"/>
  <c r="CG663" i="4"/>
  <c r="CG664" i="4"/>
  <c r="CG665" i="4"/>
  <c r="CG666" i="4"/>
  <c r="CG667" i="4"/>
  <c r="CG668" i="4"/>
  <c r="CG669" i="4"/>
  <c r="CG680" i="4"/>
  <c r="CG681" i="4"/>
  <c r="CG682" i="4"/>
  <c r="CG683" i="4"/>
  <c r="CG684" i="4"/>
  <c r="CG685" i="4"/>
  <c r="CG686" i="4"/>
  <c r="CG687" i="4"/>
  <c r="CG688" i="4"/>
  <c r="CG689" i="4"/>
  <c r="CG700" i="4"/>
  <c r="CG701" i="4"/>
  <c r="CG702" i="4"/>
  <c r="CG703" i="4"/>
  <c r="CG704" i="4"/>
  <c r="CG705" i="4"/>
  <c r="CG706" i="4"/>
  <c r="CG707" i="4"/>
  <c r="CG708" i="4"/>
  <c r="CG709" i="4"/>
  <c r="CG720" i="4"/>
  <c r="CG721" i="4"/>
  <c r="CG722" i="4"/>
  <c r="CG723" i="4"/>
  <c r="CG724" i="4"/>
  <c r="CG725" i="4"/>
  <c r="CG726" i="4"/>
  <c r="CG727" i="4"/>
  <c r="CG728" i="4"/>
  <c r="CG729" i="4"/>
  <c r="CG740" i="4"/>
  <c r="CG741" i="4"/>
  <c r="CG742" i="4"/>
  <c r="CG743" i="4"/>
  <c r="CG744" i="4"/>
  <c r="CG745" i="4"/>
  <c r="CG746" i="4"/>
  <c r="CG747" i="4"/>
  <c r="CG748" i="4"/>
  <c r="CG749" i="4"/>
  <c r="CF620" i="4"/>
  <c r="CF621" i="4"/>
  <c r="CF622" i="4"/>
  <c r="CF623" i="4"/>
  <c r="CF624" i="4"/>
  <c r="CF625" i="4"/>
  <c r="CF626" i="4"/>
  <c r="CF627" i="4"/>
  <c r="CF628" i="4"/>
  <c r="CF629" i="4"/>
  <c r="CF630" i="4"/>
  <c r="CE630" i="4" s="1"/>
  <c r="CF631" i="4"/>
  <c r="CE631" i="4" s="1"/>
  <c r="CF632" i="4"/>
  <c r="CE632" i="4" s="1"/>
  <c r="CF633" i="4"/>
  <c r="CE633" i="4" s="1"/>
  <c r="CF634" i="4"/>
  <c r="CE634" i="4" s="1"/>
  <c r="CF635" i="4"/>
  <c r="CE635" i="4" s="1"/>
  <c r="CF636" i="4"/>
  <c r="CE636" i="4" s="1"/>
  <c r="CF637" i="4"/>
  <c r="CE637" i="4" s="1"/>
  <c r="CF638" i="4"/>
  <c r="CE638" i="4" s="1"/>
  <c r="CF639" i="4"/>
  <c r="CE639" i="4" s="1"/>
  <c r="CF640" i="4"/>
  <c r="CF641" i="4"/>
  <c r="CF642" i="4"/>
  <c r="CF643" i="4"/>
  <c r="CF644" i="4"/>
  <c r="CF645" i="4"/>
  <c r="CF646" i="4"/>
  <c r="CF647" i="4"/>
  <c r="CF649" i="4"/>
  <c r="CE649" i="4" s="1"/>
  <c r="CF650" i="4"/>
  <c r="CE650" i="4" s="1"/>
  <c r="CF651" i="4"/>
  <c r="CE651" i="4" s="1"/>
  <c r="CF652" i="4"/>
  <c r="CE652" i="4" s="1"/>
  <c r="CF653" i="4"/>
  <c r="CE653" i="4" s="1"/>
  <c r="CF654" i="4"/>
  <c r="CE654" i="4" s="1"/>
  <c r="CF655" i="4"/>
  <c r="CE655" i="4" s="1"/>
  <c r="CF656" i="4"/>
  <c r="CE656" i="4" s="1"/>
  <c r="CF657" i="4"/>
  <c r="CE657" i="4" s="1"/>
  <c r="CF658" i="4"/>
  <c r="CE658" i="4" s="1"/>
  <c r="CF668" i="4"/>
  <c r="CF669" i="4"/>
  <c r="CF670" i="4"/>
  <c r="CE670" i="4" s="1"/>
  <c r="CF671" i="4"/>
  <c r="CE671" i="4" s="1"/>
  <c r="CF672" i="4"/>
  <c r="CE672" i="4" s="1"/>
  <c r="CF673" i="4"/>
  <c r="CE673" i="4" s="1"/>
  <c r="CF674" i="4"/>
  <c r="CE674" i="4" s="1"/>
  <c r="CF675" i="4"/>
  <c r="CE675" i="4" s="1"/>
  <c r="CF676" i="4"/>
  <c r="CE676" i="4" s="1"/>
  <c r="CF677" i="4"/>
  <c r="CE677" i="4" s="1"/>
  <c r="CF678" i="4"/>
  <c r="CE678" i="4" s="1"/>
  <c r="CF679" i="4"/>
  <c r="CE679" i="4" s="1"/>
  <c r="CF680" i="4"/>
  <c r="CE680" i="4" s="1"/>
  <c r="CF688" i="4"/>
  <c r="CF689" i="4"/>
  <c r="CF690" i="4"/>
  <c r="CE690" i="4" s="1"/>
  <c r="CF691" i="4"/>
  <c r="CE691" i="4" s="1"/>
  <c r="CF692" i="4"/>
  <c r="CE692" i="4" s="1"/>
  <c r="CF693" i="4"/>
  <c r="CE693" i="4" s="1"/>
  <c r="CF694" i="4"/>
  <c r="CE694" i="4" s="1"/>
  <c r="CF695" i="4"/>
  <c r="CE695" i="4" s="1"/>
  <c r="CF696" i="4"/>
  <c r="CE696" i="4" s="1"/>
  <c r="CF697" i="4"/>
  <c r="CE697" i="4" s="1"/>
  <c r="CF698" i="4"/>
  <c r="CE698" i="4" s="1"/>
  <c r="CF699" i="4"/>
  <c r="CE699" i="4" s="1"/>
  <c r="CF700" i="4"/>
  <c r="CE700" i="4" s="1"/>
  <c r="CF708" i="4"/>
  <c r="CF709" i="4"/>
  <c r="CF710" i="4"/>
  <c r="CE710" i="4" s="1"/>
  <c r="CF711" i="4"/>
  <c r="CE711" i="4" s="1"/>
  <c r="CF712" i="4"/>
  <c r="CE712" i="4" s="1"/>
  <c r="CF713" i="4"/>
  <c r="CE713" i="4" s="1"/>
  <c r="CF714" i="4"/>
  <c r="CE714" i="4" s="1"/>
  <c r="CF715" i="4"/>
  <c r="CE715" i="4" s="1"/>
  <c r="CF716" i="4"/>
  <c r="CE716" i="4" s="1"/>
  <c r="CF717" i="4"/>
  <c r="CE717" i="4" s="1"/>
  <c r="CF718" i="4"/>
  <c r="CE718" i="4" s="1"/>
  <c r="CF719" i="4"/>
  <c r="CE719" i="4" s="1"/>
  <c r="CF720" i="4"/>
  <c r="CE720" i="4" s="1"/>
  <c r="CF728" i="4"/>
  <c r="CF729" i="4"/>
  <c r="CF730" i="4"/>
  <c r="CE730" i="4" s="1"/>
  <c r="CF731" i="4"/>
  <c r="CE731" i="4" s="1"/>
  <c r="CF732" i="4"/>
  <c r="CE732" i="4" s="1"/>
  <c r="CF733" i="4"/>
  <c r="CE733" i="4" s="1"/>
  <c r="CF734" i="4"/>
  <c r="CE734" i="4" s="1"/>
  <c r="CF735" i="4"/>
  <c r="CE735" i="4" s="1"/>
  <c r="CF736" i="4"/>
  <c r="CE736" i="4" s="1"/>
  <c r="CF737" i="4"/>
  <c r="CE737" i="4" s="1"/>
  <c r="CF738" i="4"/>
  <c r="CE738" i="4" s="1"/>
  <c r="CF739" i="4"/>
  <c r="CE739" i="4" s="1"/>
  <c r="CF740" i="4"/>
  <c r="CE740" i="4" s="1"/>
  <c r="CF748" i="4"/>
  <c r="CF749" i="4"/>
  <c r="CE620" i="4"/>
  <c r="CE621" i="4"/>
  <c r="CE622" i="4"/>
  <c r="CE623" i="4"/>
  <c r="CE624" i="4"/>
  <c r="CE625" i="4"/>
  <c r="CE626" i="4"/>
  <c r="CE627" i="4"/>
  <c r="CE628" i="4"/>
  <c r="CE629" i="4"/>
  <c r="CE640" i="4"/>
  <c r="CE641" i="4"/>
  <c r="CE642" i="4"/>
  <c r="CE643" i="4"/>
  <c r="CE644" i="4"/>
  <c r="CE645" i="4"/>
  <c r="CE646" i="4"/>
  <c r="CE647" i="4"/>
  <c r="CE668" i="4"/>
  <c r="CE669" i="4"/>
  <c r="CE688" i="4"/>
  <c r="CE689" i="4"/>
  <c r="CE708" i="4"/>
  <c r="CE709" i="4"/>
  <c r="CE728" i="4"/>
  <c r="CE729" i="4"/>
  <c r="CE748" i="4"/>
  <c r="CE749" i="4"/>
  <c r="CD620" i="4"/>
  <c r="CD621" i="4"/>
  <c r="CD622" i="4"/>
  <c r="CD623" i="4"/>
  <c r="CD624" i="4"/>
  <c r="CD625" i="4"/>
  <c r="CD626" i="4"/>
  <c r="CD627" i="4"/>
  <c r="CD628" i="4"/>
  <c r="CD629" i="4"/>
  <c r="CD630" i="4"/>
  <c r="CC630" i="4" s="1"/>
  <c r="CD631" i="4"/>
  <c r="CC631" i="4" s="1"/>
  <c r="CD632" i="4"/>
  <c r="CC632" i="4" s="1"/>
  <c r="CD633" i="4"/>
  <c r="CC633" i="4" s="1"/>
  <c r="CD634" i="4"/>
  <c r="CC634" i="4" s="1"/>
  <c r="CD635" i="4"/>
  <c r="CC635" i="4" s="1"/>
  <c r="CD636" i="4"/>
  <c r="CC636" i="4" s="1"/>
  <c r="CD637" i="4"/>
  <c r="CC637" i="4" s="1"/>
  <c r="CD638" i="4"/>
  <c r="CC638" i="4" s="1"/>
  <c r="CD639" i="4"/>
  <c r="CC639" i="4" s="1"/>
  <c r="CD640" i="4"/>
  <c r="CD641" i="4"/>
  <c r="CD642" i="4"/>
  <c r="CD643" i="4"/>
  <c r="CD644" i="4"/>
  <c r="CD645" i="4"/>
  <c r="CD646" i="4"/>
  <c r="CD647" i="4"/>
  <c r="CD648" i="4"/>
  <c r="CD649" i="4"/>
  <c r="CD650" i="4"/>
  <c r="CC650" i="4" s="1"/>
  <c r="CD651" i="4"/>
  <c r="CC651" i="4" s="1"/>
  <c r="CD652" i="4"/>
  <c r="CC652" i="4" s="1"/>
  <c r="CD653" i="4"/>
  <c r="CC653" i="4" s="1"/>
  <c r="CD654" i="4"/>
  <c r="CC654" i="4" s="1"/>
  <c r="CD655" i="4"/>
  <c r="CC655" i="4" s="1"/>
  <c r="CD668" i="4"/>
  <c r="CC668" i="4" s="1"/>
  <c r="CD669" i="4"/>
  <c r="CC669" i="4" s="1"/>
  <c r="CD670" i="4"/>
  <c r="CC670" i="4" s="1"/>
  <c r="CD671" i="4"/>
  <c r="CC671" i="4" s="1"/>
  <c r="CD672" i="4"/>
  <c r="CC672" i="4" s="1"/>
  <c r="CD673" i="4"/>
  <c r="CC673" i="4" s="1"/>
  <c r="CD674" i="4"/>
  <c r="CC674" i="4" s="1"/>
  <c r="CD675" i="4"/>
  <c r="CC675" i="4" s="1"/>
  <c r="CD688" i="4"/>
  <c r="CD689" i="4"/>
  <c r="CD690" i="4"/>
  <c r="CC690" i="4" s="1"/>
  <c r="CD691" i="4"/>
  <c r="CC691" i="4" s="1"/>
  <c r="CD692" i="4"/>
  <c r="CC692" i="4" s="1"/>
  <c r="CD693" i="4"/>
  <c r="CC693" i="4" s="1"/>
  <c r="CD694" i="4"/>
  <c r="CC694" i="4" s="1"/>
  <c r="CD695" i="4"/>
  <c r="CC695" i="4" s="1"/>
  <c r="CD708" i="4"/>
  <c r="CC708" i="4" s="1"/>
  <c r="CD709" i="4"/>
  <c r="CC709" i="4" s="1"/>
  <c r="CD710" i="4"/>
  <c r="CC710" i="4" s="1"/>
  <c r="CD711" i="4"/>
  <c r="CC711" i="4" s="1"/>
  <c r="CD712" i="4"/>
  <c r="CC712" i="4" s="1"/>
  <c r="CD713" i="4"/>
  <c r="CC713" i="4" s="1"/>
  <c r="CD714" i="4"/>
  <c r="CC714" i="4" s="1"/>
  <c r="CD715" i="4"/>
  <c r="CC715" i="4" s="1"/>
  <c r="CD728" i="4"/>
  <c r="CC728" i="4" s="1"/>
  <c r="CD729" i="4"/>
  <c r="CC729" i="4" s="1"/>
  <c r="CD730" i="4"/>
  <c r="CC730" i="4" s="1"/>
  <c r="CD731" i="4"/>
  <c r="CC731" i="4" s="1"/>
  <c r="CD732" i="4"/>
  <c r="CC732" i="4" s="1"/>
  <c r="CD733" i="4"/>
  <c r="CC733" i="4" s="1"/>
  <c r="CD734" i="4"/>
  <c r="CC734" i="4" s="1"/>
  <c r="CD735" i="4"/>
  <c r="CC735" i="4" s="1"/>
  <c r="CD748" i="4"/>
  <c r="CC748" i="4" s="1"/>
  <c r="CD749" i="4"/>
  <c r="CC749" i="4" s="1"/>
  <c r="CC620" i="4"/>
  <c r="CC621" i="4"/>
  <c r="CC622" i="4"/>
  <c r="CC623" i="4"/>
  <c r="CC624" i="4"/>
  <c r="CC625" i="4"/>
  <c r="CC626" i="4"/>
  <c r="CC627" i="4"/>
  <c r="CC628" i="4"/>
  <c r="CC629" i="4"/>
  <c r="CC640" i="4"/>
  <c r="CC641" i="4"/>
  <c r="CC642" i="4"/>
  <c r="CC643" i="4"/>
  <c r="CC644" i="4"/>
  <c r="CC645" i="4"/>
  <c r="CC646" i="4"/>
  <c r="CC647" i="4"/>
  <c r="CC648" i="4"/>
  <c r="CC649" i="4"/>
  <c r="CC688" i="4"/>
  <c r="CC689" i="4"/>
  <c r="CB620" i="4"/>
  <c r="CB621" i="4"/>
  <c r="CB622" i="4"/>
  <c r="CB623" i="4"/>
  <c r="CB624" i="4"/>
  <c r="CB625" i="4"/>
  <c r="CB626" i="4"/>
  <c r="CB627" i="4"/>
  <c r="CB628" i="4"/>
  <c r="CB629" i="4"/>
  <c r="CB630" i="4"/>
  <c r="CA630" i="4" s="1"/>
  <c r="CB631" i="4"/>
  <c r="CA631" i="4" s="1"/>
  <c r="CB632" i="4"/>
  <c r="CA632" i="4" s="1"/>
  <c r="CB633" i="4"/>
  <c r="CA633" i="4" s="1"/>
  <c r="CB634" i="4"/>
  <c r="CA634" i="4" s="1"/>
  <c r="CB635" i="4"/>
  <c r="CA635" i="4" s="1"/>
  <c r="CB636" i="4"/>
  <c r="CA636" i="4" s="1"/>
  <c r="CB637" i="4"/>
  <c r="CA637" i="4" s="1"/>
  <c r="CB638" i="4"/>
  <c r="CA638" i="4" s="1"/>
  <c r="CB639" i="4"/>
  <c r="CA639" i="4" s="1"/>
  <c r="CB640" i="4"/>
  <c r="CB641" i="4"/>
  <c r="CB642" i="4"/>
  <c r="CB643" i="4"/>
  <c r="CB644" i="4"/>
  <c r="CB645" i="4"/>
  <c r="CB646" i="4"/>
  <c r="CB647" i="4"/>
  <c r="CB648" i="4"/>
  <c r="CB649" i="4"/>
  <c r="CB650" i="4"/>
  <c r="CA650" i="4" s="1"/>
  <c r="CB651" i="4"/>
  <c r="CA651" i="4" s="1"/>
  <c r="CB652" i="4"/>
  <c r="CA652" i="4" s="1"/>
  <c r="CB653" i="4"/>
  <c r="CA653" i="4" s="1"/>
  <c r="CB654" i="4"/>
  <c r="CA654" i="4" s="1"/>
  <c r="CB655" i="4"/>
  <c r="CA655" i="4" s="1"/>
  <c r="CB656" i="4"/>
  <c r="CA656" i="4" s="1"/>
  <c r="CB657" i="4"/>
  <c r="CA657" i="4" s="1"/>
  <c r="CB658" i="4"/>
  <c r="CA658" i="4" s="1"/>
  <c r="CB659" i="4"/>
  <c r="CA659" i="4" s="1"/>
  <c r="CB660" i="4"/>
  <c r="CB661" i="4"/>
  <c r="CB662" i="4"/>
  <c r="CB663" i="4"/>
  <c r="CB664" i="4"/>
  <c r="CB665" i="4"/>
  <c r="CB666" i="4"/>
  <c r="CB667" i="4"/>
  <c r="CB668" i="4"/>
  <c r="CB669" i="4"/>
  <c r="CB670" i="4"/>
  <c r="CA670" i="4" s="1"/>
  <c r="CB671" i="4"/>
  <c r="CA671" i="4" s="1"/>
  <c r="CB672" i="4"/>
  <c r="CA672" i="4" s="1"/>
  <c r="CB673" i="4"/>
  <c r="CA673" i="4" s="1"/>
  <c r="CB674" i="4"/>
  <c r="CA674" i="4" s="1"/>
  <c r="CB675" i="4"/>
  <c r="CA675" i="4" s="1"/>
  <c r="CB676" i="4"/>
  <c r="CA676" i="4" s="1"/>
  <c r="CB677" i="4"/>
  <c r="CA677" i="4" s="1"/>
  <c r="CB678" i="4"/>
  <c r="CA678" i="4" s="1"/>
  <c r="CB679" i="4"/>
  <c r="CA679" i="4" s="1"/>
  <c r="CB680" i="4"/>
  <c r="CB681" i="4"/>
  <c r="CB682" i="4"/>
  <c r="CB683" i="4"/>
  <c r="CB684" i="4"/>
  <c r="CB685" i="4"/>
  <c r="CB686" i="4"/>
  <c r="CB687" i="4"/>
  <c r="CB688" i="4"/>
  <c r="CB689" i="4"/>
  <c r="CB690" i="4"/>
  <c r="CA690" i="4" s="1"/>
  <c r="CB691" i="4"/>
  <c r="CA691" i="4" s="1"/>
  <c r="CB692" i="4"/>
  <c r="CA692" i="4" s="1"/>
  <c r="CB693" i="4"/>
  <c r="CA693" i="4" s="1"/>
  <c r="CB694" i="4"/>
  <c r="CA694" i="4" s="1"/>
  <c r="CB695" i="4"/>
  <c r="CA695" i="4" s="1"/>
  <c r="CB696" i="4"/>
  <c r="CA696" i="4" s="1"/>
  <c r="CB697" i="4"/>
  <c r="CA697" i="4" s="1"/>
  <c r="CB698" i="4"/>
  <c r="CA698" i="4" s="1"/>
  <c r="CB699" i="4"/>
  <c r="CA699" i="4" s="1"/>
  <c r="CB700" i="4"/>
  <c r="CB701" i="4"/>
  <c r="CB702" i="4"/>
  <c r="CB703" i="4"/>
  <c r="CB704" i="4"/>
  <c r="CB705" i="4"/>
  <c r="CB706" i="4"/>
  <c r="CB707" i="4"/>
  <c r="CB708" i="4"/>
  <c r="CB709" i="4"/>
  <c r="CB710" i="4"/>
  <c r="CA710" i="4" s="1"/>
  <c r="CB711" i="4"/>
  <c r="CA711" i="4" s="1"/>
  <c r="CB712" i="4"/>
  <c r="CA712" i="4" s="1"/>
  <c r="CB713" i="4"/>
  <c r="CA713" i="4" s="1"/>
  <c r="CB714" i="4"/>
  <c r="CA714" i="4" s="1"/>
  <c r="CB715" i="4"/>
  <c r="CA715" i="4" s="1"/>
  <c r="CB716" i="4"/>
  <c r="CA716" i="4" s="1"/>
  <c r="CB717" i="4"/>
  <c r="CA717" i="4" s="1"/>
  <c r="CB718" i="4"/>
  <c r="CA718" i="4" s="1"/>
  <c r="CB719" i="4"/>
  <c r="CA719" i="4" s="1"/>
  <c r="CB720" i="4"/>
  <c r="CB721" i="4"/>
  <c r="CB722" i="4"/>
  <c r="CB723" i="4"/>
  <c r="CB724" i="4"/>
  <c r="CB725" i="4"/>
  <c r="CB726" i="4"/>
  <c r="CB727" i="4"/>
  <c r="CB728" i="4"/>
  <c r="CB729" i="4"/>
  <c r="CB730" i="4"/>
  <c r="CA730" i="4" s="1"/>
  <c r="CB731" i="4"/>
  <c r="CA731" i="4" s="1"/>
  <c r="CB732" i="4"/>
  <c r="CA732" i="4" s="1"/>
  <c r="CB733" i="4"/>
  <c r="CA733" i="4" s="1"/>
  <c r="CB734" i="4"/>
  <c r="CA734" i="4" s="1"/>
  <c r="CB735" i="4"/>
  <c r="CA735" i="4" s="1"/>
  <c r="CB736" i="4"/>
  <c r="CA736" i="4" s="1"/>
  <c r="CB737" i="4"/>
  <c r="CA737" i="4" s="1"/>
  <c r="CB738" i="4"/>
  <c r="CA738" i="4" s="1"/>
  <c r="CB739" i="4"/>
  <c r="CA739" i="4" s="1"/>
  <c r="CB740" i="4"/>
  <c r="CB741" i="4"/>
  <c r="CB742" i="4"/>
  <c r="CB743" i="4"/>
  <c r="CB744" i="4"/>
  <c r="CB745" i="4"/>
  <c r="CB746" i="4"/>
  <c r="CB747" i="4"/>
  <c r="CB748" i="4"/>
  <c r="CB749" i="4"/>
  <c r="CA620" i="4"/>
  <c r="CA621" i="4"/>
  <c r="CA622" i="4"/>
  <c r="CA623" i="4"/>
  <c r="CA624" i="4"/>
  <c r="CA625" i="4"/>
  <c r="CA626" i="4"/>
  <c r="CA627" i="4"/>
  <c r="CA628" i="4"/>
  <c r="CA629" i="4"/>
  <c r="CA640" i="4"/>
  <c r="CA641" i="4"/>
  <c r="CA642" i="4"/>
  <c r="CA643" i="4"/>
  <c r="CA644" i="4"/>
  <c r="CA645" i="4"/>
  <c r="CA646" i="4"/>
  <c r="CA647" i="4"/>
  <c r="CA648" i="4"/>
  <c r="CA649" i="4"/>
  <c r="CA660" i="4"/>
  <c r="CA661" i="4"/>
  <c r="CA662" i="4"/>
  <c r="CA663" i="4"/>
  <c r="CA664" i="4"/>
  <c r="CA665" i="4"/>
  <c r="CA666" i="4"/>
  <c r="CA667" i="4"/>
  <c r="CA668" i="4"/>
  <c r="CA669" i="4"/>
  <c r="CA680" i="4"/>
  <c r="CA681" i="4"/>
  <c r="CA682" i="4"/>
  <c r="CA683" i="4"/>
  <c r="CA684" i="4"/>
  <c r="CA685" i="4"/>
  <c r="CA686" i="4"/>
  <c r="CA687" i="4"/>
  <c r="CA688" i="4"/>
  <c r="CA689" i="4"/>
  <c r="CA700" i="4"/>
  <c r="CA701" i="4"/>
  <c r="CA702" i="4"/>
  <c r="CA703" i="4"/>
  <c r="CA704" i="4"/>
  <c r="CA705" i="4"/>
  <c r="CA706" i="4"/>
  <c r="CA707" i="4"/>
  <c r="CA708" i="4"/>
  <c r="CA709" i="4"/>
  <c r="CA720" i="4"/>
  <c r="CA721" i="4"/>
  <c r="CA722" i="4"/>
  <c r="CA723" i="4"/>
  <c r="CA724" i="4"/>
  <c r="CA725" i="4"/>
  <c r="CA726" i="4"/>
  <c r="CA727" i="4"/>
  <c r="CA728" i="4"/>
  <c r="CA729" i="4"/>
  <c r="CA740" i="4"/>
  <c r="CA741" i="4"/>
  <c r="CA742" i="4"/>
  <c r="CA743" i="4"/>
  <c r="CA744" i="4"/>
  <c r="CA745" i="4"/>
  <c r="CA746" i="4"/>
  <c r="CA747" i="4"/>
  <c r="CA748" i="4"/>
  <c r="CA749" i="4"/>
  <c r="BZ620" i="4"/>
  <c r="BZ621" i="4"/>
  <c r="BZ622" i="4"/>
  <c r="BZ623" i="4"/>
  <c r="BZ624" i="4"/>
  <c r="BZ625" i="4"/>
  <c r="BZ626" i="4"/>
  <c r="BZ627" i="4"/>
  <c r="BZ628" i="4"/>
  <c r="BZ629" i="4"/>
  <c r="BZ630" i="4"/>
  <c r="BY630" i="4" s="1"/>
  <c r="BZ631" i="4"/>
  <c r="BY631" i="4" s="1"/>
  <c r="BZ632" i="4"/>
  <c r="BY632" i="4" s="1"/>
  <c r="BZ633" i="4"/>
  <c r="BY633" i="4" s="1"/>
  <c r="BZ634" i="4"/>
  <c r="BY634" i="4" s="1"/>
  <c r="BZ635" i="4"/>
  <c r="BY635" i="4" s="1"/>
  <c r="BZ636" i="4"/>
  <c r="BY636" i="4" s="1"/>
  <c r="BZ637" i="4"/>
  <c r="BY637" i="4" s="1"/>
  <c r="BZ638" i="4"/>
  <c r="BY638" i="4" s="1"/>
  <c r="BZ639" i="4"/>
  <c r="BY639" i="4" s="1"/>
  <c r="BZ640" i="4"/>
  <c r="BZ641" i="4"/>
  <c r="BZ642" i="4"/>
  <c r="BZ643" i="4"/>
  <c r="BZ644" i="4"/>
  <c r="BZ645" i="4"/>
  <c r="BZ646" i="4"/>
  <c r="BZ647" i="4"/>
  <c r="BZ648" i="4"/>
  <c r="BZ649" i="4"/>
  <c r="BZ650" i="4"/>
  <c r="BY650" i="4" s="1"/>
  <c r="BZ651" i="4"/>
  <c r="BY651" i="4" s="1"/>
  <c r="BZ652" i="4"/>
  <c r="BY652" i="4" s="1"/>
  <c r="BZ653" i="4"/>
  <c r="BY653" i="4" s="1"/>
  <c r="BZ654" i="4"/>
  <c r="BY654" i="4" s="1"/>
  <c r="BZ655" i="4"/>
  <c r="BY655" i="4" s="1"/>
  <c r="BZ656" i="4"/>
  <c r="BY656" i="4" s="1"/>
  <c r="BZ657" i="4"/>
  <c r="BY657" i="4" s="1"/>
  <c r="BZ658" i="4"/>
  <c r="BY658" i="4" s="1"/>
  <c r="BZ659" i="4"/>
  <c r="BY659" i="4" s="1"/>
  <c r="BZ660" i="4"/>
  <c r="BZ661" i="4"/>
  <c r="BZ662" i="4"/>
  <c r="BZ663" i="4"/>
  <c r="BZ664" i="4"/>
  <c r="BZ665" i="4"/>
  <c r="BZ666" i="4"/>
  <c r="BZ667" i="4"/>
  <c r="BZ668" i="4"/>
  <c r="BZ669" i="4"/>
  <c r="BZ670" i="4"/>
  <c r="BY670" i="4" s="1"/>
  <c r="BZ671" i="4"/>
  <c r="BY671" i="4" s="1"/>
  <c r="BZ672" i="4"/>
  <c r="BY672" i="4" s="1"/>
  <c r="BZ673" i="4"/>
  <c r="BY673" i="4" s="1"/>
  <c r="BZ674" i="4"/>
  <c r="BY674" i="4" s="1"/>
  <c r="BZ675" i="4"/>
  <c r="BY675" i="4" s="1"/>
  <c r="BZ676" i="4"/>
  <c r="BY676" i="4" s="1"/>
  <c r="BZ677" i="4"/>
  <c r="BY677" i="4" s="1"/>
  <c r="BZ678" i="4"/>
  <c r="BY678" i="4" s="1"/>
  <c r="BZ679" i="4"/>
  <c r="BY679" i="4" s="1"/>
  <c r="BZ680" i="4"/>
  <c r="BZ681" i="4"/>
  <c r="BZ682" i="4"/>
  <c r="BZ683" i="4"/>
  <c r="BZ684" i="4"/>
  <c r="BZ685" i="4"/>
  <c r="BZ686" i="4"/>
  <c r="BZ687" i="4"/>
  <c r="BZ688" i="4"/>
  <c r="BZ689" i="4"/>
  <c r="BZ690" i="4"/>
  <c r="BY690" i="4" s="1"/>
  <c r="BZ691" i="4"/>
  <c r="BY691" i="4" s="1"/>
  <c r="BZ692" i="4"/>
  <c r="BY692" i="4" s="1"/>
  <c r="BZ693" i="4"/>
  <c r="BY693" i="4" s="1"/>
  <c r="BZ694" i="4"/>
  <c r="BY694" i="4" s="1"/>
  <c r="BZ695" i="4"/>
  <c r="BY695" i="4" s="1"/>
  <c r="BZ696" i="4"/>
  <c r="BY696" i="4" s="1"/>
  <c r="BZ697" i="4"/>
  <c r="BY697" i="4" s="1"/>
  <c r="BZ698" i="4"/>
  <c r="BY698" i="4" s="1"/>
  <c r="BZ699" i="4"/>
  <c r="BY699" i="4" s="1"/>
  <c r="BZ700" i="4"/>
  <c r="BZ701" i="4"/>
  <c r="BZ702" i="4"/>
  <c r="BZ703" i="4"/>
  <c r="BZ704" i="4"/>
  <c r="BZ705" i="4"/>
  <c r="BZ706" i="4"/>
  <c r="BZ707" i="4"/>
  <c r="BZ708" i="4"/>
  <c r="BZ709" i="4"/>
  <c r="BZ710" i="4"/>
  <c r="BY710" i="4" s="1"/>
  <c r="BZ711" i="4"/>
  <c r="BY711" i="4" s="1"/>
  <c r="BZ712" i="4"/>
  <c r="BY712" i="4" s="1"/>
  <c r="BZ713" i="4"/>
  <c r="BY713" i="4" s="1"/>
  <c r="BZ714" i="4"/>
  <c r="BY714" i="4" s="1"/>
  <c r="BZ715" i="4"/>
  <c r="BY715" i="4" s="1"/>
  <c r="BZ716" i="4"/>
  <c r="BY716" i="4" s="1"/>
  <c r="BZ717" i="4"/>
  <c r="BY717" i="4" s="1"/>
  <c r="BZ718" i="4"/>
  <c r="BY718" i="4" s="1"/>
  <c r="BZ719" i="4"/>
  <c r="BY719" i="4" s="1"/>
  <c r="BZ720" i="4"/>
  <c r="BZ721" i="4"/>
  <c r="BZ722" i="4"/>
  <c r="BZ723" i="4"/>
  <c r="BZ724" i="4"/>
  <c r="BZ725" i="4"/>
  <c r="BZ726" i="4"/>
  <c r="BZ727" i="4"/>
  <c r="BZ728" i="4"/>
  <c r="BZ729" i="4"/>
  <c r="BZ730" i="4"/>
  <c r="BY730" i="4" s="1"/>
  <c r="BZ731" i="4"/>
  <c r="BY731" i="4" s="1"/>
  <c r="BZ732" i="4"/>
  <c r="BY732" i="4" s="1"/>
  <c r="BZ733" i="4"/>
  <c r="BY733" i="4" s="1"/>
  <c r="BZ734" i="4"/>
  <c r="BY734" i="4" s="1"/>
  <c r="BZ735" i="4"/>
  <c r="BY735" i="4" s="1"/>
  <c r="BZ736" i="4"/>
  <c r="BY736" i="4" s="1"/>
  <c r="BZ737" i="4"/>
  <c r="BY737" i="4" s="1"/>
  <c r="BZ738" i="4"/>
  <c r="BY738" i="4" s="1"/>
  <c r="BZ739" i="4"/>
  <c r="BY739" i="4" s="1"/>
  <c r="BZ740" i="4"/>
  <c r="BZ741" i="4"/>
  <c r="BZ742" i="4"/>
  <c r="BZ743" i="4"/>
  <c r="BZ744" i="4"/>
  <c r="BZ745" i="4"/>
  <c r="BZ746" i="4"/>
  <c r="BZ747" i="4"/>
  <c r="BZ748" i="4"/>
  <c r="BZ749" i="4"/>
  <c r="BY620" i="4"/>
  <c r="BY621" i="4"/>
  <c r="BY622" i="4"/>
  <c r="BY623" i="4"/>
  <c r="BY624" i="4"/>
  <c r="BY625" i="4"/>
  <c r="BY626" i="4"/>
  <c r="BY627" i="4"/>
  <c r="BY628" i="4"/>
  <c r="BY629" i="4"/>
  <c r="BY640" i="4"/>
  <c r="BY641" i="4"/>
  <c r="BY642" i="4"/>
  <c r="BY643" i="4"/>
  <c r="BY644" i="4"/>
  <c r="BY645" i="4"/>
  <c r="BY646" i="4"/>
  <c r="BY647" i="4"/>
  <c r="BY648" i="4"/>
  <c r="BY649" i="4"/>
  <c r="BY660" i="4"/>
  <c r="BY661" i="4"/>
  <c r="BY662" i="4"/>
  <c r="BY663" i="4"/>
  <c r="BY664" i="4"/>
  <c r="BY665" i="4"/>
  <c r="BY666" i="4"/>
  <c r="BY667" i="4"/>
  <c r="BY668" i="4"/>
  <c r="BY669" i="4"/>
  <c r="BY680" i="4"/>
  <c r="BY681" i="4"/>
  <c r="BY682" i="4"/>
  <c r="BY683" i="4"/>
  <c r="BY684" i="4"/>
  <c r="BY685" i="4"/>
  <c r="BY686" i="4"/>
  <c r="BY687" i="4"/>
  <c r="BY688" i="4"/>
  <c r="BY689" i="4"/>
  <c r="BY700" i="4"/>
  <c r="BY701" i="4"/>
  <c r="BY702" i="4"/>
  <c r="BY703" i="4"/>
  <c r="BY704" i="4"/>
  <c r="BY705" i="4"/>
  <c r="BY706" i="4"/>
  <c r="BY707" i="4"/>
  <c r="BY708" i="4"/>
  <c r="BY709" i="4"/>
  <c r="BY720" i="4"/>
  <c r="BY721" i="4"/>
  <c r="BY722" i="4"/>
  <c r="BY723" i="4"/>
  <c r="BY724" i="4"/>
  <c r="BY725" i="4"/>
  <c r="BY726" i="4"/>
  <c r="BY727" i="4"/>
  <c r="BY728" i="4"/>
  <c r="BY729" i="4"/>
  <c r="BY740" i="4"/>
  <c r="BY741" i="4"/>
  <c r="BY742" i="4"/>
  <c r="BY743" i="4"/>
  <c r="BY744" i="4"/>
  <c r="BY745" i="4"/>
  <c r="BY746" i="4"/>
  <c r="BY747" i="4"/>
  <c r="BY748" i="4"/>
  <c r="BY749" i="4"/>
  <c r="BY615" i="4"/>
  <c r="BY616" i="4"/>
  <c r="BY617" i="4"/>
  <c r="BY618" i="4"/>
  <c r="BY619" i="4"/>
  <c r="BX620" i="4"/>
  <c r="BX621" i="4"/>
  <c r="BX622" i="4"/>
  <c r="BX623" i="4"/>
  <c r="BX624" i="4"/>
  <c r="BX625" i="4"/>
  <c r="BW625" i="4" s="1"/>
  <c r="BX626" i="4"/>
  <c r="BW626" i="4" s="1"/>
  <c r="BX627" i="4"/>
  <c r="BW627" i="4" s="1"/>
  <c r="BX628" i="4"/>
  <c r="BX629" i="4"/>
  <c r="BX630" i="4"/>
  <c r="BX631" i="4"/>
  <c r="BX632" i="4"/>
  <c r="BX633" i="4"/>
  <c r="BW633" i="4" s="1"/>
  <c r="BX634" i="4"/>
  <c r="BW634" i="4" s="1"/>
  <c r="BX635" i="4"/>
  <c r="BW635" i="4" s="1"/>
  <c r="BX636" i="4"/>
  <c r="BW636" i="4" s="1"/>
  <c r="BX637" i="4"/>
  <c r="BW637" i="4" s="1"/>
  <c r="BX638" i="4"/>
  <c r="BW638" i="4" s="1"/>
  <c r="BX639" i="4"/>
  <c r="BW639" i="4" s="1"/>
  <c r="BX640" i="4"/>
  <c r="BX641" i="4"/>
  <c r="BX642" i="4"/>
  <c r="BX643" i="4"/>
  <c r="BX644" i="4"/>
  <c r="BX645" i="4"/>
  <c r="BW645" i="4" s="1"/>
  <c r="BX646" i="4"/>
  <c r="BW646" i="4" s="1"/>
  <c r="BX647" i="4"/>
  <c r="BW647" i="4" s="1"/>
  <c r="BX648" i="4"/>
  <c r="BX649" i="4"/>
  <c r="BX650" i="4"/>
  <c r="BX651" i="4"/>
  <c r="BX652" i="4"/>
  <c r="BX653" i="4"/>
  <c r="BW653" i="4" s="1"/>
  <c r="BX654" i="4"/>
  <c r="BW654" i="4" s="1"/>
  <c r="BX655" i="4"/>
  <c r="BW655" i="4" s="1"/>
  <c r="BX656" i="4"/>
  <c r="BW656" i="4" s="1"/>
  <c r="BX657" i="4"/>
  <c r="BW657" i="4" s="1"/>
  <c r="BX658" i="4"/>
  <c r="BW658" i="4" s="1"/>
  <c r="BX659" i="4"/>
  <c r="BW659" i="4" s="1"/>
  <c r="BX660" i="4"/>
  <c r="BX661" i="4"/>
  <c r="BX662" i="4"/>
  <c r="BX663" i="4"/>
  <c r="BX664" i="4"/>
  <c r="BX665" i="4"/>
  <c r="BW665" i="4" s="1"/>
  <c r="BX666" i="4"/>
  <c r="BW666" i="4" s="1"/>
  <c r="BX667" i="4"/>
  <c r="BW667" i="4" s="1"/>
  <c r="BX668" i="4"/>
  <c r="BX669" i="4"/>
  <c r="BX670" i="4"/>
  <c r="BX671" i="4"/>
  <c r="BX672" i="4"/>
  <c r="BX673" i="4"/>
  <c r="BW673" i="4" s="1"/>
  <c r="BX674" i="4"/>
  <c r="BW674" i="4" s="1"/>
  <c r="BX675" i="4"/>
  <c r="BW675" i="4" s="1"/>
  <c r="BX676" i="4"/>
  <c r="BW676" i="4" s="1"/>
  <c r="BX677" i="4"/>
  <c r="BW677" i="4" s="1"/>
  <c r="BX678" i="4"/>
  <c r="BW678" i="4" s="1"/>
  <c r="BX679" i="4"/>
  <c r="BW679" i="4" s="1"/>
  <c r="BX680" i="4"/>
  <c r="BX681" i="4"/>
  <c r="BX682" i="4"/>
  <c r="BX683" i="4"/>
  <c r="BX684" i="4"/>
  <c r="BX685" i="4"/>
  <c r="BW685" i="4" s="1"/>
  <c r="BX686" i="4"/>
  <c r="BW686" i="4" s="1"/>
  <c r="BX687" i="4"/>
  <c r="BW687" i="4" s="1"/>
  <c r="BX688" i="4"/>
  <c r="BX689" i="4"/>
  <c r="BX690" i="4"/>
  <c r="BX691" i="4"/>
  <c r="BX692" i="4"/>
  <c r="BX693" i="4"/>
  <c r="BW693" i="4" s="1"/>
  <c r="BX694" i="4"/>
  <c r="BW694" i="4" s="1"/>
  <c r="BX695" i="4"/>
  <c r="BW695" i="4" s="1"/>
  <c r="BX696" i="4"/>
  <c r="BW696" i="4" s="1"/>
  <c r="BX697" i="4"/>
  <c r="BW697" i="4" s="1"/>
  <c r="BX698" i="4"/>
  <c r="BW698" i="4" s="1"/>
  <c r="BX699" i="4"/>
  <c r="BW699" i="4" s="1"/>
  <c r="BX700" i="4"/>
  <c r="BX701" i="4"/>
  <c r="BX702" i="4"/>
  <c r="BX703" i="4"/>
  <c r="BX704" i="4"/>
  <c r="BX705" i="4"/>
  <c r="BW705" i="4" s="1"/>
  <c r="BX706" i="4"/>
  <c r="BW706" i="4" s="1"/>
  <c r="BX707" i="4"/>
  <c r="BW707" i="4" s="1"/>
  <c r="BX708" i="4"/>
  <c r="BX709" i="4"/>
  <c r="BX710" i="4"/>
  <c r="BX711" i="4"/>
  <c r="BX712" i="4"/>
  <c r="BX713" i="4"/>
  <c r="BW713" i="4" s="1"/>
  <c r="BX714" i="4"/>
  <c r="BW714" i="4" s="1"/>
  <c r="BX715" i="4"/>
  <c r="BW715" i="4" s="1"/>
  <c r="BX716" i="4"/>
  <c r="BW716" i="4" s="1"/>
  <c r="BX717" i="4"/>
  <c r="BW717" i="4" s="1"/>
  <c r="BX718" i="4"/>
  <c r="BW718" i="4" s="1"/>
  <c r="BX719" i="4"/>
  <c r="BW719" i="4" s="1"/>
  <c r="BX720" i="4"/>
  <c r="BX721" i="4"/>
  <c r="BX722" i="4"/>
  <c r="BX723" i="4"/>
  <c r="BX724" i="4"/>
  <c r="BX725" i="4"/>
  <c r="BW725" i="4" s="1"/>
  <c r="BX726" i="4"/>
  <c r="BW726" i="4" s="1"/>
  <c r="BX727" i="4"/>
  <c r="BW727" i="4" s="1"/>
  <c r="BX728" i="4"/>
  <c r="BX729" i="4"/>
  <c r="BX730" i="4"/>
  <c r="BX731" i="4"/>
  <c r="BX732" i="4"/>
  <c r="BX733" i="4"/>
  <c r="BW733" i="4" s="1"/>
  <c r="BX734" i="4"/>
  <c r="BW734" i="4" s="1"/>
  <c r="BX735" i="4"/>
  <c r="BW735" i="4" s="1"/>
  <c r="BX736" i="4"/>
  <c r="BW736" i="4" s="1"/>
  <c r="BX737" i="4"/>
  <c r="BW737" i="4" s="1"/>
  <c r="BX738" i="4"/>
  <c r="BW738" i="4" s="1"/>
  <c r="BX739" i="4"/>
  <c r="BW739" i="4" s="1"/>
  <c r="BX740" i="4"/>
  <c r="BX741" i="4"/>
  <c r="BX742" i="4"/>
  <c r="BX743" i="4"/>
  <c r="BX744" i="4"/>
  <c r="BX745" i="4"/>
  <c r="BW745" i="4" s="1"/>
  <c r="BX746" i="4"/>
  <c r="BW746" i="4" s="1"/>
  <c r="BX747" i="4"/>
  <c r="BW747" i="4" s="1"/>
  <c r="BX748" i="4"/>
  <c r="BX749" i="4"/>
  <c r="BX615" i="4"/>
  <c r="BX616" i="4"/>
  <c r="BX617" i="4"/>
  <c r="BX618" i="4"/>
  <c r="BX619" i="4"/>
  <c r="BW620" i="4"/>
  <c r="BW621" i="4"/>
  <c r="BW622" i="4"/>
  <c r="BW623" i="4"/>
  <c r="BW624" i="4"/>
  <c r="BW628" i="4"/>
  <c r="BW629" i="4"/>
  <c r="BW630" i="4"/>
  <c r="BW631" i="4"/>
  <c r="BW632" i="4"/>
  <c r="BW640" i="4"/>
  <c r="BW641" i="4"/>
  <c r="BW642" i="4"/>
  <c r="BW643" i="4"/>
  <c r="BW644" i="4"/>
  <c r="BW648" i="4"/>
  <c r="BW649" i="4"/>
  <c r="BW650" i="4"/>
  <c r="BW651" i="4"/>
  <c r="BW652" i="4"/>
  <c r="BW660" i="4"/>
  <c r="BW661" i="4"/>
  <c r="BW662" i="4"/>
  <c r="BW663" i="4"/>
  <c r="BW664" i="4"/>
  <c r="BW668" i="4"/>
  <c r="BW669" i="4"/>
  <c r="BW670" i="4"/>
  <c r="BW671" i="4"/>
  <c r="BW672" i="4"/>
  <c r="BW680" i="4"/>
  <c r="BW681" i="4"/>
  <c r="BW682" i="4"/>
  <c r="BW683" i="4"/>
  <c r="BW684" i="4"/>
  <c r="BW688" i="4"/>
  <c r="BW689" i="4"/>
  <c r="BW690" i="4"/>
  <c r="BW691" i="4"/>
  <c r="BW692" i="4"/>
  <c r="BW700" i="4"/>
  <c r="BW701" i="4"/>
  <c r="BW702" i="4"/>
  <c r="BW703" i="4"/>
  <c r="BW704" i="4"/>
  <c r="BW708" i="4"/>
  <c r="BW709" i="4"/>
  <c r="BW710" i="4"/>
  <c r="BW711" i="4"/>
  <c r="BW712" i="4"/>
  <c r="BW720" i="4"/>
  <c r="BW721" i="4"/>
  <c r="BW722" i="4"/>
  <c r="BW723" i="4"/>
  <c r="BW724" i="4"/>
  <c r="BW728" i="4"/>
  <c r="BW729" i="4"/>
  <c r="BW730" i="4"/>
  <c r="BW731" i="4"/>
  <c r="BW732" i="4"/>
  <c r="BW740" i="4"/>
  <c r="BW741" i="4"/>
  <c r="BW742" i="4"/>
  <c r="BW743" i="4"/>
  <c r="BW744" i="4"/>
  <c r="BW748" i="4"/>
  <c r="BW749" i="4"/>
  <c r="BW615" i="4"/>
  <c r="BW616" i="4"/>
  <c r="BW617" i="4"/>
  <c r="BW618" i="4"/>
  <c r="BW619" i="4"/>
  <c r="BV620" i="4"/>
  <c r="BV621" i="4"/>
  <c r="BV622" i="4"/>
  <c r="BV623" i="4"/>
  <c r="BV624" i="4"/>
  <c r="BV625" i="4"/>
  <c r="BU625" i="4" s="1"/>
  <c r="BV626" i="4"/>
  <c r="BU626" i="4" s="1"/>
  <c r="BV627" i="4"/>
  <c r="BU627" i="4" s="1"/>
  <c r="BV628" i="4"/>
  <c r="BU628" i="4" s="1"/>
  <c r="BV629" i="4"/>
  <c r="BU629" i="4" s="1"/>
  <c r="BV630" i="4"/>
  <c r="BU630" i="4" s="1"/>
  <c r="BV631" i="4"/>
  <c r="BU631" i="4" s="1"/>
  <c r="BV632" i="4"/>
  <c r="BU632" i="4" s="1"/>
  <c r="BV633" i="4"/>
  <c r="BU633" i="4" s="1"/>
  <c r="BV634" i="4"/>
  <c r="BU634" i="4" s="1"/>
  <c r="BV635" i="4"/>
  <c r="BU635" i="4" s="1"/>
  <c r="BV636" i="4"/>
  <c r="BU636" i="4" s="1"/>
  <c r="BV637" i="4"/>
  <c r="BU637" i="4" s="1"/>
  <c r="BV638" i="4"/>
  <c r="BU638" i="4" s="1"/>
  <c r="BV639" i="4"/>
  <c r="BU639" i="4" s="1"/>
  <c r="BV640" i="4"/>
  <c r="BV641" i="4"/>
  <c r="BV642" i="4"/>
  <c r="BV643" i="4"/>
  <c r="BV644" i="4"/>
  <c r="BV645" i="4"/>
  <c r="BU645" i="4" s="1"/>
  <c r="BV646" i="4"/>
  <c r="BU646" i="4" s="1"/>
  <c r="BV647" i="4"/>
  <c r="BU647" i="4" s="1"/>
  <c r="BV648" i="4"/>
  <c r="BU648" i="4" s="1"/>
  <c r="BV649" i="4"/>
  <c r="BU649" i="4" s="1"/>
  <c r="BV650" i="4"/>
  <c r="BU650" i="4" s="1"/>
  <c r="BV651" i="4"/>
  <c r="BU651" i="4" s="1"/>
  <c r="BV652" i="4"/>
  <c r="BU652" i="4" s="1"/>
  <c r="BV653" i="4"/>
  <c r="BU653" i="4" s="1"/>
  <c r="BV654" i="4"/>
  <c r="BU654" i="4" s="1"/>
  <c r="BV655" i="4"/>
  <c r="BU655" i="4" s="1"/>
  <c r="BV656" i="4"/>
  <c r="BU656" i="4" s="1"/>
  <c r="BV657" i="4"/>
  <c r="BU657" i="4" s="1"/>
  <c r="BV658" i="4"/>
  <c r="BU658" i="4" s="1"/>
  <c r="BV659" i="4"/>
  <c r="BU659" i="4" s="1"/>
  <c r="BV660" i="4"/>
  <c r="BV661" i="4"/>
  <c r="BV662" i="4"/>
  <c r="BV663" i="4"/>
  <c r="BV664" i="4"/>
  <c r="BV665" i="4"/>
  <c r="BU665" i="4" s="1"/>
  <c r="BV666" i="4"/>
  <c r="BU666" i="4" s="1"/>
  <c r="BV667" i="4"/>
  <c r="BU667" i="4" s="1"/>
  <c r="BV668" i="4"/>
  <c r="BU668" i="4" s="1"/>
  <c r="BV669" i="4"/>
  <c r="BU669" i="4" s="1"/>
  <c r="BV670" i="4"/>
  <c r="BU670" i="4" s="1"/>
  <c r="BV671" i="4"/>
  <c r="BU671" i="4" s="1"/>
  <c r="BV672" i="4"/>
  <c r="BU672" i="4" s="1"/>
  <c r="BV673" i="4"/>
  <c r="BU673" i="4" s="1"/>
  <c r="BV674" i="4"/>
  <c r="BU674" i="4" s="1"/>
  <c r="BV675" i="4"/>
  <c r="BU675" i="4" s="1"/>
  <c r="BV676" i="4"/>
  <c r="BU676" i="4" s="1"/>
  <c r="BV677" i="4"/>
  <c r="BU677" i="4" s="1"/>
  <c r="BV678" i="4"/>
  <c r="BU678" i="4" s="1"/>
  <c r="BV679" i="4"/>
  <c r="BU679" i="4" s="1"/>
  <c r="BV680" i="4"/>
  <c r="BV681" i="4"/>
  <c r="BV682" i="4"/>
  <c r="BV683" i="4"/>
  <c r="BV684" i="4"/>
  <c r="BV685" i="4"/>
  <c r="BU685" i="4" s="1"/>
  <c r="BV686" i="4"/>
  <c r="BU686" i="4" s="1"/>
  <c r="BV687" i="4"/>
  <c r="BU687" i="4" s="1"/>
  <c r="BV688" i="4"/>
  <c r="BU688" i="4" s="1"/>
  <c r="BV689" i="4"/>
  <c r="BU689" i="4" s="1"/>
  <c r="BV690" i="4"/>
  <c r="BU690" i="4" s="1"/>
  <c r="BV691" i="4"/>
  <c r="BU691" i="4" s="1"/>
  <c r="BV692" i="4"/>
  <c r="BU692" i="4" s="1"/>
  <c r="BV693" i="4"/>
  <c r="BU693" i="4" s="1"/>
  <c r="BV694" i="4"/>
  <c r="BU694" i="4" s="1"/>
  <c r="BV695" i="4"/>
  <c r="BU695" i="4" s="1"/>
  <c r="BV696" i="4"/>
  <c r="BU696" i="4" s="1"/>
  <c r="BV697" i="4"/>
  <c r="BU697" i="4" s="1"/>
  <c r="BV698" i="4"/>
  <c r="BU698" i="4" s="1"/>
  <c r="BV699" i="4"/>
  <c r="BU699" i="4" s="1"/>
  <c r="BV700" i="4"/>
  <c r="BV701" i="4"/>
  <c r="BV702" i="4"/>
  <c r="BV703" i="4"/>
  <c r="BV704" i="4"/>
  <c r="BV705" i="4"/>
  <c r="BU705" i="4" s="1"/>
  <c r="BV706" i="4"/>
  <c r="BU706" i="4" s="1"/>
  <c r="BV707" i="4"/>
  <c r="BU707" i="4" s="1"/>
  <c r="BV708" i="4"/>
  <c r="BU708" i="4" s="1"/>
  <c r="BV709" i="4"/>
  <c r="BU709" i="4" s="1"/>
  <c r="BV710" i="4"/>
  <c r="BU710" i="4" s="1"/>
  <c r="BV711" i="4"/>
  <c r="BU711" i="4" s="1"/>
  <c r="BV712" i="4"/>
  <c r="BU712" i="4" s="1"/>
  <c r="BV713" i="4"/>
  <c r="BU713" i="4" s="1"/>
  <c r="BV714" i="4"/>
  <c r="BU714" i="4" s="1"/>
  <c r="BV715" i="4"/>
  <c r="BU715" i="4" s="1"/>
  <c r="BV716" i="4"/>
  <c r="BU716" i="4" s="1"/>
  <c r="BV717" i="4"/>
  <c r="BU717" i="4" s="1"/>
  <c r="BV718" i="4"/>
  <c r="BU718" i="4" s="1"/>
  <c r="BV719" i="4"/>
  <c r="BU719" i="4" s="1"/>
  <c r="BV720" i="4"/>
  <c r="BV721" i="4"/>
  <c r="BV722" i="4"/>
  <c r="BV723" i="4"/>
  <c r="BV724" i="4"/>
  <c r="BV725" i="4"/>
  <c r="BU725" i="4" s="1"/>
  <c r="BV726" i="4"/>
  <c r="BU726" i="4" s="1"/>
  <c r="BV727" i="4"/>
  <c r="BU727" i="4" s="1"/>
  <c r="BV728" i="4"/>
  <c r="BU728" i="4" s="1"/>
  <c r="BV729" i="4"/>
  <c r="BU729" i="4" s="1"/>
  <c r="BV730" i="4"/>
  <c r="BU730" i="4" s="1"/>
  <c r="BV731" i="4"/>
  <c r="BU731" i="4" s="1"/>
  <c r="BV732" i="4"/>
  <c r="BU732" i="4" s="1"/>
  <c r="BV733" i="4"/>
  <c r="BU733" i="4" s="1"/>
  <c r="BV734" i="4"/>
  <c r="BU734" i="4" s="1"/>
  <c r="BV735" i="4"/>
  <c r="BU735" i="4" s="1"/>
  <c r="BV736" i="4"/>
  <c r="BU736" i="4" s="1"/>
  <c r="BV737" i="4"/>
  <c r="BU737" i="4" s="1"/>
  <c r="BV738" i="4"/>
  <c r="BU738" i="4" s="1"/>
  <c r="BV739" i="4"/>
  <c r="BU739" i="4" s="1"/>
  <c r="BV740" i="4"/>
  <c r="BV741" i="4"/>
  <c r="BV742" i="4"/>
  <c r="BV743" i="4"/>
  <c r="BV744" i="4"/>
  <c r="BV745" i="4"/>
  <c r="BU745" i="4" s="1"/>
  <c r="BV746" i="4"/>
  <c r="BU746" i="4" s="1"/>
  <c r="BV747" i="4"/>
  <c r="BU747" i="4" s="1"/>
  <c r="BV748" i="4"/>
  <c r="BU748" i="4" s="1"/>
  <c r="BV749" i="4"/>
  <c r="BU749" i="4" s="1"/>
  <c r="BV615" i="4"/>
  <c r="BV616" i="4"/>
  <c r="BV617" i="4"/>
  <c r="BV618" i="4"/>
  <c r="BV619" i="4"/>
  <c r="BU620" i="4"/>
  <c r="BU621" i="4"/>
  <c r="BU622" i="4"/>
  <c r="BU623" i="4"/>
  <c r="BU624" i="4"/>
  <c r="BU640" i="4"/>
  <c r="BU641" i="4"/>
  <c r="BU642" i="4"/>
  <c r="BU643" i="4"/>
  <c r="BU644" i="4"/>
  <c r="BU660" i="4"/>
  <c r="BU661" i="4"/>
  <c r="BU662" i="4"/>
  <c r="BU663" i="4"/>
  <c r="BU664" i="4"/>
  <c r="BU680" i="4"/>
  <c r="BU681" i="4"/>
  <c r="BU682" i="4"/>
  <c r="BU683" i="4"/>
  <c r="BU684" i="4"/>
  <c r="BU700" i="4"/>
  <c r="BU701" i="4"/>
  <c r="BU702" i="4"/>
  <c r="BU703" i="4"/>
  <c r="BU704" i="4"/>
  <c r="BU720" i="4"/>
  <c r="BU721" i="4"/>
  <c r="BU722" i="4"/>
  <c r="BU723" i="4"/>
  <c r="BU724" i="4"/>
  <c r="BU740" i="4"/>
  <c r="BU741" i="4"/>
  <c r="BU742" i="4"/>
  <c r="BU743" i="4"/>
  <c r="BU744" i="4"/>
  <c r="BU615" i="4"/>
  <c r="BU616" i="4"/>
  <c r="BU617" i="4"/>
  <c r="BU618" i="4"/>
  <c r="BU619" i="4"/>
  <c r="BT620" i="4"/>
  <c r="BT621" i="4"/>
  <c r="BT622" i="4"/>
  <c r="BT623" i="4"/>
  <c r="BT624" i="4"/>
  <c r="BT625" i="4"/>
  <c r="BS625" i="4" s="1"/>
  <c r="BT626" i="4"/>
  <c r="BS626" i="4" s="1"/>
  <c r="BT627" i="4"/>
  <c r="BS627" i="4" s="1"/>
  <c r="BT628" i="4"/>
  <c r="BS628" i="4" s="1"/>
  <c r="BT629" i="4"/>
  <c r="BS629" i="4" s="1"/>
  <c r="BT630" i="4"/>
  <c r="BS630" i="4" s="1"/>
  <c r="BT631" i="4"/>
  <c r="BT632" i="4"/>
  <c r="BT633" i="4"/>
  <c r="BT634" i="4"/>
  <c r="BT635" i="4"/>
  <c r="BT636" i="4"/>
  <c r="BS636" i="4" s="1"/>
  <c r="BT637" i="4"/>
  <c r="BS637" i="4" s="1"/>
  <c r="BT638" i="4"/>
  <c r="BS638" i="4" s="1"/>
  <c r="BT639" i="4"/>
  <c r="BS639" i="4" s="1"/>
  <c r="BT640" i="4"/>
  <c r="BT641" i="4"/>
  <c r="BT642" i="4"/>
  <c r="BT643" i="4"/>
  <c r="BT644" i="4"/>
  <c r="BT645" i="4"/>
  <c r="BS645" i="4" s="1"/>
  <c r="BT646" i="4"/>
  <c r="BS646" i="4" s="1"/>
  <c r="BT647" i="4"/>
  <c r="BS647" i="4" s="1"/>
  <c r="BT648" i="4"/>
  <c r="BS648" i="4" s="1"/>
  <c r="BT649" i="4"/>
  <c r="BS649" i="4" s="1"/>
  <c r="BT650" i="4"/>
  <c r="BS650" i="4" s="1"/>
  <c r="BT651" i="4"/>
  <c r="BS651" i="4" s="1"/>
  <c r="BT652" i="4"/>
  <c r="BS652" i="4" s="1"/>
  <c r="BT653" i="4"/>
  <c r="BS653" i="4" s="1"/>
  <c r="BT654" i="4"/>
  <c r="BS654" i="4" s="1"/>
  <c r="BT655" i="4"/>
  <c r="BS655" i="4" s="1"/>
  <c r="BT656" i="4"/>
  <c r="BS656" i="4" s="1"/>
  <c r="BT657" i="4"/>
  <c r="BS657" i="4" s="1"/>
  <c r="BT658" i="4"/>
  <c r="BS658" i="4" s="1"/>
  <c r="BT659" i="4"/>
  <c r="BS659" i="4" s="1"/>
  <c r="BT660" i="4"/>
  <c r="BS660" i="4" s="1"/>
  <c r="BT661" i="4"/>
  <c r="BS661" i="4" s="1"/>
  <c r="BT662" i="4"/>
  <c r="BS662" i="4" s="1"/>
  <c r="BT663" i="4"/>
  <c r="BT664" i="4"/>
  <c r="BT665" i="4"/>
  <c r="BS665" i="4" s="1"/>
  <c r="BT666" i="4"/>
  <c r="BS666" i="4" s="1"/>
  <c r="BT667" i="4"/>
  <c r="BS667" i="4" s="1"/>
  <c r="BT668" i="4"/>
  <c r="BS668" i="4" s="1"/>
  <c r="BT669" i="4"/>
  <c r="BS669" i="4" s="1"/>
  <c r="BT670" i="4"/>
  <c r="BS670" i="4" s="1"/>
  <c r="BT671" i="4"/>
  <c r="BT672" i="4"/>
  <c r="BT673" i="4"/>
  <c r="BT674" i="4"/>
  <c r="BS674" i="4" s="1"/>
  <c r="BT675" i="4"/>
  <c r="BS675" i="4" s="1"/>
  <c r="BT676" i="4"/>
  <c r="BS676" i="4" s="1"/>
  <c r="BT677" i="4"/>
  <c r="BS677" i="4" s="1"/>
  <c r="BT678" i="4"/>
  <c r="BS678" i="4" s="1"/>
  <c r="BT679" i="4"/>
  <c r="BS679" i="4" s="1"/>
  <c r="BT680" i="4"/>
  <c r="BS680" i="4" s="1"/>
  <c r="BT681" i="4"/>
  <c r="BS681" i="4" s="1"/>
  <c r="BT682" i="4"/>
  <c r="BS682" i="4" s="1"/>
  <c r="BT683" i="4"/>
  <c r="BS683" i="4" s="1"/>
  <c r="BT684" i="4"/>
  <c r="BT685" i="4"/>
  <c r="BS685" i="4" s="1"/>
  <c r="BT686" i="4"/>
  <c r="BS686" i="4" s="1"/>
  <c r="BT687" i="4"/>
  <c r="BS687" i="4" s="1"/>
  <c r="BT688" i="4"/>
  <c r="BS688" i="4" s="1"/>
  <c r="BT689" i="4"/>
  <c r="BS689" i="4" s="1"/>
  <c r="BT690" i="4"/>
  <c r="BS690" i="4" s="1"/>
  <c r="BT691" i="4"/>
  <c r="BS691" i="4" s="1"/>
  <c r="BT692" i="4"/>
  <c r="BS692" i="4" s="1"/>
  <c r="BT693" i="4"/>
  <c r="BS693" i="4" s="1"/>
  <c r="BT694" i="4"/>
  <c r="BS694" i="4" s="1"/>
  <c r="BT695" i="4"/>
  <c r="BS695" i="4" s="1"/>
  <c r="BT696" i="4"/>
  <c r="BS696" i="4" s="1"/>
  <c r="BT697" i="4"/>
  <c r="BS697" i="4" s="1"/>
  <c r="BT698" i="4"/>
  <c r="BS698" i="4" s="1"/>
  <c r="BT699" i="4"/>
  <c r="BS699" i="4" s="1"/>
  <c r="BT700" i="4"/>
  <c r="BT701" i="4"/>
  <c r="BT702" i="4"/>
  <c r="BT703" i="4"/>
  <c r="BT704" i="4"/>
  <c r="BT705" i="4"/>
  <c r="BS705" i="4" s="1"/>
  <c r="BT706" i="4"/>
  <c r="BS706" i="4" s="1"/>
  <c r="BT707" i="4"/>
  <c r="BS707" i="4" s="1"/>
  <c r="BT708" i="4"/>
  <c r="BS708" i="4" s="1"/>
  <c r="BT709" i="4"/>
  <c r="BS709" i="4" s="1"/>
  <c r="BT710" i="4"/>
  <c r="BS710" i="4" s="1"/>
  <c r="BT711" i="4"/>
  <c r="BT712" i="4"/>
  <c r="BT713" i="4"/>
  <c r="BT714" i="4"/>
  <c r="BS714" i="4" s="1"/>
  <c r="BT715" i="4"/>
  <c r="BS715" i="4" s="1"/>
  <c r="BT716" i="4"/>
  <c r="BS716" i="4" s="1"/>
  <c r="BT717" i="4"/>
  <c r="BS717" i="4" s="1"/>
  <c r="BT718" i="4"/>
  <c r="BS718" i="4" s="1"/>
  <c r="BT719" i="4"/>
  <c r="BS719" i="4" s="1"/>
  <c r="BT720" i="4"/>
  <c r="BS720" i="4" s="1"/>
  <c r="BT721" i="4"/>
  <c r="BS721" i="4" s="1"/>
  <c r="BT722" i="4"/>
  <c r="BS722" i="4" s="1"/>
  <c r="BT723" i="4"/>
  <c r="BS723" i="4" s="1"/>
  <c r="BT724" i="4"/>
  <c r="BT725" i="4"/>
  <c r="BS725" i="4" s="1"/>
  <c r="BT726" i="4"/>
  <c r="BS726" i="4" s="1"/>
  <c r="BT727" i="4"/>
  <c r="BS727" i="4" s="1"/>
  <c r="BT728" i="4"/>
  <c r="BS728" i="4" s="1"/>
  <c r="BT729" i="4"/>
  <c r="BS729" i="4" s="1"/>
  <c r="BT730" i="4"/>
  <c r="BS730" i="4" s="1"/>
  <c r="BT731" i="4"/>
  <c r="BS731" i="4" s="1"/>
  <c r="BT732" i="4"/>
  <c r="BS732" i="4" s="1"/>
  <c r="BT733" i="4"/>
  <c r="BS733" i="4" s="1"/>
  <c r="BT734" i="4"/>
  <c r="BS734" i="4" s="1"/>
  <c r="BT735" i="4"/>
  <c r="BS735" i="4" s="1"/>
  <c r="BT736" i="4"/>
  <c r="BS736" i="4" s="1"/>
  <c r="BT737" i="4"/>
  <c r="BS737" i="4" s="1"/>
  <c r="BT738" i="4"/>
  <c r="BS738" i="4" s="1"/>
  <c r="BT739" i="4"/>
  <c r="BS739" i="4" s="1"/>
  <c r="BT740" i="4"/>
  <c r="BT741" i="4"/>
  <c r="BT742" i="4"/>
  <c r="BT743" i="4"/>
  <c r="BT744" i="4"/>
  <c r="BT745" i="4"/>
  <c r="BS745" i="4" s="1"/>
  <c r="BT746" i="4"/>
  <c r="BS746" i="4" s="1"/>
  <c r="BT747" i="4"/>
  <c r="BS747" i="4" s="1"/>
  <c r="BT748" i="4"/>
  <c r="BS748" i="4" s="1"/>
  <c r="BT749" i="4"/>
  <c r="BS749" i="4" s="1"/>
  <c r="BT615" i="4"/>
  <c r="BT616" i="4"/>
  <c r="BT617" i="4"/>
  <c r="BT618" i="4"/>
  <c r="BT619" i="4"/>
  <c r="BS620" i="4"/>
  <c r="BS621" i="4"/>
  <c r="BS622" i="4"/>
  <c r="BS623" i="4"/>
  <c r="BS624" i="4"/>
  <c r="BS631" i="4"/>
  <c r="BS632" i="4"/>
  <c r="BS633" i="4"/>
  <c r="BS634" i="4"/>
  <c r="BS635" i="4"/>
  <c r="BS640" i="4"/>
  <c r="BS641" i="4"/>
  <c r="BS642" i="4"/>
  <c r="BS643" i="4"/>
  <c r="BS644" i="4"/>
  <c r="BS663" i="4"/>
  <c r="BS664" i="4"/>
  <c r="BS671" i="4"/>
  <c r="BS672" i="4"/>
  <c r="BS673" i="4"/>
  <c r="BS684" i="4"/>
  <c r="BS700" i="4"/>
  <c r="BS701" i="4"/>
  <c r="BS702" i="4"/>
  <c r="BS703" i="4"/>
  <c r="BS704" i="4"/>
  <c r="BS711" i="4"/>
  <c r="BS712" i="4"/>
  <c r="BS713" i="4"/>
  <c r="BS724" i="4"/>
  <c r="BS740" i="4"/>
  <c r="BS741" i="4"/>
  <c r="BS742" i="4"/>
  <c r="BS743" i="4"/>
  <c r="BS744" i="4"/>
  <c r="BS615" i="4"/>
  <c r="BS616" i="4"/>
  <c r="BS617" i="4"/>
  <c r="BS618" i="4"/>
  <c r="BS619" i="4"/>
  <c r="BR620" i="4"/>
  <c r="BR621" i="4"/>
  <c r="BR622" i="4"/>
  <c r="BR623" i="4"/>
  <c r="BR624" i="4"/>
  <c r="BR625" i="4"/>
  <c r="BQ625" i="4" s="1"/>
  <c r="BR626" i="4"/>
  <c r="BQ626" i="4" s="1"/>
  <c r="BR627" i="4"/>
  <c r="BQ627" i="4" s="1"/>
  <c r="BR628" i="4"/>
  <c r="BQ628" i="4" s="1"/>
  <c r="BR629" i="4"/>
  <c r="BQ629" i="4" s="1"/>
  <c r="BR630" i="4"/>
  <c r="BQ630" i="4" s="1"/>
  <c r="BR631" i="4"/>
  <c r="BR632" i="4"/>
  <c r="BR633" i="4"/>
  <c r="BR634" i="4"/>
  <c r="BQ634" i="4" s="1"/>
  <c r="BR635" i="4"/>
  <c r="BQ635" i="4" s="1"/>
  <c r="BR636" i="4"/>
  <c r="BQ636" i="4" s="1"/>
  <c r="BR637" i="4"/>
  <c r="BQ637" i="4" s="1"/>
  <c r="BR638" i="4"/>
  <c r="BQ638" i="4" s="1"/>
  <c r="BR639" i="4"/>
  <c r="BQ639" i="4" s="1"/>
  <c r="BR640" i="4"/>
  <c r="BR641" i="4"/>
  <c r="BR642" i="4"/>
  <c r="BR643" i="4"/>
  <c r="BR644" i="4"/>
  <c r="BR645" i="4"/>
  <c r="BQ645" i="4" s="1"/>
  <c r="BR646" i="4"/>
  <c r="BQ646" i="4" s="1"/>
  <c r="BR647" i="4"/>
  <c r="BQ647" i="4" s="1"/>
  <c r="BR648" i="4"/>
  <c r="BQ648" i="4" s="1"/>
  <c r="BR649" i="4"/>
  <c r="BQ649" i="4" s="1"/>
  <c r="BR650" i="4"/>
  <c r="BQ650" i="4" s="1"/>
  <c r="BR651" i="4"/>
  <c r="BR652" i="4"/>
  <c r="BR653" i="4"/>
  <c r="BR654" i="4"/>
  <c r="BQ654" i="4" s="1"/>
  <c r="BR655" i="4"/>
  <c r="BQ655" i="4" s="1"/>
  <c r="BR656" i="4"/>
  <c r="BQ656" i="4" s="1"/>
  <c r="BR657" i="4"/>
  <c r="BQ657" i="4" s="1"/>
  <c r="BR658" i="4"/>
  <c r="BQ658" i="4" s="1"/>
  <c r="BR659" i="4"/>
  <c r="BQ659" i="4" s="1"/>
  <c r="BR660" i="4"/>
  <c r="BR661" i="4"/>
  <c r="BR662" i="4"/>
  <c r="BR663" i="4"/>
  <c r="BR664" i="4"/>
  <c r="BR665" i="4"/>
  <c r="BQ665" i="4" s="1"/>
  <c r="BR666" i="4"/>
  <c r="BQ666" i="4" s="1"/>
  <c r="BR667" i="4"/>
  <c r="BQ667" i="4" s="1"/>
  <c r="BR668" i="4"/>
  <c r="BQ668" i="4" s="1"/>
  <c r="BR669" i="4"/>
  <c r="BQ669" i="4" s="1"/>
  <c r="BR670" i="4"/>
  <c r="BQ670" i="4" s="1"/>
  <c r="BR671" i="4"/>
  <c r="BR672" i="4"/>
  <c r="BR673" i="4"/>
  <c r="BR674" i="4"/>
  <c r="BQ674" i="4" s="1"/>
  <c r="BR675" i="4"/>
  <c r="BQ675" i="4" s="1"/>
  <c r="BR676" i="4"/>
  <c r="BQ676" i="4" s="1"/>
  <c r="BR677" i="4"/>
  <c r="BQ677" i="4" s="1"/>
  <c r="BR678" i="4"/>
  <c r="BQ678" i="4" s="1"/>
  <c r="BR679" i="4"/>
  <c r="BQ679" i="4" s="1"/>
  <c r="BR680" i="4"/>
  <c r="BR681" i="4"/>
  <c r="BR682" i="4"/>
  <c r="BR683" i="4"/>
  <c r="BR684" i="4"/>
  <c r="BR685" i="4"/>
  <c r="BQ685" i="4" s="1"/>
  <c r="BR686" i="4"/>
  <c r="BQ686" i="4" s="1"/>
  <c r="BR687" i="4"/>
  <c r="BQ687" i="4" s="1"/>
  <c r="BR688" i="4"/>
  <c r="BQ688" i="4" s="1"/>
  <c r="BR689" i="4"/>
  <c r="BQ689" i="4" s="1"/>
  <c r="BR690" i="4"/>
  <c r="BQ690" i="4" s="1"/>
  <c r="BR691" i="4"/>
  <c r="BR692" i="4"/>
  <c r="BR693" i="4"/>
  <c r="BR694" i="4"/>
  <c r="BQ694" i="4" s="1"/>
  <c r="BR695" i="4"/>
  <c r="BQ695" i="4" s="1"/>
  <c r="BR696" i="4"/>
  <c r="BQ696" i="4" s="1"/>
  <c r="BR697" i="4"/>
  <c r="BQ697" i="4" s="1"/>
  <c r="BR698" i="4"/>
  <c r="BQ698" i="4" s="1"/>
  <c r="BR699" i="4"/>
  <c r="BQ699" i="4" s="1"/>
  <c r="BR700" i="4"/>
  <c r="BR701" i="4"/>
  <c r="BR702" i="4"/>
  <c r="BR703" i="4"/>
  <c r="BR704" i="4"/>
  <c r="BR705" i="4"/>
  <c r="BQ705" i="4" s="1"/>
  <c r="BR706" i="4"/>
  <c r="BQ706" i="4" s="1"/>
  <c r="BR707" i="4"/>
  <c r="BQ707" i="4" s="1"/>
  <c r="BR708" i="4"/>
  <c r="BQ708" i="4" s="1"/>
  <c r="BR709" i="4"/>
  <c r="BQ709" i="4" s="1"/>
  <c r="BR710" i="4"/>
  <c r="BQ710" i="4" s="1"/>
  <c r="BR711" i="4"/>
  <c r="BR712" i="4"/>
  <c r="BR713" i="4"/>
  <c r="BR714" i="4"/>
  <c r="BQ714" i="4" s="1"/>
  <c r="BR715" i="4"/>
  <c r="BQ715" i="4" s="1"/>
  <c r="BR716" i="4"/>
  <c r="BQ716" i="4" s="1"/>
  <c r="BR717" i="4"/>
  <c r="BQ717" i="4" s="1"/>
  <c r="BR718" i="4"/>
  <c r="BQ718" i="4" s="1"/>
  <c r="BR719" i="4"/>
  <c r="BQ719" i="4" s="1"/>
  <c r="BR720" i="4"/>
  <c r="BR721" i="4"/>
  <c r="BR722" i="4"/>
  <c r="BR723" i="4"/>
  <c r="BR724" i="4"/>
  <c r="BR725" i="4"/>
  <c r="BQ725" i="4" s="1"/>
  <c r="BR726" i="4"/>
  <c r="BQ726" i="4" s="1"/>
  <c r="BR727" i="4"/>
  <c r="BQ727" i="4" s="1"/>
  <c r="BR728" i="4"/>
  <c r="BQ728" i="4" s="1"/>
  <c r="BR729" i="4"/>
  <c r="BQ729" i="4" s="1"/>
  <c r="BR730" i="4"/>
  <c r="BQ730" i="4" s="1"/>
  <c r="BR731" i="4"/>
  <c r="BR732" i="4"/>
  <c r="BR733" i="4"/>
  <c r="BR734" i="4"/>
  <c r="BQ734" i="4" s="1"/>
  <c r="BR735" i="4"/>
  <c r="BQ735" i="4" s="1"/>
  <c r="BR736" i="4"/>
  <c r="BQ736" i="4" s="1"/>
  <c r="BR737" i="4"/>
  <c r="BQ737" i="4" s="1"/>
  <c r="BR738" i="4"/>
  <c r="BQ738" i="4" s="1"/>
  <c r="BR739" i="4"/>
  <c r="BQ739" i="4" s="1"/>
  <c r="BR740" i="4"/>
  <c r="BR741" i="4"/>
  <c r="BR742" i="4"/>
  <c r="BR743" i="4"/>
  <c r="BR744" i="4"/>
  <c r="BR745" i="4"/>
  <c r="BQ745" i="4" s="1"/>
  <c r="BR746" i="4"/>
  <c r="BQ746" i="4" s="1"/>
  <c r="BR747" i="4"/>
  <c r="BQ747" i="4" s="1"/>
  <c r="BR748" i="4"/>
  <c r="BQ748" i="4" s="1"/>
  <c r="BR749" i="4"/>
  <c r="BQ749" i="4" s="1"/>
  <c r="BR604" i="4"/>
  <c r="BR605" i="4"/>
  <c r="BR606" i="4"/>
  <c r="BR607" i="4"/>
  <c r="BR608" i="4"/>
  <c r="BR609" i="4"/>
  <c r="BQ609" i="4" s="1"/>
  <c r="BR610" i="4"/>
  <c r="BQ610" i="4" s="1"/>
  <c r="BR611" i="4"/>
  <c r="BQ611" i="4" s="1"/>
  <c r="BR612" i="4"/>
  <c r="BQ612" i="4" s="1"/>
  <c r="BR613" i="4"/>
  <c r="BQ613" i="4" s="1"/>
  <c r="BR614" i="4"/>
  <c r="BQ614" i="4" s="1"/>
  <c r="BR615" i="4"/>
  <c r="BR616" i="4"/>
  <c r="BR617" i="4"/>
  <c r="BR618" i="4"/>
  <c r="BQ618" i="4" s="1"/>
  <c r="BR619" i="4"/>
  <c r="BQ619" i="4" s="1"/>
  <c r="BQ620" i="4"/>
  <c r="BQ621" i="4"/>
  <c r="BQ622" i="4"/>
  <c r="BQ623" i="4"/>
  <c r="BQ624" i="4"/>
  <c r="BQ631" i="4"/>
  <c r="BQ632" i="4"/>
  <c r="BQ633" i="4"/>
  <c r="BQ640" i="4"/>
  <c r="BQ641" i="4"/>
  <c r="BQ642" i="4"/>
  <c r="BQ643" i="4"/>
  <c r="BQ644" i="4"/>
  <c r="BQ651" i="4"/>
  <c r="BQ652" i="4"/>
  <c r="BQ653" i="4"/>
  <c r="BQ660" i="4"/>
  <c r="BQ661" i="4"/>
  <c r="BQ662" i="4"/>
  <c r="BQ663" i="4"/>
  <c r="BQ664" i="4"/>
  <c r="BQ671" i="4"/>
  <c r="BQ672" i="4"/>
  <c r="BQ673" i="4"/>
  <c r="BQ680" i="4"/>
  <c r="BQ681" i="4"/>
  <c r="BQ682" i="4"/>
  <c r="BQ683" i="4"/>
  <c r="BQ684" i="4"/>
  <c r="BQ691" i="4"/>
  <c r="BQ692" i="4"/>
  <c r="BQ693" i="4"/>
  <c r="BQ700" i="4"/>
  <c r="BQ701" i="4"/>
  <c r="BQ702" i="4"/>
  <c r="BQ703" i="4"/>
  <c r="BQ704" i="4"/>
  <c r="BQ711" i="4"/>
  <c r="BQ712" i="4"/>
  <c r="BQ713" i="4"/>
  <c r="BQ720" i="4"/>
  <c r="BQ721" i="4"/>
  <c r="BQ722" i="4"/>
  <c r="BQ723" i="4"/>
  <c r="BQ724" i="4"/>
  <c r="BQ731" i="4"/>
  <c r="BQ732" i="4"/>
  <c r="BQ733" i="4"/>
  <c r="BQ740" i="4"/>
  <c r="BQ741" i="4"/>
  <c r="BQ742" i="4"/>
  <c r="BQ743" i="4"/>
  <c r="BQ744" i="4"/>
  <c r="BQ604" i="4"/>
  <c r="BQ605" i="4"/>
  <c r="BQ606" i="4"/>
  <c r="BQ607" i="4"/>
  <c r="BQ608" i="4"/>
  <c r="BQ615" i="4"/>
  <c r="BQ616" i="4"/>
  <c r="BQ617" i="4"/>
  <c r="BP620" i="4"/>
  <c r="BP621" i="4"/>
  <c r="BP622" i="4"/>
  <c r="BP623" i="4"/>
  <c r="BP624" i="4"/>
  <c r="BP625" i="4"/>
  <c r="BP626" i="4"/>
  <c r="BP627" i="4"/>
  <c r="BP628" i="4"/>
  <c r="BP629" i="4"/>
  <c r="BP630" i="4"/>
  <c r="BO630" i="4" s="1"/>
  <c r="BP631" i="4"/>
  <c r="BO631" i="4" s="1"/>
  <c r="BP632" i="4"/>
  <c r="BO632" i="4" s="1"/>
  <c r="BP633" i="4"/>
  <c r="BO633" i="4" s="1"/>
  <c r="BP634" i="4"/>
  <c r="BO634" i="4" s="1"/>
  <c r="BP635" i="4"/>
  <c r="BO635" i="4" s="1"/>
  <c r="BP636" i="4"/>
  <c r="BO636" i="4" s="1"/>
  <c r="BP637" i="4"/>
  <c r="BO637" i="4" s="1"/>
  <c r="BP638" i="4"/>
  <c r="BO638" i="4" s="1"/>
  <c r="BP639" i="4"/>
  <c r="BO639" i="4" s="1"/>
  <c r="BP640" i="4"/>
  <c r="BP641" i="4"/>
  <c r="BP642" i="4"/>
  <c r="BP643" i="4"/>
  <c r="BP644" i="4"/>
  <c r="BP645" i="4"/>
  <c r="BP646" i="4"/>
  <c r="BP647" i="4"/>
  <c r="BP648" i="4"/>
  <c r="BP649" i="4"/>
  <c r="BP650" i="4"/>
  <c r="BO650" i="4" s="1"/>
  <c r="BP651" i="4"/>
  <c r="BO651" i="4" s="1"/>
  <c r="BP652" i="4"/>
  <c r="BO652" i="4" s="1"/>
  <c r="BP653" i="4"/>
  <c r="BO653" i="4" s="1"/>
  <c r="BP654" i="4"/>
  <c r="BO654" i="4" s="1"/>
  <c r="BP655" i="4"/>
  <c r="BO655" i="4" s="1"/>
  <c r="BP656" i="4"/>
  <c r="BO656" i="4" s="1"/>
  <c r="BP658" i="4"/>
  <c r="BO658" i="4" s="1"/>
  <c r="BP659" i="4"/>
  <c r="BO659" i="4" s="1"/>
  <c r="BP660" i="4"/>
  <c r="BO660" i="4" s="1"/>
  <c r="BP661" i="4"/>
  <c r="BO661" i="4" s="1"/>
  <c r="BP662" i="4"/>
  <c r="BO662" i="4" s="1"/>
  <c r="BP663" i="4"/>
  <c r="BO663" i="4" s="1"/>
  <c r="BP664" i="4"/>
  <c r="BO664" i="4" s="1"/>
  <c r="BP665" i="4"/>
  <c r="BO665" i="4" s="1"/>
  <c r="BP666" i="4"/>
  <c r="BO666" i="4" s="1"/>
  <c r="BP667" i="4"/>
  <c r="BO667" i="4" s="1"/>
  <c r="BP669" i="4"/>
  <c r="BP670" i="4"/>
  <c r="BO670" i="4" s="1"/>
  <c r="BP671" i="4"/>
  <c r="BO671" i="4" s="1"/>
  <c r="BP672" i="4"/>
  <c r="BO672" i="4" s="1"/>
  <c r="BP673" i="4"/>
  <c r="BO673" i="4" s="1"/>
  <c r="BP674" i="4"/>
  <c r="BO674" i="4" s="1"/>
  <c r="BP675" i="4"/>
  <c r="BO675" i="4" s="1"/>
  <c r="BP676" i="4"/>
  <c r="BO676" i="4" s="1"/>
  <c r="BP678" i="4"/>
  <c r="BO678" i="4" s="1"/>
  <c r="BP679" i="4"/>
  <c r="BO679" i="4" s="1"/>
  <c r="BP680" i="4"/>
  <c r="BP681" i="4"/>
  <c r="BP682" i="4"/>
  <c r="BP683" i="4"/>
  <c r="BP684" i="4"/>
  <c r="BO684" i="4" s="1"/>
  <c r="BP685" i="4"/>
  <c r="BP686" i="4"/>
  <c r="BP687" i="4"/>
  <c r="BP689" i="4"/>
  <c r="BP690" i="4"/>
  <c r="BO690" i="4" s="1"/>
  <c r="BP691" i="4"/>
  <c r="BO691" i="4" s="1"/>
  <c r="BP692" i="4"/>
  <c r="BO692" i="4" s="1"/>
  <c r="BP693" i="4"/>
  <c r="BO693" i="4" s="1"/>
  <c r="BP694" i="4"/>
  <c r="BO694" i="4" s="1"/>
  <c r="BP695" i="4"/>
  <c r="BO695" i="4" s="1"/>
  <c r="BP696" i="4"/>
  <c r="BO696" i="4" s="1"/>
  <c r="BP698" i="4"/>
  <c r="BO698" i="4" s="1"/>
  <c r="BP699" i="4"/>
  <c r="BO699" i="4" s="1"/>
  <c r="BP700" i="4"/>
  <c r="BO700" i="4" s="1"/>
  <c r="BP701" i="4"/>
  <c r="BO701" i="4" s="1"/>
  <c r="BP702" i="4"/>
  <c r="BO702" i="4" s="1"/>
  <c r="BP703" i="4"/>
  <c r="BO703" i="4" s="1"/>
  <c r="BP704" i="4"/>
  <c r="BO704" i="4" s="1"/>
  <c r="BP705" i="4"/>
  <c r="BO705" i="4" s="1"/>
  <c r="BP706" i="4"/>
  <c r="BO706" i="4" s="1"/>
  <c r="BP707" i="4"/>
  <c r="BO707" i="4" s="1"/>
  <c r="BP709" i="4"/>
  <c r="BP710" i="4"/>
  <c r="BO710" i="4" s="1"/>
  <c r="BP711" i="4"/>
  <c r="BO711" i="4" s="1"/>
  <c r="BP712" i="4"/>
  <c r="BO712" i="4" s="1"/>
  <c r="BP713" i="4"/>
  <c r="BO713" i="4" s="1"/>
  <c r="BP714" i="4"/>
  <c r="BO714" i="4" s="1"/>
  <c r="BP715" i="4"/>
  <c r="BO715" i="4" s="1"/>
  <c r="BP716" i="4"/>
  <c r="BO716" i="4" s="1"/>
  <c r="BP718" i="4"/>
  <c r="BO718" i="4" s="1"/>
  <c r="BP719" i="4"/>
  <c r="BO719" i="4" s="1"/>
  <c r="BP720" i="4"/>
  <c r="BP721" i="4"/>
  <c r="BP722" i="4"/>
  <c r="BP723" i="4"/>
  <c r="BP724" i="4"/>
  <c r="BP725" i="4"/>
  <c r="BP726" i="4"/>
  <c r="BP727" i="4"/>
  <c r="BP729" i="4"/>
  <c r="BP730" i="4"/>
  <c r="BO730" i="4" s="1"/>
  <c r="BP731" i="4"/>
  <c r="BO731" i="4" s="1"/>
  <c r="BP732" i="4"/>
  <c r="BO732" i="4" s="1"/>
  <c r="BP733" i="4"/>
  <c r="BO733" i="4" s="1"/>
  <c r="BP734" i="4"/>
  <c r="BO734" i="4" s="1"/>
  <c r="BP735" i="4"/>
  <c r="BO735" i="4" s="1"/>
  <c r="BP736" i="4"/>
  <c r="BO736" i="4" s="1"/>
  <c r="BP738" i="4"/>
  <c r="BO738" i="4" s="1"/>
  <c r="BP739" i="4"/>
  <c r="BO739" i="4" s="1"/>
  <c r="BP740" i="4"/>
  <c r="BO740" i="4" s="1"/>
  <c r="BP741" i="4"/>
  <c r="BO741" i="4" s="1"/>
  <c r="BP742" i="4"/>
  <c r="BO742" i="4" s="1"/>
  <c r="BP743" i="4"/>
  <c r="BO743" i="4" s="1"/>
  <c r="BP744" i="4"/>
  <c r="BO744" i="4" s="1"/>
  <c r="BP745" i="4"/>
  <c r="BO745" i="4" s="1"/>
  <c r="BP746" i="4"/>
  <c r="BO746" i="4" s="1"/>
  <c r="BP747" i="4"/>
  <c r="BO747" i="4" s="1"/>
  <c r="BP749" i="4"/>
  <c r="BO620" i="4"/>
  <c r="BO621" i="4"/>
  <c r="BO622" i="4"/>
  <c r="BO623" i="4"/>
  <c r="BO624" i="4"/>
  <c r="BO625" i="4"/>
  <c r="BO626" i="4"/>
  <c r="BO627" i="4"/>
  <c r="BO628" i="4"/>
  <c r="BO629" i="4"/>
  <c r="BO640" i="4"/>
  <c r="BO641" i="4"/>
  <c r="BO642" i="4"/>
  <c r="BO643" i="4"/>
  <c r="BO644" i="4"/>
  <c r="BO645" i="4"/>
  <c r="BO646" i="4"/>
  <c r="BO647" i="4"/>
  <c r="BO648" i="4"/>
  <c r="BO649" i="4"/>
  <c r="BO669" i="4"/>
  <c r="BO680" i="4"/>
  <c r="BO681" i="4"/>
  <c r="BO682" i="4"/>
  <c r="BO683" i="4"/>
  <c r="BO685" i="4"/>
  <c r="BO686" i="4"/>
  <c r="BO687" i="4"/>
  <c r="BO689" i="4"/>
  <c r="BO709" i="4"/>
  <c r="BO720" i="4"/>
  <c r="BO721" i="4"/>
  <c r="BO722" i="4"/>
  <c r="BO723" i="4"/>
  <c r="BO724" i="4"/>
  <c r="BO725" i="4"/>
  <c r="BO726" i="4"/>
  <c r="BO727" i="4"/>
  <c r="BO729" i="4"/>
  <c r="BO749" i="4"/>
  <c r="BN648" i="4"/>
  <c r="BN649" i="4"/>
  <c r="BM649" i="4" s="1"/>
  <c r="BN650" i="4"/>
  <c r="BM650" i="4" s="1"/>
  <c r="BN651" i="4"/>
  <c r="BN652" i="4"/>
  <c r="BM652" i="4" s="1"/>
  <c r="BN653" i="4"/>
  <c r="BM653" i="4" s="1"/>
  <c r="BN654" i="4"/>
  <c r="BM654" i="4" s="1"/>
  <c r="BN655" i="4"/>
  <c r="BN656" i="4"/>
  <c r="BN657" i="4"/>
  <c r="BM657" i="4" s="1"/>
  <c r="BN658" i="4"/>
  <c r="BM658" i="4" s="1"/>
  <c r="BN659" i="4"/>
  <c r="BM659" i="4" s="1"/>
  <c r="BN660" i="4"/>
  <c r="BM660" i="4" s="1"/>
  <c r="BN661" i="4"/>
  <c r="BN662" i="4"/>
  <c r="BM662" i="4" s="1"/>
  <c r="BN663" i="4"/>
  <c r="BN664" i="4"/>
  <c r="BN665" i="4"/>
  <c r="BN666" i="4"/>
  <c r="BM666" i="4" s="1"/>
  <c r="BN667" i="4"/>
  <c r="BM667" i="4" s="1"/>
  <c r="BN668" i="4"/>
  <c r="BN669" i="4"/>
  <c r="BN670" i="4"/>
  <c r="BN671" i="4"/>
  <c r="BN672" i="4"/>
  <c r="BM672" i="4" s="1"/>
  <c r="BN673" i="4"/>
  <c r="BN674" i="4"/>
  <c r="BN675" i="4"/>
  <c r="BN676" i="4"/>
  <c r="BN677" i="4"/>
  <c r="BM677" i="4" s="1"/>
  <c r="BN678" i="4"/>
  <c r="BM678" i="4" s="1"/>
  <c r="BN679" i="4"/>
  <c r="BN680" i="4"/>
  <c r="BN681" i="4"/>
  <c r="BN682" i="4"/>
  <c r="BN683" i="4"/>
  <c r="BM683" i="4" s="1"/>
  <c r="BN684" i="4"/>
  <c r="BN685" i="4"/>
  <c r="BN686" i="4"/>
  <c r="BM686" i="4" s="1"/>
  <c r="BN687" i="4"/>
  <c r="BM687" i="4" s="1"/>
  <c r="BN688" i="4"/>
  <c r="BN689" i="4"/>
  <c r="BN690" i="4"/>
  <c r="BN691" i="4"/>
  <c r="BN692" i="4"/>
  <c r="BM692" i="4" s="1"/>
  <c r="BN693" i="4"/>
  <c r="BN694" i="4"/>
  <c r="BN695" i="4"/>
  <c r="BN696" i="4"/>
  <c r="BN697" i="4"/>
  <c r="BM697" i="4" s="1"/>
  <c r="BN698" i="4"/>
  <c r="BM698" i="4" s="1"/>
  <c r="BN699" i="4"/>
  <c r="BN700" i="4"/>
  <c r="BN701" i="4"/>
  <c r="BN702" i="4"/>
  <c r="BN703" i="4"/>
  <c r="BN704" i="4"/>
  <c r="BN705" i="4"/>
  <c r="BN706" i="4"/>
  <c r="BM706" i="4" s="1"/>
  <c r="BN707" i="4"/>
  <c r="BM707" i="4" s="1"/>
  <c r="BN708" i="4"/>
  <c r="BN709" i="4"/>
  <c r="BN710" i="4"/>
  <c r="BN711" i="4"/>
  <c r="BN712" i="4"/>
  <c r="BM712" i="4" s="1"/>
  <c r="BN713" i="4"/>
  <c r="BN714" i="4"/>
  <c r="BN715" i="4"/>
  <c r="BN716" i="4"/>
  <c r="BN717" i="4"/>
  <c r="BM717" i="4" s="1"/>
  <c r="BN718" i="4"/>
  <c r="BM718" i="4" s="1"/>
  <c r="BN719" i="4"/>
  <c r="BN720" i="4"/>
  <c r="BN721" i="4"/>
  <c r="BN722" i="4"/>
  <c r="BN723" i="4"/>
  <c r="BN724" i="4"/>
  <c r="BN725" i="4"/>
  <c r="BN726" i="4"/>
  <c r="BM726" i="4" s="1"/>
  <c r="BN727" i="4"/>
  <c r="BM727" i="4" s="1"/>
  <c r="BN728" i="4"/>
  <c r="BN729" i="4"/>
  <c r="BN730" i="4"/>
  <c r="BN731" i="4"/>
  <c r="BN732" i="4"/>
  <c r="BM732" i="4" s="1"/>
  <c r="BN733" i="4"/>
  <c r="BN734" i="4"/>
  <c r="BN735" i="4"/>
  <c r="BN736" i="4"/>
  <c r="BN737" i="4"/>
  <c r="BM737" i="4" s="1"/>
  <c r="BN738" i="4"/>
  <c r="BM738" i="4" s="1"/>
  <c r="BN739" i="4"/>
  <c r="BN740" i="4"/>
  <c r="BN741" i="4"/>
  <c r="BN742" i="4"/>
  <c r="BN743" i="4"/>
  <c r="BN744" i="4"/>
  <c r="BN745" i="4"/>
  <c r="BN746" i="4"/>
  <c r="BM746" i="4" s="1"/>
  <c r="BN747" i="4"/>
  <c r="BM747" i="4" s="1"/>
  <c r="BN748" i="4"/>
  <c r="BN749" i="4"/>
  <c r="BM648" i="4"/>
  <c r="BM651" i="4"/>
  <c r="BM655" i="4"/>
  <c r="BM656" i="4"/>
  <c r="BM661" i="4"/>
  <c r="BM663" i="4"/>
  <c r="BM664" i="4"/>
  <c r="BM665" i="4"/>
  <c r="BM668" i="4"/>
  <c r="BM669" i="4"/>
  <c r="BM670" i="4"/>
  <c r="BM671" i="4"/>
  <c r="BM673" i="4"/>
  <c r="BM674" i="4"/>
  <c r="BM675" i="4"/>
  <c r="BM676" i="4"/>
  <c r="BM679" i="4"/>
  <c r="BM680" i="4"/>
  <c r="BM681" i="4"/>
  <c r="BM682" i="4"/>
  <c r="BM684" i="4"/>
  <c r="BM685" i="4"/>
  <c r="BM688" i="4"/>
  <c r="BM689" i="4"/>
  <c r="BM690" i="4"/>
  <c r="BM691" i="4"/>
  <c r="BM693" i="4"/>
  <c r="BM694" i="4"/>
  <c r="BM695" i="4"/>
  <c r="BM696" i="4"/>
  <c r="BM699" i="4"/>
  <c r="BM700" i="4"/>
  <c r="BM701" i="4"/>
  <c r="BM702" i="4"/>
  <c r="BM703" i="4"/>
  <c r="BM704" i="4"/>
  <c r="BM705" i="4"/>
  <c r="BM708" i="4"/>
  <c r="BM709" i="4"/>
  <c r="BM710" i="4"/>
  <c r="BM711" i="4"/>
  <c r="BM713" i="4"/>
  <c r="BM714" i="4"/>
  <c r="BM715" i="4"/>
  <c r="BM716" i="4"/>
  <c r="BM719" i="4"/>
  <c r="BM720" i="4"/>
  <c r="BM721" i="4"/>
  <c r="BM722" i="4"/>
  <c r="BM723" i="4"/>
  <c r="BM724" i="4"/>
  <c r="BM725" i="4"/>
  <c r="BM728" i="4"/>
  <c r="BM729" i="4"/>
  <c r="BM730" i="4"/>
  <c r="BM731" i="4"/>
  <c r="BM733" i="4"/>
  <c r="BM734" i="4"/>
  <c r="BM735" i="4"/>
  <c r="BM736" i="4"/>
  <c r="BM739" i="4"/>
  <c r="BM740" i="4"/>
  <c r="BM741" i="4"/>
  <c r="BM742" i="4"/>
  <c r="BM743" i="4"/>
  <c r="BM744" i="4"/>
  <c r="BM745" i="4"/>
  <c r="BM748" i="4"/>
  <c r="BM749" i="4"/>
  <c r="AZ150" i="4"/>
  <c r="AZ151" i="4"/>
  <c r="AZ152" i="4"/>
  <c r="AZ153" i="4"/>
  <c r="AZ154" i="4"/>
  <c r="AZ155" i="4"/>
  <c r="AZ156" i="4"/>
  <c r="AZ157" i="4"/>
  <c r="AZ158" i="4"/>
  <c r="AZ159" i="4"/>
  <c r="AZ160" i="4"/>
  <c r="AZ161" i="4"/>
  <c r="AZ162" i="4"/>
  <c r="AZ163" i="4"/>
  <c r="AZ164" i="4"/>
  <c r="AZ165" i="4"/>
  <c r="AZ166" i="4"/>
  <c r="AZ167" i="4"/>
  <c r="AZ168" i="4"/>
  <c r="AZ169" i="4"/>
  <c r="AZ170" i="4"/>
  <c r="AZ171" i="4"/>
  <c r="AZ172" i="4"/>
  <c r="AZ173" i="4"/>
  <c r="AZ174" i="4"/>
  <c r="AZ175" i="4"/>
  <c r="AZ176" i="4"/>
  <c r="AZ177" i="4"/>
  <c r="AZ178" i="4"/>
  <c r="AZ179" i="4"/>
  <c r="AZ180" i="4"/>
  <c r="AZ181" i="4"/>
  <c r="AZ182" i="4"/>
  <c r="AZ183" i="4"/>
  <c r="AZ184" i="4"/>
  <c r="AZ185" i="4"/>
  <c r="AZ186" i="4"/>
  <c r="AZ187" i="4"/>
  <c r="AZ188" i="4"/>
  <c r="AZ189" i="4"/>
  <c r="AZ190" i="4"/>
  <c r="AZ191" i="4"/>
  <c r="AZ192" i="4"/>
  <c r="AZ193" i="4"/>
  <c r="AZ194" i="4"/>
  <c r="AZ195" i="4"/>
  <c r="AZ196" i="4"/>
  <c r="AZ197" i="4"/>
  <c r="AZ198" i="4"/>
  <c r="AZ199" i="4"/>
  <c r="AZ200" i="4"/>
  <c r="AZ201" i="4"/>
  <c r="AZ202" i="4"/>
  <c r="AZ203" i="4"/>
  <c r="AZ204" i="4"/>
  <c r="AZ205" i="4"/>
  <c r="AZ206" i="4"/>
  <c r="AZ207" i="4"/>
  <c r="AZ208" i="4"/>
  <c r="AZ209" i="4"/>
  <c r="AZ210" i="4"/>
  <c r="AZ211" i="4"/>
  <c r="AZ212" i="4"/>
  <c r="AZ213" i="4"/>
  <c r="AZ214" i="4"/>
  <c r="AZ215" i="4"/>
  <c r="AZ216" i="4"/>
  <c r="AZ217" i="4"/>
  <c r="AZ218" i="4"/>
  <c r="AZ219" i="4"/>
  <c r="AZ220" i="4"/>
  <c r="AZ221" i="4"/>
  <c r="AZ222" i="4"/>
  <c r="AZ223" i="4"/>
  <c r="AZ224" i="4"/>
  <c r="AZ225" i="4"/>
  <c r="AZ226" i="4"/>
  <c r="AZ227" i="4"/>
  <c r="AZ228" i="4"/>
  <c r="AZ229" i="4"/>
  <c r="AZ230" i="4"/>
  <c r="AZ231" i="4"/>
  <c r="AZ232" i="4"/>
  <c r="AZ233" i="4"/>
  <c r="AZ234" i="4"/>
  <c r="AZ235" i="4"/>
  <c r="AZ236" i="4"/>
  <c r="AZ237" i="4"/>
  <c r="AZ238" i="4"/>
  <c r="AZ239" i="4"/>
  <c r="AZ240" i="4"/>
  <c r="AZ241" i="4"/>
  <c r="AZ242" i="4"/>
  <c r="AZ243" i="4"/>
  <c r="AZ244" i="4"/>
  <c r="AZ245" i="4"/>
  <c r="AZ246" i="4"/>
  <c r="AZ247" i="4"/>
  <c r="AZ248" i="4"/>
  <c r="AZ249" i="4"/>
  <c r="AZ250" i="4"/>
  <c r="AZ251" i="4"/>
  <c r="AZ252" i="4"/>
  <c r="AZ253" i="4"/>
  <c r="AZ254" i="4"/>
  <c r="AZ255" i="4"/>
  <c r="AZ256" i="4"/>
  <c r="AZ257" i="4"/>
  <c r="AZ258" i="4"/>
  <c r="AZ259" i="4"/>
  <c r="AZ260" i="4"/>
  <c r="AZ261" i="4"/>
  <c r="AZ262" i="4"/>
  <c r="AZ263" i="4"/>
  <c r="AZ264" i="4"/>
  <c r="AZ265" i="4"/>
  <c r="AZ266" i="4"/>
  <c r="AZ267" i="4"/>
  <c r="AZ268" i="4"/>
  <c r="AZ269" i="4"/>
  <c r="AZ270" i="4"/>
  <c r="AZ271" i="4"/>
  <c r="AZ272" i="4"/>
  <c r="AZ273" i="4"/>
  <c r="AZ274" i="4"/>
  <c r="AZ275" i="4"/>
  <c r="AZ276" i="4"/>
  <c r="AZ277" i="4"/>
  <c r="AZ278" i="4"/>
  <c r="AZ279" i="4"/>
  <c r="AZ280" i="4"/>
  <c r="AZ281" i="4"/>
  <c r="AZ282" i="4"/>
  <c r="AZ283" i="4"/>
  <c r="AZ284" i="4"/>
  <c r="AZ285" i="4"/>
  <c r="AZ286" i="4"/>
  <c r="AZ287" i="4"/>
  <c r="AZ288" i="4"/>
  <c r="AZ289" i="4"/>
  <c r="AZ290" i="4"/>
  <c r="AZ291" i="4"/>
  <c r="AZ292" i="4"/>
  <c r="AZ293" i="4"/>
  <c r="AZ294" i="4"/>
  <c r="AZ295" i="4"/>
  <c r="AZ296" i="4"/>
  <c r="AZ297" i="4"/>
  <c r="AZ298" i="4"/>
  <c r="AZ299" i="4"/>
  <c r="AZ300" i="4"/>
  <c r="AZ301" i="4"/>
  <c r="AZ302" i="4"/>
  <c r="AZ303" i="4"/>
  <c r="AZ304" i="4"/>
  <c r="AZ305" i="4"/>
  <c r="AZ306" i="4"/>
  <c r="AZ307" i="4"/>
  <c r="AZ308" i="4"/>
  <c r="AZ309" i="4"/>
  <c r="AZ310" i="4"/>
  <c r="AZ311" i="4"/>
  <c r="AZ312" i="4"/>
  <c r="AZ313" i="4"/>
  <c r="AZ314" i="4"/>
  <c r="AZ315" i="4"/>
  <c r="AZ316" i="4"/>
  <c r="AZ317" i="4"/>
  <c r="AZ318" i="4"/>
  <c r="AZ319" i="4"/>
  <c r="AZ320" i="4"/>
  <c r="AZ321" i="4"/>
  <c r="AZ322" i="4"/>
  <c r="AZ323" i="4"/>
  <c r="AZ324" i="4"/>
  <c r="AZ325" i="4"/>
  <c r="AZ326" i="4"/>
  <c r="AZ327" i="4"/>
  <c r="AZ328" i="4"/>
  <c r="AZ329" i="4"/>
  <c r="AZ330" i="4"/>
  <c r="AZ331" i="4"/>
  <c r="AZ332" i="4"/>
  <c r="AZ333" i="4"/>
  <c r="AZ334" i="4"/>
  <c r="AZ335" i="4"/>
  <c r="AZ336" i="4"/>
  <c r="AZ337" i="4"/>
  <c r="AZ338" i="4"/>
  <c r="AZ339" i="4"/>
  <c r="AZ340" i="4"/>
  <c r="AZ341" i="4"/>
  <c r="AZ342" i="4"/>
  <c r="AZ343" i="4"/>
  <c r="AZ344" i="4"/>
  <c r="AZ345" i="4"/>
  <c r="AZ346" i="4"/>
  <c r="AZ347" i="4"/>
  <c r="AZ348" i="4"/>
  <c r="AZ349" i="4"/>
  <c r="AZ350" i="4"/>
  <c r="AZ351" i="4"/>
  <c r="AZ352" i="4"/>
  <c r="AZ353" i="4"/>
  <c r="AZ354" i="4"/>
  <c r="AZ355" i="4"/>
  <c r="AZ356" i="4"/>
  <c r="AZ357" i="4"/>
  <c r="AZ358" i="4"/>
  <c r="AZ359" i="4"/>
  <c r="AZ360" i="4"/>
  <c r="AZ361" i="4"/>
  <c r="AZ362" i="4"/>
  <c r="AZ363" i="4"/>
  <c r="AZ364" i="4"/>
  <c r="AZ365" i="4"/>
  <c r="AZ366" i="4"/>
  <c r="AZ367" i="4"/>
  <c r="AZ368" i="4"/>
  <c r="AZ369" i="4"/>
  <c r="AZ370" i="4"/>
  <c r="AZ371" i="4"/>
  <c r="AZ372" i="4"/>
  <c r="AZ373" i="4"/>
  <c r="AZ374" i="4"/>
  <c r="AZ375" i="4"/>
  <c r="AZ376" i="4"/>
  <c r="AZ377" i="4"/>
  <c r="AZ378" i="4"/>
  <c r="AZ379" i="4"/>
  <c r="AZ380" i="4"/>
  <c r="AZ381" i="4"/>
  <c r="AZ382" i="4"/>
  <c r="AZ383" i="4"/>
  <c r="AZ384" i="4"/>
  <c r="AZ385" i="4"/>
  <c r="AZ386" i="4"/>
  <c r="AZ387" i="4"/>
  <c r="AZ388" i="4"/>
  <c r="AZ389" i="4"/>
  <c r="AZ390" i="4"/>
  <c r="AZ391" i="4"/>
  <c r="AZ392" i="4"/>
  <c r="AZ393" i="4"/>
  <c r="AZ394" i="4"/>
  <c r="AZ395" i="4"/>
  <c r="AZ396" i="4"/>
  <c r="AZ397" i="4"/>
  <c r="AZ398" i="4"/>
  <c r="AZ399" i="4"/>
  <c r="AZ400" i="4"/>
  <c r="AZ401" i="4"/>
  <c r="AZ402" i="4"/>
  <c r="AZ403" i="4"/>
  <c r="AZ404" i="4"/>
  <c r="AZ405" i="4"/>
  <c r="AZ406" i="4"/>
  <c r="AZ407" i="4"/>
  <c r="AZ408" i="4"/>
  <c r="AZ409" i="4"/>
  <c r="AZ410" i="4"/>
  <c r="AZ411" i="4"/>
  <c r="AZ412" i="4"/>
  <c r="AZ413" i="4"/>
  <c r="AZ414" i="4"/>
  <c r="AZ415" i="4"/>
  <c r="AZ416" i="4"/>
  <c r="AZ417" i="4"/>
  <c r="AZ418" i="4"/>
  <c r="AZ419" i="4"/>
  <c r="AZ420" i="4"/>
  <c r="AZ421" i="4"/>
  <c r="AZ422" i="4"/>
  <c r="AZ423" i="4"/>
  <c r="AZ424" i="4"/>
  <c r="AZ425" i="4"/>
  <c r="AZ426" i="4"/>
  <c r="AZ427" i="4"/>
  <c r="AZ428" i="4"/>
  <c r="AZ429" i="4"/>
  <c r="AZ430" i="4"/>
  <c r="AZ431" i="4"/>
  <c r="AZ432" i="4"/>
  <c r="AZ433" i="4"/>
  <c r="AZ434" i="4"/>
  <c r="AZ435" i="4"/>
  <c r="AZ436" i="4"/>
  <c r="AZ437" i="4"/>
  <c r="AZ438" i="4"/>
  <c r="AZ439" i="4"/>
  <c r="AZ440" i="4"/>
  <c r="AZ441" i="4"/>
  <c r="AZ442" i="4"/>
  <c r="AZ443" i="4"/>
  <c r="AZ444" i="4"/>
  <c r="AZ445" i="4"/>
  <c r="AZ446" i="4"/>
  <c r="AZ447" i="4"/>
  <c r="AZ448" i="4"/>
  <c r="AZ449" i="4"/>
  <c r="AZ450" i="4"/>
  <c r="AZ451" i="4"/>
  <c r="AZ452" i="4"/>
  <c r="AZ453" i="4"/>
  <c r="AZ454" i="4"/>
  <c r="AZ455" i="4"/>
  <c r="AZ456" i="4"/>
  <c r="AZ457" i="4"/>
  <c r="AZ458" i="4"/>
  <c r="AZ459" i="4"/>
  <c r="AZ460" i="4"/>
  <c r="AZ461" i="4"/>
  <c r="AZ462" i="4"/>
  <c r="AZ463" i="4"/>
  <c r="AZ464" i="4"/>
  <c r="AZ465" i="4"/>
  <c r="AZ466" i="4"/>
  <c r="AZ467" i="4"/>
  <c r="AZ468" i="4"/>
  <c r="AZ469" i="4"/>
  <c r="AZ470" i="4"/>
  <c r="AZ471" i="4"/>
  <c r="AZ472" i="4"/>
  <c r="AZ473" i="4"/>
  <c r="AZ474" i="4"/>
  <c r="AZ475" i="4"/>
  <c r="AZ476" i="4"/>
  <c r="AZ477" i="4"/>
  <c r="AZ478" i="4"/>
  <c r="AZ479" i="4"/>
  <c r="AZ480" i="4"/>
  <c r="AZ481" i="4"/>
  <c r="AZ482" i="4"/>
  <c r="AZ483" i="4"/>
  <c r="AZ484" i="4"/>
  <c r="AZ485" i="4"/>
  <c r="AZ486" i="4"/>
  <c r="AZ487" i="4"/>
  <c r="AZ488" i="4"/>
  <c r="AZ489" i="4"/>
  <c r="AZ490" i="4"/>
  <c r="AZ491" i="4"/>
  <c r="AZ492" i="4"/>
  <c r="AZ493" i="4"/>
  <c r="AZ494" i="4"/>
  <c r="AZ495" i="4"/>
  <c r="AZ496" i="4"/>
  <c r="AZ497" i="4"/>
  <c r="AZ498" i="4"/>
  <c r="AZ499" i="4"/>
  <c r="AZ500" i="4"/>
  <c r="AZ501" i="4"/>
  <c r="AZ502" i="4"/>
  <c r="AZ503" i="4"/>
  <c r="AZ504" i="4"/>
  <c r="AZ505" i="4"/>
  <c r="AZ506" i="4"/>
  <c r="AZ507" i="4"/>
  <c r="AZ508" i="4"/>
  <c r="AZ509" i="4"/>
  <c r="AZ510" i="4"/>
  <c r="AZ511" i="4"/>
  <c r="AZ512" i="4"/>
  <c r="AZ513" i="4"/>
  <c r="AZ514" i="4"/>
  <c r="AZ515" i="4"/>
  <c r="AZ516" i="4"/>
  <c r="AZ517" i="4"/>
  <c r="AZ518" i="4"/>
  <c r="AZ519" i="4"/>
  <c r="AZ520" i="4"/>
  <c r="AZ521" i="4"/>
  <c r="AZ522" i="4"/>
  <c r="AZ523" i="4"/>
  <c r="AZ524" i="4"/>
  <c r="AZ525" i="4"/>
  <c r="AZ526" i="4"/>
  <c r="AZ527" i="4"/>
  <c r="AZ528" i="4"/>
  <c r="AZ529" i="4"/>
  <c r="AZ530" i="4"/>
  <c r="AZ531" i="4"/>
  <c r="AZ532" i="4"/>
  <c r="AZ533" i="4"/>
  <c r="AZ534" i="4"/>
  <c r="AZ535" i="4"/>
  <c r="AZ536" i="4"/>
  <c r="AZ537" i="4"/>
  <c r="AZ538" i="4"/>
  <c r="AZ539" i="4"/>
  <c r="AZ540" i="4"/>
  <c r="AZ541" i="4"/>
  <c r="AZ542" i="4"/>
  <c r="AZ543" i="4"/>
  <c r="AZ544" i="4"/>
  <c r="AZ545" i="4"/>
  <c r="AZ546" i="4"/>
  <c r="AZ547" i="4"/>
  <c r="AZ548" i="4"/>
  <c r="AZ549" i="4"/>
  <c r="AZ550" i="4"/>
  <c r="AZ551" i="4"/>
  <c r="AZ552" i="4"/>
  <c r="AZ553" i="4"/>
  <c r="AZ554" i="4"/>
  <c r="AZ555" i="4"/>
  <c r="AZ556" i="4"/>
  <c r="AZ557" i="4"/>
  <c r="AZ558" i="4"/>
  <c r="AZ559" i="4"/>
  <c r="AZ560" i="4"/>
  <c r="AZ561" i="4"/>
  <c r="AZ562" i="4"/>
  <c r="AZ563" i="4"/>
  <c r="AZ564" i="4"/>
  <c r="AZ565" i="4"/>
  <c r="AZ566" i="4"/>
  <c r="AZ567" i="4"/>
  <c r="AZ568" i="4"/>
  <c r="AZ569" i="4"/>
  <c r="AZ570" i="4"/>
  <c r="AZ571" i="4"/>
  <c r="AZ572" i="4"/>
  <c r="AZ573" i="4"/>
  <c r="AZ574" i="4"/>
  <c r="AZ575" i="4"/>
  <c r="AZ576" i="4"/>
  <c r="AZ577" i="4"/>
  <c r="AZ578" i="4"/>
  <c r="AZ579" i="4"/>
  <c r="AZ580" i="4"/>
  <c r="AZ581" i="4"/>
  <c r="AZ582" i="4"/>
  <c r="AZ583" i="4"/>
  <c r="AZ584" i="4"/>
  <c r="AZ585" i="4"/>
  <c r="AZ586" i="4"/>
  <c r="AZ587" i="4"/>
  <c r="AZ588" i="4"/>
  <c r="AZ589" i="4"/>
  <c r="AZ590" i="4"/>
  <c r="AZ591" i="4"/>
  <c r="AZ592" i="4"/>
  <c r="AZ593" i="4"/>
  <c r="AZ594" i="4"/>
  <c r="AZ595" i="4"/>
  <c r="AZ596" i="4"/>
  <c r="AZ597" i="4"/>
  <c r="AZ598" i="4"/>
  <c r="AZ599" i="4"/>
  <c r="AZ600" i="4"/>
  <c r="AZ601" i="4"/>
  <c r="AZ602" i="4"/>
  <c r="AZ603" i="4"/>
  <c r="AZ604" i="4"/>
  <c r="AZ605" i="4"/>
  <c r="AZ606" i="4"/>
  <c r="AZ607" i="4"/>
  <c r="AZ608" i="4"/>
  <c r="AZ609" i="4"/>
  <c r="AZ610" i="4"/>
  <c r="AZ611" i="4"/>
  <c r="AZ612" i="4"/>
  <c r="AZ613" i="4"/>
  <c r="AZ614" i="4"/>
  <c r="AZ615" i="4"/>
  <c r="AZ616" i="4"/>
  <c r="AZ617" i="4"/>
  <c r="AZ618" i="4"/>
  <c r="AZ619" i="4"/>
  <c r="AZ620" i="4"/>
  <c r="AZ621" i="4"/>
  <c r="AZ622" i="4"/>
  <c r="AZ623" i="4"/>
  <c r="AZ624" i="4"/>
  <c r="AZ625" i="4"/>
  <c r="AZ626" i="4"/>
  <c r="AZ627" i="4"/>
  <c r="AZ628" i="4"/>
  <c r="AZ629" i="4"/>
  <c r="AZ630" i="4"/>
  <c r="AZ631" i="4"/>
  <c r="AZ632" i="4"/>
  <c r="AZ633" i="4"/>
  <c r="AZ634" i="4"/>
  <c r="AZ635" i="4"/>
  <c r="AZ636" i="4"/>
  <c r="AZ637" i="4"/>
  <c r="AZ638" i="4"/>
  <c r="AZ639" i="4"/>
  <c r="AZ640" i="4"/>
  <c r="AZ641" i="4"/>
  <c r="AZ642" i="4"/>
  <c r="AZ643" i="4"/>
  <c r="AZ644" i="4"/>
  <c r="AZ645" i="4"/>
  <c r="AZ646" i="4"/>
  <c r="AZ647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47" i="4"/>
  <c r="AQ248" i="4"/>
  <c r="AQ249" i="4"/>
  <c r="AQ250" i="4"/>
  <c r="AQ251" i="4"/>
  <c r="AQ252" i="4"/>
  <c r="AQ253" i="4"/>
  <c r="AQ254" i="4"/>
  <c r="AQ255" i="4"/>
  <c r="AQ256" i="4"/>
  <c r="AQ257" i="4"/>
  <c r="AQ258" i="4"/>
  <c r="AQ259" i="4"/>
  <c r="AQ260" i="4"/>
  <c r="AQ261" i="4"/>
  <c r="AQ262" i="4"/>
  <c r="AQ263" i="4"/>
  <c r="AQ264" i="4"/>
  <c r="AQ265" i="4"/>
  <c r="AQ266" i="4"/>
  <c r="AQ267" i="4"/>
  <c r="AQ268" i="4"/>
  <c r="AQ269" i="4"/>
  <c r="AQ270" i="4"/>
  <c r="AQ271" i="4"/>
  <c r="AQ272" i="4"/>
  <c r="AQ273" i="4"/>
  <c r="AQ274" i="4"/>
  <c r="AQ275" i="4"/>
  <c r="AQ276" i="4"/>
  <c r="AQ277" i="4"/>
  <c r="AQ278" i="4"/>
  <c r="AQ279" i="4"/>
  <c r="AQ280" i="4"/>
  <c r="AQ281" i="4"/>
  <c r="AQ282" i="4"/>
  <c r="AQ283" i="4"/>
  <c r="AQ284" i="4"/>
  <c r="AQ285" i="4"/>
  <c r="AQ286" i="4"/>
  <c r="AQ287" i="4"/>
  <c r="AQ288" i="4"/>
  <c r="AQ289" i="4"/>
  <c r="AQ290" i="4"/>
  <c r="AQ291" i="4"/>
  <c r="AQ292" i="4"/>
  <c r="AQ293" i="4"/>
  <c r="AQ294" i="4"/>
  <c r="AQ295" i="4"/>
  <c r="AQ296" i="4"/>
  <c r="AQ297" i="4"/>
  <c r="AQ298" i="4"/>
  <c r="AQ299" i="4"/>
  <c r="AQ300" i="4"/>
  <c r="AQ301" i="4"/>
  <c r="AQ302" i="4"/>
  <c r="AQ303" i="4"/>
  <c r="AQ304" i="4"/>
  <c r="AQ305" i="4"/>
  <c r="AQ306" i="4"/>
  <c r="AQ307" i="4"/>
  <c r="AQ308" i="4"/>
  <c r="AQ309" i="4"/>
  <c r="AQ310" i="4"/>
  <c r="AQ311" i="4"/>
  <c r="AQ312" i="4"/>
  <c r="AQ313" i="4"/>
  <c r="AQ314" i="4"/>
  <c r="AQ315" i="4"/>
  <c r="AQ316" i="4"/>
  <c r="AQ317" i="4"/>
  <c r="AQ318" i="4"/>
  <c r="AQ319" i="4"/>
  <c r="AQ320" i="4"/>
  <c r="AQ321" i="4"/>
  <c r="AQ322" i="4"/>
  <c r="AQ323" i="4"/>
  <c r="AQ324" i="4"/>
  <c r="AQ325" i="4"/>
  <c r="AQ326" i="4"/>
  <c r="AQ327" i="4"/>
  <c r="AQ328" i="4"/>
  <c r="AQ329" i="4"/>
  <c r="AQ330" i="4"/>
  <c r="AQ331" i="4"/>
  <c r="AQ332" i="4"/>
  <c r="AQ333" i="4"/>
  <c r="AQ334" i="4"/>
  <c r="AQ335" i="4"/>
  <c r="AQ336" i="4"/>
  <c r="AQ337" i="4"/>
  <c r="AQ338" i="4"/>
  <c r="AQ339" i="4"/>
  <c r="AQ340" i="4"/>
  <c r="AQ341" i="4"/>
  <c r="AQ342" i="4"/>
  <c r="AQ343" i="4"/>
  <c r="AQ344" i="4"/>
  <c r="AQ345" i="4"/>
  <c r="AQ346" i="4"/>
  <c r="AQ347" i="4"/>
  <c r="AQ348" i="4"/>
  <c r="AQ349" i="4"/>
  <c r="AQ350" i="4"/>
  <c r="AQ351" i="4"/>
  <c r="AQ352" i="4"/>
  <c r="AQ353" i="4"/>
  <c r="AQ354" i="4"/>
  <c r="AQ355" i="4"/>
  <c r="AQ356" i="4"/>
  <c r="AQ357" i="4"/>
  <c r="AQ358" i="4"/>
  <c r="AQ359" i="4"/>
  <c r="AQ360" i="4"/>
  <c r="AQ361" i="4"/>
  <c r="AQ362" i="4"/>
  <c r="AQ363" i="4"/>
  <c r="AQ364" i="4"/>
  <c r="AQ365" i="4"/>
  <c r="AQ366" i="4"/>
  <c r="AQ367" i="4"/>
  <c r="AQ368" i="4"/>
  <c r="AQ369" i="4"/>
  <c r="AQ370" i="4"/>
  <c r="AQ371" i="4"/>
  <c r="AQ372" i="4"/>
  <c r="AQ373" i="4"/>
  <c r="AQ374" i="4"/>
  <c r="AQ375" i="4"/>
  <c r="AQ376" i="4"/>
  <c r="AQ377" i="4"/>
  <c r="AQ378" i="4"/>
  <c r="AQ379" i="4"/>
  <c r="AQ380" i="4"/>
  <c r="AQ381" i="4"/>
  <c r="AQ382" i="4"/>
  <c r="AQ383" i="4"/>
  <c r="AQ384" i="4"/>
  <c r="AQ385" i="4"/>
  <c r="AQ386" i="4"/>
  <c r="AQ387" i="4"/>
  <c r="AQ388" i="4"/>
  <c r="AQ389" i="4"/>
  <c r="AQ390" i="4"/>
  <c r="AQ391" i="4"/>
  <c r="AQ392" i="4"/>
  <c r="AQ393" i="4"/>
  <c r="AQ394" i="4"/>
  <c r="AQ395" i="4"/>
  <c r="AQ396" i="4"/>
  <c r="AQ397" i="4"/>
  <c r="AQ398" i="4"/>
  <c r="AQ399" i="4"/>
  <c r="AQ400" i="4"/>
  <c r="AQ401" i="4"/>
  <c r="AQ402" i="4"/>
  <c r="AQ403" i="4"/>
  <c r="AQ404" i="4"/>
  <c r="AQ405" i="4"/>
  <c r="AQ406" i="4"/>
  <c r="AQ407" i="4"/>
  <c r="AQ408" i="4"/>
  <c r="AQ409" i="4"/>
  <c r="AQ410" i="4"/>
  <c r="AQ411" i="4"/>
  <c r="AQ412" i="4"/>
  <c r="AQ413" i="4"/>
  <c r="AQ414" i="4"/>
  <c r="AQ415" i="4"/>
  <c r="AQ416" i="4"/>
  <c r="AQ417" i="4"/>
  <c r="AQ418" i="4"/>
  <c r="AQ419" i="4"/>
  <c r="AQ420" i="4"/>
  <c r="AQ421" i="4"/>
  <c r="AQ422" i="4"/>
  <c r="AQ423" i="4"/>
  <c r="AQ424" i="4"/>
  <c r="AQ425" i="4"/>
  <c r="AQ426" i="4"/>
  <c r="AQ427" i="4"/>
  <c r="AQ428" i="4"/>
  <c r="AQ429" i="4"/>
  <c r="AQ430" i="4"/>
  <c r="AQ431" i="4"/>
  <c r="AQ432" i="4"/>
  <c r="AQ433" i="4"/>
  <c r="AQ434" i="4"/>
  <c r="AQ435" i="4"/>
  <c r="AQ436" i="4"/>
  <c r="AQ437" i="4"/>
  <c r="AQ438" i="4"/>
  <c r="AQ439" i="4"/>
  <c r="AQ440" i="4"/>
  <c r="AQ441" i="4"/>
  <c r="AQ442" i="4"/>
  <c r="AQ443" i="4"/>
  <c r="AQ444" i="4"/>
  <c r="AQ445" i="4"/>
  <c r="AQ446" i="4"/>
  <c r="AQ447" i="4"/>
  <c r="AQ448" i="4"/>
  <c r="AQ449" i="4"/>
  <c r="AQ450" i="4"/>
  <c r="AQ451" i="4"/>
  <c r="AQ452" i="4"/>
  <c r="AQ453" i="4"/>
  <c r="AQ454" i="4"/>
  <c r="AQ455" i="4"/>
  <c r="AQ456" i="4"/>
  <c r="AQ457" i="4"/>
  <c r="AQ458" i="4"/>
  <c r="AQ459" i="4"/>
  <c r="AQ460" i="4"/>
  <c r="AQ461" i="4"/>
  <c r="AQ462" i="4"/>
  <c r="AQ463" i="4"/>
  <c r="AQ464" i="4"/>
  <c r="AQ465" i="4"/>
  <c r="AQ466" i="4"/>
  <c r="AQ467" i="4"/>
  <c r="AQ468" i="4"/>
  <c r="AQ469" i="4"/>
  <c r="AQ470" i="4"/>
  <c r="AQ471" i="4"/>
  <c r="AQ472" i="4"/>
  <c r="AQ473" i="4"/>
  <c r="AQ474" i="4"/>
  <c r="AQ475" i="4"/>
  <c r="AQ476" i="4"/>
  <c r="AQ477" i="4"/>
  <c r="AQ478" i="4"/>
  <c r="AQ479" i="4"/>
  <c r="AQ480" i="4"/>
  <c r="AQ481" i="4"/>
  <c r="AQ482" i="4"/>
  <c r="AQ483" i="4"/>
  <c r="AQ484" i="4"/>
  <c r="AQ485" i="4"/>
  <c r="AQ486" i="4"/>
  <c r="AQ487" i="4"/>
  <c r="AQ488" i="4"/>
  <c r="AQ489" i="4"/>
  <c r="AQ490" i="4"/>
  <c r="AQ491" i="4"/>
  <c r="AQ492" i="4"/>
  <c r="AQ493" i="4"/>
  <c r="AQ494" i="4"/>
  <c r="AQ495" i="4"/>
  <c r="AQ496" i="4"/>
  <c r="AQ497" i="4"/>
  <c r="AQ498" i="4"/>
  <c r="AQ499" i="4"/>
  <c r="AQ500" i="4"/>
  <c r="AQ501" i="4"/>
  <c r="AQ502" i="4"/>
  <c r="AQ503" i="4"/>
  <c r="AQ504" i="4"/>
  <c r="AQ505" i="4"/>
  <c r="AQ506" i="4"/>
  <c r="AQ507" i="4"/>
  <c r="AQ508" i="4"/>
  <c r="AQ509" i="4"/>
  <c r="AQ510" i="4"/>
  <c r="AQ511" i="4"/>
  <c r="AQ512" i="4"/>
  <c r="AQ513" i="4"/>
  <c r="AQ514" i="4"/>
  <c r="AQ515" i="4"/>
  <c r="AQ516" i="4"/>
  <c r="AQ517" i="4"/>
  <c r="AQ518" i="4"/>
  <c r="AQ519" i="4"/>
  <c r="AQ520" i="4"/>
  <c r="AQ521" i="4"/>
  <c r="AQ522" i="4"/>
  <c r="AQ523" i="4"/>
  <c r="AQ524" i="4"/>
  <c r="AQ525" i="4"/>
  <c r="AQ526" i="4"/>
  <c r="AQ527" i="4"/>
  <c r="AQ528" i="4"/>
  <c r="AQ529" i="4"/>
  <c r="AQ530" i="4"/>
  <c r="AQ531" i="4"/>
  <c r="AQ532" i="4"/>
  <c r="AQ533" i="4"/>
  <c r="AQ534" i="4"/>
  <c r="AQ535" i="4"/>
  <c r="AQ536" i="4"/>
  <c r="AQ537" i="4"/>
  <c r="AQ538" i="4"/>
  <c r="AQ539" i="4"/>
  <c r="AQ540" i="4"/>
  <c r="AQ541" i="4"/>
  <c r="AQ542" i="4"/>
  <c r="AQ543" i="4"/>
  <c r="AQ544" i="4"/>
  <c r="AQ545" i="4"/>
  <c r="AQ546" i="4"/>
  <c r="AQ547" i="4"/>
  <c r="AQ548" i="4"/>
  <c r="AQ549" i="4"/>
  <c r="AQ550" i="4"/>
  <c r="AQ551" i="4"/>
  <c r="AQ552" i="4"/>
  <c r="AQ553" i="4"/>
  <c r="AQ554" i="4"/>
  <c r="AQ555" i="4"/>
  <c r="AQ556" i="4"/>
  <c r="AQ557" i="4"/>
  <c r="AQ558" i="4"/>
  <c r="AQ559" i="4"/>
  <c r="AQ560" i="4"/>
  <c r="AQ561" i="4"/>
  <c r="AQ562" i="4"/>
  <c r="AQ563" i="4"/>
  <c r="AQ564" i="4"/>
  <c r="AQ565" i="4"/>
  <c r="AQ566" i="4"/>
  <c r="AQ567" i="4"/>
  <c r="AQ568" i="4"/>
  <c r="AQ569" i="4"/>
  <c r="AQ570" i="4"/>
  <c r="AQ571" i="4"/>
  <c r="AQ572" i="4"/>
  <c r="AQ573" i="4"/>
  <c r="AQ574" i="4"/>
  <c r="AQ575" i="4"/>
  <c r="AQ576" i="4"/>
  <c r="AQ577" i="4"/>
  <c r="AQ578" i="4"/>
  <c r="AQ579" i="4"/>
  <c r="AQ580" i="4"/>
  <c r="AQ581" i="4"/>
  <c r="AQ582" i="4"/>
  <c r="AQ583" i="4"/>
  <c r="AQ584" i="4"/>
  <c r="AQ585" i="4"/>
  <c r="AQ586" i="4"/>
  <c r="AQ587" i="4"/>
  <c r="AQ588" i="4"/>
  <c r="AQ589" i="4"/>
  <c r="AQ590" i="4"/>
  <c r="AQ591" i="4"/>
  <c r="AQ592" i="4"/>
  <c r="AQ593" i="4"/>
  <c r="AQ594" i="4"/>
  <c r="AQ595" i="4"/>
  <c r="AQ596" i="4"/>
  <c r="AQ597" i="4"/>
  <c r="AQ598" i="4"/>
  <c r="AQ599" i="4"/>
  <c r="AQ600" i="4"/>
  <c r="AQ601" i="4"/>
  <c r="AQ602" i="4"/>
  <c r="AQ603" i="4"/>
  <c r="AQ604" i="4"/>
  <c r="AQ605" i="4"/>
  <c r="AQ606" i="4"/>
  <c r="AQ607" i="4"/>
  <c r="AQ608" i="4"/>
  <c r="AQ609" i="4"/>
  <c r="AQ610" i="4"/>
  <c r="AQ611" i="4"/>
  <c r="AQ612" i="4"/>
  <c r="AQ613" i="4"/>
  <c r="AQ614" i="4"/>
  <c r="AQ615" i="4"/>
  <c r="AQ616" i="4"/>
  <c r="AQ617" i="4"/>
  <c r="AQ618" i="4"/>
  <c r="AQ619" i="4"/>
  <c r="AQ620" i="4"/>
  <c r="AQ621" i="4"/>
  <c r="AQ622" i="4"/>
  <c r="AQ623" i="4"/>
  <c r="AQ624" i="4"/>
  <c r="AQ625" i="4"/>
  <c r="AQ626" i="4"/>
  <c r="AQ627" i="4"/>
  <c r="AQ628" i="4"/>
  <c r="AQ629" i="4"/>
  <c r="AQ630" i="4"/>
  <c r="AQ631" i="4"/>
  <c r="AQ632" i="4"/>
  <c r="AQ633" i="4"/>
  <c r="AQ634" i="4"/>
  <c r="AQ635" i="4"/>
  <c r="AQ636" i="4"/>
  <c r="AQ637" i="4"/>
  <c r="AQ638" i="4"/>
  <c r="AQ639" i="4"/>
  <c r="AQ640" i="4"/>
  <c r="AQ641" i="4"/>
  <c r="AQ642" i="4"/>
  <c r="AQ643" i="4"/>
  <c r="AQ644" i="4"/>
  <c r="AQ645" i="4"/>
  <c r="AQ646" i="4"/>
  <c r="AQ647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26" i="4"/>
  <c r="AM427" i="4"/>
  <c r="AM428" i="4"/>
  <c r="AM429" i="4"/>
  <c r="AM430" i="4"/>
  <c r="AM431" i="4"/>
  <c r="AM432" i="4"/>
  <c r="AM433" i="4"/>
  <c r="AM434" i="4"/>
  <c r="AM435" i="4"/>
  <c r="AM436" i="4"/>
  <c r="AM437" i="4"/>
  <c r="AM438" i="4"/>
  <c r="AM439" i="4"/>
  <c r="AM440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46" i="4"/>
  <c r="AM547" i="4"/>
  <c r="AM548" i="4"/>
  <c r="AM549" i="4"/>
  <c r="AM550" i="4"/>
  <c r="AM551" i="4"/>
  <c r="AM552" i="4"/>
  <c r="AM553" i="4"/>
  <c r="AM554" i="4"/>
  <c r="AM555" i="4"/>
  <c r="AM556" i="4"/>
  <c r="AM557" i="4"/>
  <c r="AM558" i="4"/>
  <c r="AM559" i="4"/>
  <c r="AM560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604" i="4"/>
  <c r="AM605" i="4"/>
  <c r="AM606" i="4"/>
  <c r="AM607" i="4"/>
  <c r="AM608" i="4"/>
  <c r="AM609" i="4"/>
  <c r="AM610" i="4"/>
  <c r="AM611" i="4"/>
  <c r="AM612" i="4"/>
  <c r="AM613" i="4"/>
  <c r="AM614" i="4"/>
  <c r="AM615" i="4"/>
  <c r="AM616" i="4"/>
  <c r="AM617" i="4"/>
  <c r="AM618" i="4"/>
  <c r="AM619" i="4"/>
  <c r="AM620" i="4"/>
  <c r="AM621" i="4"/>
  <c r="AM622" i="4"/>
  <c r="AM623" i="4"/>
  <c r="AM624" i="4"/>
  <c r="AM625" i="4"/>
  <c r="AM626" i="4"/>
  <c r="AM627" i="4"/>
  <c r="AM628" i="4"/>
  <c r="AM629" i="4"/>
  <c r="AM630" i="4"/>
  <c r="AM631" i="4"/>
  <c r="AM632" i="4"/>
  <c r="AM633" i="4"/>
  <c r="AM634" i="4"/>
  <c r="AM635" i="4"/>
  <c r="AM636" i="4"/>
  <c r="AM637" i="4"/>
  <c r="AM638" i="4"/>
  <c r="AM639" i="4"/>
  <c r="AM640" i="4"/>
  <c r="AM641" i="4"/>
  <c r="AM642" i="4"/>
  <c r="AM643" i="4"/>
  <c r="AM644" i="4"/>
  <c r="AM645" i="4"/>
  <c r="AM646" i="4"/>
  <c r="AM647" i="4"/>
  <c r="AI275" i="4"/>
  <c r="AI276" i="4"/>
  <c r="AI277" i="4"/>
  <c r="AI278" i="4"/>
  <c r="AI279" i="4"/>
  <c r="AI280" i="4"/>
  <c r="AI281" i="4"/>
  <c r="AI282" i="4"/>
  <c r="AI283" i="4"/>
  <c r="AI284" i="4"/>
  <c r="AI285" i="4"/>
  <c r="AI286" i="4"/>
  <c r="AI287" i="4"/>
  <c r="AI288" i="4"/>
  <c r="AI289" i="4"/>
  <c r="AI290" i="4"/>
  <c r="AI291" i="4"/>
  <c r="AI292" i="4"/>
  <c r="AI293" i="4"/>
  <c r="AI294" i="4"/>
  <c r="AI295" i="4"/>
  <c r="AI296" i="4"/>
  <c r="AI297" i="4"/>
  <c r="AI298" i="4"/>
  <c r="AI299" i="4"/>
  <c r="AI300" i="4"/>
  <c r="AI301" i="4"/>
  <c r="AI302" i="4"/>
  <c r="AI303" i="4"/>
  <c r="AI304" i="4"/>
  <c r="AI305" i="4"/>
  <c r="AI306" i="4"/>
  <c r="AI307" i="4"/>
  <c r="AI308" i="4"/>
  <c r="AI309" i="4"/>
  <c r="AI310" i="4"/>
  <c r="AI311" i="4"/>
  <c r="AI312" i="4"/>
  <c r="AI313" i="4"/>
  <c r="AI314" i="4"/>
  <c r="AI315" i="4"/>
  <c r="AI316" i="4"/>
  <c r="AI317" i="4"/>
  <c r="AI318" i="4"/>
  <c r="AI319" i="4"/>
  <c r="AI320" i="4"/>
  <c r="AI321" i="4"/>
  <c r="AI322" i="4"/>
  <c r="AI323" i="4"/>
  <c r="AI324" i="4"/>
  <c r="AI325" i="4"/>
  <c r="AI326" i="4"/>
  <c r="AI327" i="4"/>
  <c r="AI328" i="4"/>
  <c r="AI329" i="4"/>
  <c r="AI330" i="4"/>
  <c r="AI331" i="4"/>
  <c r="AI332" i="4"/>
  <c r="AI333" i="4"/>
  <c r="AI334" i="4"/>
  <c r="AI335" i="4"/>
  <c r="AI336" i="4"/>
  <c r="AI337" i="4"/>
  <c r="AI338" i="4"/>
  <c r="AI339" i="4"/>
  <c r="AI340" i="4"/>
  <c r="AI341" i="4"/>
  <c r="AI342" i="4"/>
  <c r="AI343" i="4"/>
  <c r="AI344" i="4"/>
  <c r="AI345" i="4"/>
  <c r="AI346" i="4"/>
  <c r="AI347" i="4"/>
  <c r="AI348" i="4"/>
  <c r="AI349" i="4"/>
  <c r="AI350" i="4"/>
  <c r="AI351" i="4"/>
  <c r="AI352" i="4"/>
  <c r="AI353" i="4"/>
  <c r="AI354" i="4"/>
  <c r="AI355" i="4"/>
  <c r="AI356" i="4"/>
  <c r="AI357" i="4"/>
  <c r="AI358" i="4"/>
  <c r="AI359" i="4"/>
  <c r="AI360" i="4"/>
  <c r="AI361" i="4"/>
  <c r="AI362" i="4"/>
  <c r="AI363" i="4"/>
  <c r="AI364" i="4"/>
  <c r="AI365" i="4"/>
  <c r="AI366" i="4"/>
  <c r="AI367" i="4"/>
  <c r="AI368" i="4"/>
  <c r="AI369" i="4"/>
  <c r="AI370" i="4"/>
  <c r="AI371" i="4"/>
  <c r="AI372" i="4"/>
  <c r="AI373" i="4"/>
  <c r="AI374" i="4"/>
  <c r="AI375" i="4"/>
  <c r="AI376" i="4"/>
  <c r="AI377" i="4"/>
  <c r="AI378" i="4"/>
  <c r="AI379" i="4"/>
  <c r="AI380" i="4"/>
  <c r="AI381" i="4"/>
  <c r="AI382" i="4"/>
  <c r="AI383" i="4"/>
  <c r="AI384" i="4"/>
  <c r="AI385" i="4"/>
  <c r="AI386" i="4"/>
  <c r="AI387" i="4"/>
  <c r="AI388" i="4"/>
  <c r="AI389" i="4"/>
  <c r="AI390" i="4"/>
  <c r="AI391" i="4"/>
  <c r="AI392" i="4"/>
  <c r="AI393" i="4"/>
  <c r="AI394" i="4"/>
  <c r="AI395" i="4"/>
  <c r="AI396" i="4"/>
  <c r="AI397" i="4"/>
  <c r="AI398" i="4"/>
  <c r="AI399" i="4"/>
  <c r="AI400" i="4"/>
  <c r="AI401" i="4"/>
  <c r="AI402" i="4"/>
  <c r="AI403" i="4"/>
  <c r="AI404" i="4"/>
  <c r="AI405" i="4"/>
  <c r="AI406" i="4"/>
  <c r="AI407" i="4"/>
  <c r="AI408" i="4"/>
  <c r="AI409" i="4"/>
  <c r="AI410" i="4"/>
  <c r="AI411" i="4"/>
  <c r="AI412" i="4"/>
  <c r="AI413" i="4"/>
  <c r="AI414" i="4"/>
  <c r="AI415" i="4"/>
  <c r="AI416" i="4"/>
  <c r="AI417" i="4"/>
  <c r="AI418" i="4"/>
  <c r="AI419" i="4"/>
  <c r="AI420" i="4"/>
  <c r="AI421" i="4"/>
  <c r="AI422" i="4"/>
  <c r="AI423" i="4"/>
  <c r="AI424" i="4"/>
  <c r="AI425" i="4"/>
  <c r="AI426" i="4"/>
  <c r="AI427" i="4"/>
  <c r="AI428" i="4"/>
  <c r="AI429" i="4"/>
  <c r="AI430" i="4"/>
  <c r="AI431" i="4"/>
  <c r="AI432" i="4"/>
  <c r="AI433" i="4"/>
  <c r="AI434" i="4"/>
  <c r="AI435" i="4"/>
  <c r="AI436" i="4"/>
  <c r="AI437" i="4"/>
  <c r="AI438" i="4"/>
  <c r="AI439" i="4"/>
  <c r="AI440" i="4"/>
  <c r="AI441" i="4"/>
  <c r="AI442" i="4"/>
  <c r="AI443" i="4"/>
  <c r="AI444" i="4"/>
  <c r="AI445" i="4"/>
  <c r="AI446" i="4"/>
  <c r="AI447" i="4"/>
  <c r="AI448" i="4"/>
  <c r="AI449" i="4"/>
  <c r="AI450" i="4"/>
  <c r="AI451" i="4"/>
  <c r="AI452" i="4"/>
  <c r="AI453" i="4"/>
  <c r="AI454" i="4"/>
  <c r="AI455" i="4"/>
  <c r="AI456" i="4"/>
  <c r="AI457" i="4"/>
  <c r="AI458" i="4"/>
  <c r="AI459" i="4"/>
  <c r="AI460" i="4"/>
  <c r="AI461" i="4"/>
  <c r="AI462" i="4"/>
  <c r="AI463" i="4"/>
  <c r="AI464" i="4"/>
  <c r="AI465" i="4"/>
  <c r="AI466" i="4"/>
  <c r="AI467" i="4"/>
  <c r="AI468" i="4"/>
  <c r="AI469" i="4"/>
  <c r="AI470" i="4"/>
  <c r="AI471" i="4"/>
  <c r="AI472" i="4"/>
  <c r="AI473" i="4"/>
  <c r="AI474" i="4"/>
  <c r="AI475" i="4"/>
  <c r="AI476" i="4"/>
  <c r="AI477" i="4"/>
  <c r="AI478" i="4"/>
  <c r="AI479" i="4"/>
  <c r="AI480" i="4"/>
  <c r="AI481" i="4"/>
  <c r="AI482" i="4"/>
  <c r="AI483" i="4"/>
  <c r="AI484" i="4"/>
  <c r="AI485" i="4"/>
  <c r="AI486" i="4"/>
  <c r="AI487" i="4"/>
  <c r="AI488" i="4"/>
  <c r="AI489" i="4"/>
  <c r="AI490" i="4"/>
  <c r="AI491" i="4"/>
  <c r="AI492" i="4"/>
  <c r="AI493" i="4"/>
  <c r="AI494" i="4"/>
  <c r="AI495" i="4"/>
  <c r="AI496" i="4"/>
  <c r="AI497" i="4"/>
  <c r="AI498" i="4"/>
  <c r="AI499" i="4"/>
  <c r="AI500" i="4"/>
  <c r="AI501" i="4"/>
  <c r="AI502" i="4"/>
  <c r="AI503" i="4"/>
  <c r="AI504" i="4"/>
  <c r="AI505" i="4"/>
  <c r="AI506" i="4"/>
  <c r="AI507" i="4"/>
  <c r="AI508" i="4"/>
  <c r="AI509" i="4"/>
  <c r="AI510" i="4"/>
  <c r="AI511" i="4"/>
  <c r="AI512" i="4"/>
  <c r="AI513" i="4"/>
  <c r="AI514" i="4"/>
  <c r="AI515" i="4"/>
  <c r="AI516" i="4"/>
  <c r="AI517" i="4"/>
  <c r="AI518" i="4"/>
  <c r="AI519" i="4"/>
  <c r="AI520" i="4"/>
  <c r="AI521" i="4"/>
  <c r="AI522" i="4"/>
  <c r="AI523" i="4"/>
  <c r="AI524" i="4"/>
  <c r="AI525" i="4"/>
  <c r="AI526" i="4"/>
  <c r="AI527" i="4"/>
  <c r="AI528" i="4"/>
  <c r="AI529" i="4"/>
  <c r="AI530" i="4"/>
  <c r="AI531" i="4"/>
  <c r="AI532" i="4"/>
  <c r="AI533" i="4"/>
  <c r="AI534" i="4"/>
  <c r="AI535" i="4"/>
  <c r="AI536" i="4"/>
  <c r="AI537" i="4"/>
  <c r="AI538" i="4"/>
  <c r="AI539" i="4"/>
  <c r="AI540" i="4"/>
  <c r="AI541" i="4"/>
  <c r="AI542" i="4"/>
  <c r="AI543" i="4"/>
  <c r="AI544" i="4"/>
  <c r="AI545" i="4"/>
  <c r="AI546" i="4"/>
  <c r="AI547" i="4"/>
  <c r="AI548" i="4"/>
  <c r="AI549" i="4"/>
  <c r="AI550" i="4"/>
  <c r="AI551" i="4"/>
  <c r="AI552" i="4"/>
  <c r="AI553" i="4"/>
  <c r="AI554" i="4"/>
  <c r="AI555" i="4"/>
  <c r="AI556" i="4"/>
  <c r="AI557" i="4"/>
  <c r="AI558" i="4"/>
  <c r="AI559" i="4"/>
  <c r="AI560" i="4"/>
  <c r="AI561" i="4"/>
  <c r="AI562" i="4"/>
  <c r="AI563" i="4"/>
  <c r="AI564" i="4"/>
  <c r="AI565" i="4"/>
  <c r="AI566" i="4"/>
  <c r="AI567" i="4"/>
  <c r="AI568" i="4"/>
  <c r="AI569" i="4"/>
  <c r="AI570" i="4"/>
  <c r="AI571" i="4"/>
  <c r="AI572" i="4"/>
  <c r="AI573" i="4"/>
  <c r="AI574" i="4"/>
  <c r="AI575" i="4"/>
  <c r="AI576" i="4"/>
  <c r="AI577" i="4"/>
  <c r="AI578" i="4"/>
  <c r="AI579" i="4"/>
  <c r="AI580" i="4"/>
  <c r="AI581" i="4"/>
  <c r="AI582" i="4"/>
  <c r="AI583" i="4"/>
  <c r="AI584" i="4"/>
  <c r="AI585" i="4"/>
  <c r="AI586" i="4"/>
  <c r="AI587" i="4"/>
  <c r="AI588" i="4"/>
  <c r="AI589" i="4"/>
  <c r="AI590" i="4"/>
  <c r="AI591" i="4"/>
  <c r="AI592" i="4"/>
  <c r="AI593" i="4"/>
  <c r="AI594" i="4"/>
  <c r="AI595" i="4"/>
  <c r="AI596" i="4"/>
  <c r="AI597" i="4"/>
  <c r="AI598" i="4"/>
  <c r="AI599" i="4"/>
  <c r="AI600" i="4"/>
  <c r="AI601" i="4"/>
  <c r="AI602" i="4"/>
  <c r="AI603" i="4"/>
  <c r="AI604" i="4"/>
  <c r="AI605" i="4"/>
  <c r="AI606" i="4"/>
  <c r="AI607" i="4"/>
  <c r="AI608" i="4"/>
  <c r="AI609" i="4"/>
  <c r="AI610" i="4"/>
  <c r="AI611" i="4"/>
  <c r="AI612" i="4"/>
  <c r="AI613" i="4"/>
  <c r="AI614" i="4"/>
  <c r="AI615" i="4"/>
  <c r="AI616" i="4"/>
  <c r="AI617" i="4"/>
  <c r="AI618" i="4"/>
  <c r="AI619" i="4"/>
  <c r="AI620" i="4"/>
  <c r="AI621" i="4"/>
  <c r="AI622" i="4"/>
  <c r="AI623" i="4"/>
  <c r="AI624" i="4"/>
  <c r="AI625" i="4"/>
  <c r="AI626" i="4"/>
  <c r="AI627" i="4"/>
  <c r="AI628" i="4"/>
  <c r="AI629" i="4"/>
  <c r="AI630" i="4"/>
  <c r="AI631" i="4"/>
  <c r="AI632" i="4"/>
  <c r="AI633" i="4"/>
  <c r="AI634" i="4"/>
  <c r="AI635" i="4"/>
  <c r="AI636" i="4"/>
  <c r="AI637" i="4"/>
  <c r="AI638" i="4"/>
  <c r="AI639" i="4"/>
  <c r="AI640" i="4"/>
  <c r="AI641" i="4"/>
  <c r="AI642" i="4"/>
  <c r="AI643" i="4"/>
  <c r="AI644" i="4"/>
  <c r="AI645" i="4"/>
  <c r="AI646" i="4"/>
  <c r="AI647" i="4"/>
  <c r="AI258" i="4"/>
  <c r="AI259" i="4"/>
  <c r="AI260" i="4"/>
  <c r="AI261" i="4"/>
  <c r="AI262" i="4"/>
  <c r="AI263" i="4"/>
  <c r="AI264" i="4"/>
  <c r="AI265" i="4"/>
  <c r="AI266" i="4"/>
  <c r="AI267" i="4"/>
  <c r="AI268" i="4"/>
  <c r="AI269" i="4"/>
  <c r="AI270" i="4"/>
  <c r="AI271" i="4"/>
  <c r="AI272" i="4"/>
  <c r="AI273" i="4"/>
  <c r="AI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D175" i="4"/>
  <c r="AD176" i="4"/>
  <c r="AD177" i="4"/>
  <c r="AD178" i="4"/>
  <c r="AD179" i="4"/>
  <c r="AD180" i="4"/>
  <c r="AD181" i="4"/>
  <c r="AD182" i="4"/>
  <c r="CD182" i="4" s="1"/>
  <c r="CC182" i="4" s="1"/>
  <c r="AD183" i="4"/>
  <c r="CD183" i="4" s="1"/>
  <c r="CC183" i="4" s="1"/>
  <c r="AD184" i="4"/>
  <c r="CD184" i="4" s="1"/>
  <c r="CC184" i="4" s="1"/>
  <c r="AD185" i="4"/>
  <c r="CD185" i="4" s="1"/>
  <c r="CC185" i="4" s="1"/>
  <c r="AD186" i="4"/>
  <c r="AD187" i="4"/>
  <c r="AD188" i="4"/>
  <c r="AD189" i="4"/>
  <c r="AD190" i="4"/>
  <c r="CD190" i="4" s="1"/>
  <c r="CC190" i="4" s="1"/>
  <c r="AD191" i="4"/>
  <c r="CD191" i="4" s="1"/>
  <c r="CC191" i="4" s="1"/>
  <c r="AD192" i="4"/>
  <c r="CD192" i="4" s="1"/>
  <c r="CC192" i="4" s="1"/>
  <c r="AD193" i="4"/>
  <c r="CD193" i="4" s="1"/>
  <c r="CC193" i="4" s="1"/>
  <c r="AD194" i="4"/>
  <c r="CD194" i="4" s="1"/>
  <c r="CC194" i="4" s="1"/>
  <c r="AD195" i="4"/>
  <c r="AD196" i="4"/>
  <c r="AD197" i="4"/>
  <c r="AD198" i="4"/>
  <c r="AD199" i="4"/>
  <c r="AD200" i="4"/>
  <c r="AD201" i="4"/>
  <c r="AD202" i="4"/>
  <c r="CD202" i="4" s="1"/>
  <c r="AD203" i="4"/>
  <c r="CD203" i="4" s="1"/>
  <c r="AD204" i="4"/>
  <c r="CD204" i="4" s="1"/>
  <c r="CC204" i="4" s="1"/>
  <c r="AD205" i="4"/>
  <c r="CD205" i="4" s="1"/>
  <c r="CC205" i="4" s="1"/>
  <c r="AD206" i="4"/>
  <c r="AD207" i="4"/>
  <c r="AD208" i="4"/>
  <c r="AD209" i="4"/>
  <c r="AD210" i="4"/>
  <c r="CD210" i="4" s="1"/>
  <c r="CC210" i="4" s="1"/>
  <c r="AD211" i="4"/>
  <c r="CD211" i="4" s="1"/>
  <c r="CC211" i="4" s="1"/>
  <c r="AD212" i="4"/>
  <c r="CD212" i="4" s="1"/>
  <c r="CC212" i="4" s="1"/>
  <c r="AD213" i="4"/>
  <c r="CD213" i="4" s="1"/>
  <c r="CC213" i="4" s="1"/>
  <c r="AD214" i="4"/>
  <c r="AD215" i="4"/>
  <c r="AD216" i="4"/>
  <c r="AD217" i="4"/>
  <c r="AD218" i="4"/>
  <c r="AD219" i="4"/>
  <c r="AD220" i="4"/>
  <c r="AD221" i="4"/>
  <c r="AD222" i="4"/>
  <c r="CD222" i="4" s="1"/>
  <c r="AD223" i="4"/>
  <c r="CD223" i="4" s="1"/>
  <c r="CC223" i="4" s="1"/>
  <c r="AD224" i="4"/>
  <c r="CD224" i="4" s="1"/>
  <c r="CC224" i="4" s="1"/>
  <c r="AD225" i="4"/>
  <c r="CD225" i="4" s="1"/>
  <c r="CC225" i="4" s="1"/>
  <c r="AD226" i="4"/>
  <c r="AD227" i="4"/>
  <c r="AD228" i="4"/>
  <c r="AD229" i="4"/>
  <c r="CD229" i="4" s="1"/>
  <c r="CC229" i="4" s="1"/>
  <c r="AD230" i="4"/>
  <c r="CD230" i="4" s="1"/>
  <c r="CC230" i="4" s="1"/>
  <c r="AD231" i="4"/>
  <c r="CD231" i="4" s="1"/>
  <c r="CC231" i="4" s="1"/>
  <c r="AD232" i="4"/>
  <c r="CD232" i="4" s="1"/>
  <c r="CC232" i="4" s="1"/>
  <c r="AD233" i="4"/>
  <c r="CD233" i="4" s="1"/>
  <c r="CC233" i="4" s="1"/>
  <c r="AD234" i="4"/>
  <c r="CD234" i="4" s="1"/>
  <c r="CC234" i="4" s="1"/>
  <c r="AD235" i="4"/>
  <c r="AD236" i="4"/>
  <c r="AD237" i="4"/>
  <c r="AD238" i="4"/>
  <c r="AD239" i="4"/>
  <c r="AD240" i="4"/>
  <c r="AD241" i="4"/>
  <c r="AD242" i="4"/>
  <c r="CD242" i="4" s="1"/>
  <c r="AD243" i="4"/>
  <c r="CD243" i="4" s="1"/>
  <c r="CC243" i="4" s="1"/>
  <c r="AD244" i="4"/>
  <c r="CD244" i="4" s="1"/>
  <c r="CC244" i="4" s="1"/>
  <c r="AD245" i="4"/>
  <c r="CD245" i="4" s="1"/>
  <c r="CC245" i="4" s="1"/>
  <c r="AD246" i="4"/>
  <c r="AD247" i="4"/>
  <c r="AD248" i="4"/>
  <c r="AD249" i="4"/>
  <c r="CD249" i="4" s="1"/>
  <c r="CC249" i="4" s="1"/>
  <c r="AD250" i="4"/>
  <c r="CD250" i="4" s="1"/>
  <c r="CC250" i="4" s="1"/>
  <c r="AD251" i="4"/>
  <c r="CD251" i="4" s="1"/>
  <c r="CC251" i="4" s="1"/>
  <c r="AD252" i="4"/>
  <c r="CD252" i="4" s="1"/>
  <c r="CC252" i="4" s="1"/>
  <c r="AD253" i="4"/>
  <c r="CD253" i="4" s="1"/>
  <c r="CC253" i="4" s="1"/>
  <c r="AD254" i="4"/>
  <c r="CD254" i="4" s="1"/>
  <c r="CC254" i="4" s="1"/>
  <c r="AD255" i="4"/>
  <c r="AD256" i="4"/>
  <c r="AD257" i="4"/>
  <c r="AD258" i="4"/>
  <c r="AD259" i="4"/>
  <c r="AD260" i="4"/>
  <c r="AD261" i="4"/>
  <c r="AD262" i="4"/>
  <c r="CD262" i="4" s="1"/>
  <c r="AD263" i="4"/>
  <c r="CD263" i="4" s="1"/>
  <c r="AD264" i="4"/>
  <c r="CD264" i="4" s="1"/>
  <c r="CC264" i="4" s="1"/>
  <c r="AD265" i="4"/>
  <c r="CD265" i="4" s="1"/>
  <c r="CC265" i="4" s="1"/>
  <c r="AD266" i="4"/>
  <c r="AD267" i="4"/>
  <c r="AD268" i="4"/>
  <c r="AD269" i="4"/>
  <c r="AD270" i="4"/>
  <c r="CD270" i="4" s="1"/>
  <c r="CC270" i="4" s="1"/>
  <c r="AD271" i="4"/>
  <c r="CD271" i="4" s="1"/>
  <c r="CC271" i="4" s="1"/>
  <c r="AD272" i="4"/>
  <c r="CD272" i="4" s="1"/>
  <c r="CC272" i="4" s="1"/>
  <c r="AD273" i="4"/>
  <c r="CD273" i="4" s="1"/>
  <c r="CC273" i="4" s="1"/>
  <c r="AD274" i="4"/>
  <c r="CD274" i="4" s="1"/>
  <c r="CC274" i="4" s="1"/>
  <c r="AD275" i="4"/>
  <c r="AD276" i="4"/>
  <c r="AD277" i="4"/>
  <c r="AD278" i="4"/>
  <c r="AD279" i="4"/>
  <c r="AD280" i="4"/>
  <c r="AD281" i="4"/>
  <c r="AD282" i="4"/>
  <c r="AD283" i="4"/>
  <c r="AD284" i="4"/>
  <c r="AD285" i="4"/>
  <c r="CD285" i="4" s="1"/>
  <c r="CC285" i="4" s="1"/>
  <c r="AD286" i="4"/>
  <c r="CD286" i="4" s="1"/>
  <c r="CC286" i="4" s="1"/>
  <c r="AD287" i="4"/>
  <c r="CD287" i="4" s="1"/>
  <c r="CC287" i="4" s="1"/>
  <c r="AD288" i="4"/>
  <c r="CD288" i="4" s="1"/>
  <c r="CC288" i="4" s="1"/>
  <c r="AD289" i="4"/>
  <c r="CD289" i="4" s="1"/>
  <c r="CC289" i="4" s="1"/>
  <c r="AD290" i="4"/>
  <c r="CD290" i="4" s="1"/>
  <c r="CC290" i="4" s="1"/>
  <c r="AD291" i="4"/>
  <c r="CD291" i="4" s="1"/>
  <c r="CC291" i="4" s="1"/>
  <c r="AD292" i="4"/>
  <c r="CD292" i="4" s="1"/>
  <c r="CC292" i="4" s="1"/>
  <c r="AD293" i="4"/>
  <c r="CD293" i="4" s="1"/>
  <c r="CC293" i="4" s="1"/>
  <c r="AD294" i="4"/>
  <c r="CD294" i="4" s="1"/>
  <c r="CC294" i="4" s="1"/>
  <c r="AD295" i="4"/>
  <c r="AD296" i="4"/>
  <c r="AD297" i="4"/>
  <c r="AD298" i="4"/>
  <c r="AD299" i="4"/>
  <c r="AD300" i="4"/>
  <c r="AD301" i="4"/>
  <c r="AD302" i="4"/>
  <c r="AD303" i="4"/>
  <c r="AD304" i="4"/>
  <c r="AD305" i="4"/>
  <c r="CD305" i="4" s="1"/>
  <c r="CC305" i="4" s="1"/>
  <c r="AD306" i="4"/>
  <c r="AD307" i="4"/>
  <c r="CD307" i="4" s="1"/>
  <c r="CC307" i="4" s="1"/>
  <c r="AD308" i="4"/>
  <c r="CD308" i="4" s="1"/>
  <c r="CC308" i="4" s="1"/>
  <c r="AD309" i="4"/>
  <c r="CD309" i="4" s="1"/>
  <c r="CC309" i="4" s="1"/>
  <c r="AD310" i="4"/>
  <c r="CD310" i="4" s="1"/>
  <c r="CC310" i="4" s="1"/>
  <c r="AD311" i="4"/>
  <c r="CD311" i="4" s="1"/>
  <c r="CC311" i="4" s="1"/>
  <c r="AD312" i="4"/>
  <c r="CD312" i="4" s="1"/>
  <c r="CC312" i="4" s="1"/>
  <c r="AD313" i="4"/>
  <c r="CD313" i="4" s="1"/>
  <c r="CC313" i="4" s="1"/>
  <c r="AD314" i="4"/>
  <c r="CD314" i="4" s="1"/>
  <c r="CC314" i="4" s="1"/>
  <c r="AD315" i="4"/>
  <c r="AD316" i="4"/>
  <c r="AD317" i="4"/>
  <c r="AD318" i="4"/>
  <c r="AD319" i="4"/>
  <c r="AD320" i="4"/>
  <c r="AD321" i="4"/>
  <c r="AD322" i="4"/>
  <c r="AD323" i="4"/>
  <c r="AD324" i="4"/>
  <c r="AD325" i="4"/>
  <c r="CD325" i="4" s="1"/>
  <c r="CC325" i="4" s="1"/>
  <c r="AD326" i="4"/>
  <c r="AD327" i="4"/>
  <c r="CD327" i="4" s="1"/>
  <c r="CC327" i="4" s="1"/>
  <c r="AD328" i="4"/>
  <c r="CD328" i="4" s="1"/>
  <c r="CC328" i="4" s="1"/>
  <c r="AD329" i="4"/>
  <c r="CD329" i="4" s="1"/>
  <c r="CC329" i="4" s="1"/>
  <c r="AD330" i="4"/>
  <c r="CD330" i="4" s="1"/>
  <c r="CC330" i="4" s="1"/>
  <c r="AD331" i="4"/>
  <c r="CD331" i="4" s="1"/>
  <c r="CC331" i="4" s="1"/>
  <c r="AD332" i="4"/>
  <c r="CD332" i="4" s="1"/>
  <c r="CC332" i="4" s="1"/>
  <c r="AD333" i="4"/>
  <c r="CD333" i="4" s="1"/>
  <c r="CC333" i="4" s="1"/>
  <c r="AD334" i="4"/>
  <c r="CD334" i="4" s="1"/>
  <c r="CC334" i="4" s="1"/>
  <c r="AD335" i="4"/>
  <c r="AD336" i="4"/>
  <c r="AD337" i="4"/>
  <c r="AD338" i="4"/>
  <c r="AD339" i="4"/>
  <c r="AD340" i="4"/>
  <c r="AD341" i="4"/>
  <c r="AD342" i="4"/>
  <c r="AD343" i="4"/>
  <c r="AD344" i="4"/>
  <c r="AD345" i="4"/>
  <c r="CD345" i="4" s="1"/>
  <c r="CC345" i="4" s="1"/>
  <c r="AD346" i="4"/>
  <c r="AD347" i="4"/>
  <c r="CD347" i="4" s="1"/>
  <c r="CC347" i="4" s="1"/>
  <c r="AD348" i="4"/>
  <c r="CD348" i="4" s="1"/>
  <c r="CC348" i="4" s="1"/>
  <c r="AD349" i="4"/>
  <c r="CD349" i="4" s="1"/>
  <c r="CC349" i="4" s="1"/>
  <c r="AD350" i="4"/>
  <c r="CD350" i="4" s="1"/>
  <c r="CC350" i="4" s="1"/>
  <c r="AD351" i="4"/>
  <c r="CD351" i="4" s="1"/>
  <c r="CC351" i="4" s="1"/>
  <c r="AD352" i="4"/>
  <c r="CD352" i="4" s="1"/>
  <c r="CC352" i="4" s="1"/>
  <c r="AD353" i="4"/>
  <c r="CD353" i="4" s="1"/>
  <c r="CC353" i="4" s="1"/>
  <c r="AD354" i="4"/>
  <c r="CD354" i="4" s="1"/>
  <c r="CC354" i="4" s="1"/>
  <c r="AD355" i="4"/>
  <c r="AD356" i="4"/>
  <c r="AD357" i="4"/>
  <c r="AD358" i="4"/>
  <c r="AD359" i="4"/>
  <c r="AD360" i="4"/>
  <c r="AD361" i="4"/>
  <c r="AD362" i="4"/>
  <c r="AD363" i="4"/>
  <c r="AD364" i="4"/>
  <c r="AD365" i="4"/>
  <c r="CD365" i="4" s="1"/>
  <c r="CC365" i="4" s="1"/>
  <c r="AD366" i="4"/>
  <c r="AD367" i="4"/>
  <c r="CD367" i="4" s="1"/>
  <c r="CC367" i="4" s="1"/>
  <c r="AD368" i="4"/>
  <c r="CD368" i="4" s="1"/>
  <c r="CC368" i="4" s="1"/>
  <c r="AD369" i="4"/>
  <c r="CD369" i="4" s="1"/>
  <c r="CC369" i="4" s="1"/>
  <c r="AD370" i="4"/>
  <c r="CD370" i="4" s="1"/>
  <c r="CC370" i="4" s="1"/>
  <c r="AD371" i="4"/>
  <c r="CD371" i="4" s="1"/>
  <c r="CC371" i="4" s="1"/>
  <c r="AD372" i="4"/>
  <c r="CD372" i="4" s="1"/>
  <c r="CC372" i="4" s="1"/>
  <c r="AD373" i="4"/>
  <c r="CD373" i="4" s="1"/>
  <c r="CC373" i="4" s="1"/>
  <c r="AD374" i="4"/>
  <c r="CD374" i="4" s="1"/>
  <c r="CC374" i="4" s="1"/>
  <c r="AD375" i="4"/>
  <c r="AD376" i="4"/>
  <c r="AD377" i="4"/>
  <c r="AD378" i="4"/>
  <c r="AD379" i="4"/>
  <c r="AD380" i="4"/>
  <c r="AD381" i="4"/>
  <c r="AD382" i="4"/>
  <c r="AD383" i="4"/>
  <c r="AD384" i="4"/>
  <c r="AD385" i="4"/>
  <c r="CD385" i="4" s="1"/>
  <c r="CC385" i="4" s="1"/>
  <c r="AD386" i="4"/>
  <c r="AD387" i="4"/>
  <c r="CD387" i="4" s="1"/>
  <c r="CC387" i="4" s="1"/>
  <c r="AD388" i="4"/>
  <c r="CD388" i="4" s="1"/>
  <c r="CC388" i="4" s="1"/>
  <c r="AD389" i="4"/>
  <c r="CD389" i="4" s="1"/>
  <c r="CC389" i="4" s="1"/>
  <c r="AD390" i="4"/>
  <c r="CD390" i="4" s="1"/>
  <c r="CC390" i="4" s="1"/>
  <c r="AD391" i="4"/>
  <c r="CD391" i="4" s="1"/>
  <c r="CC391" i="4" s="1"/>
  <c r="AD392" i="4"/>
  <c r="CD392" i="4" s="1"/>
  <c r="CC392" i="4" s="1"/>
  <c r="AD393" i="4"/>
  <c r="CD393" i="4" s="1"/>
  <c r="CC393" i="4" s="1"/>
  <c r="AD394" i="4"/>
  <c r="CD394" i="4" s="1"/>
  <c r="CC394" i="4" s="1"/>
  <c r="AD395" i="4"/>
  <c r="AD396" i="4"/>
  <c r="AD397" i="4"/>
  <c r="AD398" i="4"/>
  <c r="AD399" i="4"/>
  <c r="AD400" i="4"/>
  <c r="AD401" i="4"/>
  <c r="AD402" i="4"/>
  <c r="AD403" i="4"/>
  <c r="AD404" i="4"/>
  <c r="AD405" i="4"/>
  <c r="CD405" i="4" s="1"/>
  <c r="CC405" i="4" s="1"/>
  <c r="AD406" i="4"/>
  <c r="AD407" i="4"/>
  <c r="CD407" i="4" s="1"/>
  <c r="CC407" i="4" s="1"/>
  <c r="AD408" i="4"/>
  <c r="CD408" i="4" s="1"/>
  <c r="CC408" i="4" s="1"/>
  <c r="AD409" i="4"/>
  <c r="CD409" i="4" s="1"/>
  <c r="CC409" i="4" s="1"/>
  <c r="AD410" i="4"/>
  <c r="CD410" i="4" s="1"/>
  <c r="CC410" i="4" s="1"/>
  <c r="AD411" i="4"/>
  <c r="CD411" i="4" s="1"/>
  <c r="CC411" i="4" s="1"/>
  <c r="AD412" i="4"/>
  <c r="CD412" i="4" s="1"/>
  <c r="CC412" i="4" s="1"/>
  <c r="AD413" i="4"/>
  <c r="CD413" i="4" s="1"/>
  <c r="CC413" i="4" s="1"/>
  <c r="AD414" i="4"/>
  <c r="CD414" i="4" s="1"/>
  <c r="CC414" i="4" s="1"/>
  <c r="AD415" i="4"/>
  <c r="AD416" i="4"/>
  <c r="AD417" i="4"/>
  <c r="AD418" i="4"/>
  <c r="AD419" i="4"/>
  <c r="AD420" i="4"/>
  <c r="AD421" i="4"/>
  <c r="AD422" i="4"/>
  <c r="AD423" i="4"/>
  <c r="AD424" i="4"/>
  <c r="AD425" i="4"/>
  <c r="CD425" i="4" s="1"/>
  <c r="AD426" i="4"/>
  <c r="AD427" i="4"/>
  <c r="CD427" i="4" s="1"/>
  <c r="CC427" i="4" s="1"/>
  <c r="AD428" i="4"/>
  <c r="CD428" i="4" s="1"/>
  <c r="CC428" i="4" s="1"/>
  <c r="AD429" i="4"/>
  <c r="CD429" i="4" s="1"/>
  <c r="CC429" i="4" s="1"/>
  <c r="AD430" i="4"/>
  <c r="CD430" i="4" s="1"/>
  <c r="CC430" i="4" s="1"/>
  <c r="AD431" i="4"/>
  <c r="CD431" i="4" s="1"/>
  <c r="CC431" i="4" s="1"/>
  <c r="AD432" i="4"/>
  <c r="CD432" i="4" s="1"/>
  <c r="CC432" i="4" s="1"/>
  <c r="AD433" i="4"/>
  <c r="CD433" i="4" s="1"/>
  <c r="CC433" i="4" s="1"/>
  <c r="AD434" i="4"/>
  <c r="CD434" i="4" s="1"/>
  <c r="CC434" i="4" s="1"/>
  <c r="AD435" i="4"/>
  <c r="AD436" i="4"/>
  <c r="AD437" i="4"/>
  <c r="AD438" i="4"/>
  <c r="AD439" i="4"/>
  <c r="AD440" i="4"/>
  <c r="AD441" i="4"/>
  <c r="AD442" i="4"/>
  <c r="AD443" i="4"/>
  <c r="AD444" i="4"/>
  <c r="CD444" i="4" s="1"/>
  <c r="CC444" i="4" s="1"/>
  <c r="AD445" i="4"/>
  <c r="CD445" i="4" s="1"/>
  <c r="CC445" i="4" s="1"/>
  <c r="AD446" i="4"/>
  <c r="AD447" i="4"/>
  <c r="CD447" i="4" s="1"/>
  <c r="CC447" i="4" s="1"/>
  <c r="AD448" i="4"/>
  <c r="CD448" i="4" s="1"/>
  <c r="CC448" i="4" s="1"/>
  <c r="AD449" i="4"/>
  <c r="CD449" i="4" s="1"/>
  <c r="CC449" i="4" s="1"/>
  <c r="AD450" i="4"/>
  <c r="CD450" i="4" s="1"/>
  <c r="CC450" i="4" s="1"/>
  <c r="AD451" i="4"/>
  <c r="CD451" i="4" s="1"/>
  <c r="CC451" i="4" s="1"/>
  <c r="AD452" i="4"/>
  <c r="CD452" i="4" s="1"/>
  <c r="CC452" i="4" s="1"/>
  <c r="AD453" i="4"/>
  <c r="CD453" i="4" s="1"/>
  <c r="CC453" i="4" s="1"/>
  <c r="AD454" i="4"/>
  <c r="CD454" i="4" s="1"/>
  <c r="CC454" i="4" s="1"/>
  <c r="AD455" i="4"/>
  <c r="AD456" i="4"/>
  <c r="AD457" i="4"/>
  <c r="AD458" i="4"/>
  <c r="AD459" i="4"/>
  <c r="AD460" i="4"/>
  <c r="AD461" i="4"/>
  <c r="AD462" i="4"/>
  <c r="AD463" i="4"/>
  <c r="AD464" i="4"/>
  <c r="AD465" i="4"/>
  <c r="CD465" i="4" s="1"/>
  <c r="CC465" i="4" s="1"/>
  <c r="AD466" i="4"/>
  <c r="AD467" i="4"/>
  <c r="CD467" i="4" s="1"/>
  <c r="CC467" i="4" s="1"/>
  <c r="AD468" i="4"/>
  <c r="CD468" i="4" s="1"/>
  <c r="CC468" i="4" s="1"/>
  <c r="AD469" i="4"/>
  <c r="CD469" i="4" s="1"/>
  <c r="CC469" i="4" s="1"/>
  <c r="AD470" i="4"/>
  <c r="CD470" i="4" s="1"/>
  <c r="CC470" i="4" s="1"/>
  <c r="AD471" i="4"/>
  <c r="CD471" i="4" s="1"/>
  <c r="CC471" i="4" s="1"/>
  <c r="AD472" i="4"/>
  <c r="CD472" i="4" s="1"/>
  <c r="CC472" i="4" s="1"/>
  <c r="AD473" i="4"/>
  <c r="CD473" i="4" s="1"/>
  <c r="CC473" i="4" s="1"/>
  <c r="AD474" i="4"/>
  <c r="CD474" i="4" s="1"/>
  <c r="CC474" i="4" s="1"/>
  <c r="AD475" i="4"/>
  <c r="AD476" i="4"/>
  <c r="AD477" i="4"/>
  <c r="AD478" i="4"/>
  <c r="AD479" i="4"/>
  <c r="AD480" i="4"/>
  <c r="AD481" i="4"/>
  <c r="AD482" i="4"/>
  <c r="AD483" i="4"/>
  <c r="AD484" i="4"/>
  <c r="CD484" i="4" s="1"/>
  <c r="CC484" i="4" s="1"/>
  <c r="AD485" i="4"/>
  <c r="CD485" i="4" s="1"/>
  <c r="CC485" i="4" s="1"/>
  <c r="AD486" i="4"/>
  <c r="AD487" i="4"/>
  <c r="CD487" i="4" s="1"/>
  <c r="CC487" i="4" s="1"/>
  <c r="AD488" i="4"/>
  <c r="CD488" i="4" s="1"/>
  <c r="CC488" i="4" s="1"/>
  <c r="AD489" i="4"/>
  <c r="CD489" i="4" s="1"/>
  <c r="CC489" i="4" s="1"/>
  <c r="AD490" i="4"/>
  <c r="CD490" i="4" s="1"/>
  <c r="CC490" i="4" s="1"/>
  <c r="AD491" i="4"/>
  <c r="CD491" i="4" s="1"/>
  <c r="CC491" i="4" s="1"/>
  <c r="AD492" i="4"/>
  <c r="CD492" i="4" s="1"/>
  <c r="CC492" i="4" s="1"/>
  <c r="AD493" i="4"/>
  <c r="CD493" i="4" s="1"/>
  <c r="CC493" i="4" s="1"/>
  <c r="AD494" i="4"/>
  <c r="CD494" i="4" s="1"/>
  <c r="CC494" i="4" s="1"/>
  <c r="AD495" i="4"/>
  <c r="AD496" i="4"/>
  <c r="AD497" i="4"/>
  <c r="AD498" i="4"/>
  <c r="AD499" i="4"/>
  <c r="AD500" i="4"/>
  <c r="AD501" i="4"/>
  <c r="AD502" i="4"/>
  <c r="AD503" i="4"/>
  <c r="AD504" i="4"/>
  <c r="AD505" i="4"/>
  <c r="CD505" i="4" s="1"/>
  <c r="CC505" i="4" s="1"/>
  <c r="AD506" i="4"/>
  <c r="AD507" i="4"/>
  <c r="CD507" i="4" s="1"/>
  <c r="CC507" i="4" s="1"/>
  <c r="AD508" i="4"/>
  <c r="CD508" i="4" s="1"/>
  <c r="CC508" i="4" s="1"/>
  <c r="AD509" i="4"/>
  <c r="CD509" i="4" s="1"/>
  <c r="CC509" i="4" s="1"/>
  <c r="AD510" i="4"/>
  <c r="CD510" i="4" s="1"/>
  <c r="CC510" i="4" s="1"/>
  <c r="AD511" i="4"/>
  <c r="CD511" i="4" s="1"/>
  <c r="CC511" i="4" s="1"/>
  <c r="AD512" i="4"/>
  <c r="CD512" i="4" s="1"/>
  <c r="CC512" i="4" s="1"/>
  <c r="AD513" i="4"/>
  <c r="CD513" i="4" s="1"/>
  <c r="CC513" i="4" s="1"/>
  <c r="AD514" i="4"/>
  <c r="CD514" i="4" s="1"/>
  <c r="CC514" i="4" s="1"/>
  <c r="AD515" i="4"/>
  <c r="AD516" i="4"/>
  <c r="AD517" i="4"/>
  <c r="AD518" i="4"/>
  <c r="AD519" i="4"/>
  <c r="AD520" i="4"/>
  <c r="AD521" i="4"/>
  <c r="AD522" i="4"/>
  <c r="AD523" i="4"/>
  <c r="AD524" i="4"/>
  <c r="AD525" i="4"/>
  <c r="CD525" i="4" s="1"/>
  <c r="AD526" i="4"/>
  <c r="AD527" i="4"/>
  <c r="CD527" i="4" s="1"/>
  <c r="CC527" i="4" s="1"/>
  <c r="AD528" i="4"/>
  <c r="CD528" i="4" s="1"/>
  <c r="CC528" i="4" s="1"/>
  <c r="AD529" i="4"/>
  <c r="CD529" i="4" s="1"/>
  <c r="CC529" i="4" s="1"/>
  <c r="AD530" i="4"/>
  <c r="CD530" i="4" s="1"/>
  <c r="CC530" i="4" s="1"/>
  <c r="AD531" i="4"/>
  <c r="CD531" i="4" s="1"/>
  <c r="CC531" i="4" s="1"/>
  <c r="AD532" i="4"/>
  <c r="CD532" i="4" s="1"/>
  <c r="CC532" i="4" s="1"/>
  <c r="AD533" i="4"/>
  <c r="CD533" i="4" s="1"/>
  <c r="CC533" i="4" s="1"/>
  <c r="AD534" i="4"/>
  <c r="CD534" i="4" s="1"/>
  <c r="CC534" i="4" s="1"/>
  <c r="AD535" i="4"/>
  <c r="AD536" i="4"/>
  <c r="AD537" i="4"/>
  <c r="AD538" i="4"/>
  <c r="AD539" i="4"/>
  <c r="AD540" i="4"/>
  <c r="AD541" i="4"/>
  <c r="AD542" i="4"/>
  <c r="AD543" i="4"/>
  <c r="AD544" i="4"/>
  <c r="AD545" i="4"/>
  <c r="CD545" i="4" s="1"/>
  <c r="CC545" i="4" s="1"/>
  <c r="AD546" i="4"/>
  <c r="AD547" i="4"/>
  <c r="CD547" i="4" s="1"/>
  <c r="CC547" i="4" s="1"/>
  <c r="AD548" i="4"/>
  <c r="CD548" i="4" s="1"/>
  <c r="CC548" i="4" s="1"/>
  <c r="AD549" i="4"/>
  <c r="CD549" i="4" s="1"/>
  <c r="CC549" i="4" s="1"/>
  <c r="AD550" i="4"/>
  <c r="CD550" i="4" s="1"/>
  <c r="CC550" i="4" s="1"/>
  <c r="AD551" i="4"/>
  <c r="CD551" i="4" s="1"/>
  <c r="CC551" i="4" s="1"/>
  <c r="AD552" i="4"/>
  <c r="CD552" i="4" s="1"/>
  <c r="CC552" i="4" s="1"/>
  <c r="AD553" i="4"/>
  <c r="CD553" i="4" s="1"/>
  <c r="CC553" i="4" s="1"/>
  <c r="AD554" i="4"/>
  <c r="CD554" i="4" s="1"/>
  <c r="CC554" i="4" s="1"/>
  <c r="AD555" i="4"/>
  <c r="AD556" i="4"/>
  <c r="AD557" i="4"/>
  <c r="AD558" i="4"/>
  <c r="AD559" i="4"/>
  <c r="AD560" i="4"/>
  <c r="AD561" i="4"/>
  <c r="AD562" i="4"/>
  <c r="AD563" i="4"/>
  <c r="AD564" i="4"/>
  <c r="AD565" i="4"/>
  <c r="CD565" i="4" s="1"/>
  <c r="CC565" i="4" s="1"/>
  <c r="AD566" i="4"/>
  <c r="AD567" i="4"/>
  <c r="CD567" i="4" s="1"/>
  <c r="CC567" i="4" s="1"/>
  <c r="AD568" i="4"/>
  <c r="CD568" i="4" s="1"/>
  <c r="CC568" i="4" s="1"/>
  <c r="AD569" i="4"/>
  <c r="CD569" i="4" s="1"/>
  <c r="CC569" i="4" s="1"/>
  <c r="AD570" i="4"/>
  <c r="CD570" i="4" s="1"/>
  <c r="CC570" i="4" s="1"/>
  <c r="AD571" i="4"/>
  <c r="CD571" i="4" s="1"/>
  <c r="CC571" i="4" s="1"/>
  <c r="AD572" i="4"/>
  <c r="CD572" i="4" s="1"/>
  <c r="CC572" i="4" s="1"/>
  <c r="AD573" i="4"/>
  <c r="CD573" i="4" s="1"/>
  <c r="CC573" i="4" s="1"/>
  <c r="AD574" i="4"/>
  <c r="CD574" i="4" s="1"/>
  <c r="CC574" i="4" s="1"/>
  <c r="AD575" i="4"/>
  <c r="AD576" i="4"/>
  <c r="AD577" i="4"/>
  <c r="AD578" i="4"/>
  <c r="AD579" i="4"/>
  <c r="AD580" i="4"/>
  <c r="AD581" i="4"/>
  <c r="AD582" i="4"/>
  <c r="AD583" i="4"/>
  <c r="AD584" i="4"/>
  <c r="AD585" i="4"/>
  <c r="CD585" i="4" s="1"/>
  <c r="CC585" i="4" s="1"/>
  <c r="AD586" i="4"/>
  <c r="AD587" i="4"/>
  <c r="CD587" i="4" s="1"/>
  <c r="CC587" i="4" s="1"/>
  <c r="AD588" i="4"/>
  <c r="CD588" i="4" s="1"/>
  <c r="CC588" i="4" s="1"/>
  <c r="AD589" i="4"/>
  <c r="CD589" i="4" s="1"/>
  <c r="CC589" i="4" s="1"/>
  <c r="AD590" i="4"/>
  <c r="CD590" i="4" s="1"/>
  <c r="CC590" i="4" s="1"/>
  <c r="AD591" i="4"/>
  <c r="CD591" i="4" s="1"/>
  <c r="CC591" i="4" s="1"/>
  <c r="AD592" i="4"/>
  <c r="CD592" i="4" s="1"/>
  <c r="CC592" i="4" s="1"/>
  <c r="AD593" i="4"/>
  <c r="CD593" i="4" s="1"/>
  <c r="CC593" i="4" s="1"/>
  <c r="AD594" i="4"/>
  <c r="CD594" i="4" s="1"/>
  <c r="CC594" i="4" s="1"/>
  <c r="AD595" i="4"/>
  <c r="AD596" i="4"/>
  <c r="AD597" i="4"/>
  <c r="AD598" i="4"/>
  <c r="AD599" i="4"/>
  <c r="AD600" i="4"/>
  <c r="AD601" i="4"/>
  <c r="AD602" i="4"/>
  <c r="AD603" i="4"/>
  <c r="AD604" i="4"/>
  <c r="AD605" i="4"/>
  <c r="CD605" i="4" s="1"/>
  <c r="CC605" i="4" s="1"/>
  <c r="AD606" i="4"/>
  <c r="AD607" i="4"/>
  <c r="CD607" i="4" s="1"/>
  <c r="CC607" i="4" s="1"/>
  <c r="AD608" i="4"/>
  <c r="CD608" i="4" s="1"/>
  <c r="CC608" i="4" s="1"/>
  <c r="AD609" i="4"/>
  <c r="CD609" i="4" s="1"/>
  <c r="CC609" i="4" s="1"/>
  <c r="AD610" i="4"/>
  <c r="CD610" i="4" s="1"/>
  <c r="CC610" i="4" s="1"/>
  <c r="AD611" i="4"/>
  <c r="CD611" i="4" s="1"/>
  <c r="CC611" i="4" s="1"/>
  <c r="AD612" i="4"/>
  <c r="CD612" i="4" s="1"/>
  <c r="CC612" i="4" s="1"/>
  <c r="AD613" i="4"/>
  <c r="CD613" i="4" s="1"/>
  <c r="CC613" i="4" s="1"/>
  <c r="AD614" i="4"/>
  <c r="CD614" i="4" s="1"/>
  <c r="CC614" i="4" s="1"/>
  <c r="AD615" i="4"/>
  <c r="AD616" i="4"/>
  <c r="AD617" i="4"/>
  <c r="AD618" i="4"/>
  <c r="AD619" i="4"/>
  <c r="AD620" i="4"/>
  <c r="AD621" i="4"/>
  <c r="AD622" i="4"/>
  <c r="AD623" i="4"/>
  <c r="AD624" i="4"/>
  <c r="AD625" i="4"/>
  <c r="AD626" i="4"/>
  <c r="AD627" i="4"/>
  <c r="AD628" i="4"/>
  <c r="AD629" i="4"/>
  <c r="AD630" i="4"/>
  <c r="AD631" i="4"/>
  <c r="AD632" i="4"/>
  <c r="AD633" i="4"/>
  <c r="AD634" i="4"/>
  <c r="AD635" i="4"/>
  <c r="AD636" i="4"/>
  <c r="AD637" i="4"/>
  <c r="AD638" i="4"/>
  <c r="AD639" i="4"/>
  <c r="AD640" i="4"/>
  <c r="AD641" i="4"/>
  <c r="AD642" i="4"/>
  <c r="AD643" i="4"/>
  <c r="AD644" i="4"/>
  <c r="AD645" i="4"/>
  <c r="AD646" i="4"/>
  <c r="AD647" i="4"/>
  <c r="AD162" i="4"/>
  <c r="AD163" i="4"/>
  <c r="AD164" i="4"/>
  <c r="AD165" i="4"/>
  <c r="AD166" i="4"/>
  <c r="AD167" i="4"/>
  <c r="AD168" i="4"/>
  <c r="CD168" i="4" s="1"/>
  <c r="CC168" i="4" s="1"/>
  <c r="AD169" i="4"/>
  <c r="CD169" i="4" s="1"/>
  <c r="CC169" i="4" s="1"/>
  <c r="AD170" i="4"/>
  <c r="CD170" i="4" s="1"/>
  <c r="CC170" i="4" s="1"/>
  <c r="AD171" i="4"/>
  <c r="CD171" i="4" s="1"/>
  <c r="CC171" i="4" s="1"/>
  <c r="AD172" i="4"/>
  <c r="CD172" i="4" s="1"/>
  <c r="CC172" i="4" s="1"/>
  <c r="AD173" i="4"/>
  <c r="AD174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AC620" i="4"/>
  <c r="AC621" i="4"/>
  <c r="AC622" i="4"/>
  <c r="AC623" i="4"/>
  <c r="AC624" i="4"/>
  <c r="AC625" i="4"/>
  <c r="AC626" i="4"/>
  <c r="AC627" i="4"/>
  <c r="AC628" i="4"/>
  <c r="AC629" i="4"/>
  <c r="AC630" i="4"/>
  <c r="AC631" i="4"/>
  <c r="AC632" i="4"/>
  <c r="AC633" i="4"/>
  <c r="AC634" i="4"/>
  <c r="AC635" i="4"/>
  <c r="AC636" i="4"/>
  <c r="AC637" i="4"/>
  <c r="AC638" i="4"/>
  <c r="AC639" i="4"/>
  <c r="AC640" i="4"/>
  <c r="AC641" i="4"/>
  <c r="AC642" i="4"/>
  <c r="AC643" i="4"/>
  <c r="AC644" i="4"/>
  <c r="AC645" i="4"/>
  <c r="AC646" i="4"/>
  <c r="AC647" i="4"/>
  <c r="AB620" i="4"/>
  <c r="AB621" i="4"/>
  <c r="AB622" i="4"/>
  <c r="AB623" i="4"/>
  <c r="AB624" i="4"/>
  <c r="AB625" i="4"/>
  <c r="AB626" i="4"/>
  <c r="AB627" i="4"/>
  <c r="AB628" i="4"/>
  <c r="AB629" i="4"/>
  <c r="AB630" i="4"/>
  <c r="AB631" i="4"/>
  <c r="AB632" i="4"/>
  <c r="AB633" i="4"/>
  <c r="AB634" i="4"/>
  <c r="AB635" i="4"/>
  <c r="AB636" i="4"/>
  <c r="AB637" i="4"/>
  <c r="AB638" i="4"/>
  <c r="AB639" i="4"/>
  <c r="AB640" i="4"/>
  <c r="AB641" i="4"/>
  <c r="AB642" i="4"/>
  <c r="AB643" i="4"/>
  <c r="AB644" i="4"/>
  <c r="AB645" i="4"/>
  <c r="AB646" i="4"/>
  <c r="AB647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BN647" i="4"/>
  <c r="BM647" i="4"/>
  <c r="BN646" i="4"/>
  <c r="BM646" i="4" s="1"/>
  <c r="BN645" i="4"/>
  <c r="BM645" i="4"/>
  <c r="BN644" i="4"/>
  <c r="BM644" i="4"/>
  <c r="BN643" i="4"/>
  <c r="BM643" i="4" s="1"/>
  <c r="BN642" i="4"/>
  <c r="BM642" i="4" s="1"/>
  <c r="BN641" i="4"/>
  <c r="BM641" i="4"/>
  <c r="BN640" i="4"/>
  <c r="BM640" i="4" s="1"/>
  <c r="BN639" i="4"/>
  <c r="BM639" i="4"/>
  <c r="BN638" i="4"/>
  <c r="BM638" i="4" s="1"/>
  <c r="BN637" i="4"/>
  <c r="BM637" i="4"/>
  <c r="BN636" i="4"/>
  <c r="BM636" i="4"/>
  <c r="BN635" i="4"/>
  <c r="BM635" i="4"/>
  <c r="BN634" i="4"/>
  <c r="BM634" i="4"/>
  <c r="S647" i="4"/>
  <c r="S646" i="4"/>
  <c r="S645" i="4"/>
  <c r="S644" i="4"/>
  <c r="S643" i="4"/>
  <c r="S642" i="4"/>
  <c r="S641" i="4"/>
  <c r="S640" i="4"/>
  <c r="S639" i="4"/>
  <c r="S638" i="4"/>
  <c r="S637" i="4"/>
  <c r="S636" i="4"/>
  <c r="S635" i="4"/>
  <c r="S634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21" i="4"/>
  <c r="I622" i="4"/>
  <c r="I623" i="4"/>
  <c r="I624" i="4"/>
  <c r="I625" i="4"/>
  <c r="I626" i="4"/>
  <c r="G626" i="4" s="1"/>
  <c r="I627" i="4"/>
  <c r="G627" i="4" s="1"/>
  <c r="I628" i="4"/>
  <c r="I629" i="4"/>
  <c r="I630" i="4"/>
  <c r="I631" i="4"/>
  <c r="I632" i="4"/>
  <c r="I633" i="4"/>
  <c r="G633" i="4" s="1"/>
  <c r="I620" i="4"/>
  <c r="G628" i="4"/>
  <c r="G629" i="4"/>
  <c r="G630" i="4"/>
  <c r="G631" i="4"/>
  <c r="G620" i="4"/>
  <c r="G621" i="4"/>
  <c r="G622" i="4"/>
  <c r="G623" i="4"/>
  <c r="G624" i="4"/>
  <c r="G625" i="4"/>
  <c r="G632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S623" i="4"/>
  <c r="Q630" i="4"/>
  <c r="BN633" i="4"/>
  <c r="BM633" i="4" s="1"/>
  <c r="BN632" i="4"/>
  <c r="BM632" i="4"/>
  <c r="BN631" i="4"/>
  <c r="BM631" i="4" s="1"/>
  <c r="BN630" i="4"/>
  <c r="BM630" i="4" s="1"/>
  <c r="BN629" i="4"/>
  <c r="BM629" i="4" s="1"/>
  <c r="BN628" i="4"/>
  <c r="BM628" i="4"/>
  <c r="BN627" i="4"/>
  <c r="BM627" i="4"/>
  <c r="BN626" i="4"/>
  <c r="BM626" i="4" s="1"/>
  <c r="BN625" i="4"/>
  <c r="BM625" i="4" s="1"/>
  <c r="BN624" i="4"/>
  <c r="BM624" i="4" s="1"/>
  <c r="BN623" i="4"/>
  <c r="BM623" i="4" s="1"/>
  <c r="BN622" i="4"/>
  <c r="BM622" i="4" s="1"/>
  <c r="BN621" i="4"/>
  <c r="BM621" i="4" s="1"/>
  <c r="BN620" i="4"/>
  <c r="BM620" i="4" s="1"/>
  <c r="S633" i="4"/>
  <c r="S632" i="4"/>
  <c r="S631" i="4"/>
  <c r="S630" i="4"/>
  <c r="S629" i="4"/>
  <c r="S628" i="4"/>
  <c r="S627" i="4"/>
  <c r="S626" i="4"/>
  <c r="S625" i="4"/>
  <c r="S624" i="4"/>
  <c r="S622" i="4"/>
  <c r="S621" i="4"/>
  <c r="S620" i="4"/>
  <c r="CH275" i="4"/>
  <c r="CH276" i="4"/>
  <c r="CH277" i="4"/>
  <c r="CH278" i="4"/>
  <c r="CH279" i="4"/>
  <c r="CH280" i="4"/>
  <c r="CH281" i="4"/>
  <c r="CH282" i="4"/>
  <c r="CH283" i="4"/>
  <c r="CH284" i="4"/>
  <c r="CH285" i="4"/>
  <c r="CH286" i="4"/>
  <c r="CH287" i="4"/>
  <c r="CH288" i="4"/>
  <c r="CH289" i="4"/>
  <c r="CH290" i="4"/>
  <c r="CG290" i="4" s="1"/>
  <c r="CH291" i="4"/>
  <c r="CG291" i="4" s="1"/>
  <c r="CH292" i="4"/>
  <c r="CG292" i="4" s="1"/>
  <c r="CH293" i="4"/>
  <c r="CG293" i="4" s="1"/>
  <c r="CH294" i="4"/>
  <c r="CG294" i="4" s="1"/>
  <c r="CH295" i="4"/>
  <c r="CH296" i="4"/>
  <c r="CH297" i="4"/>
  <c r="CH298" i="4"/>
  <c r="CH299" i="4"/>
  <c r="CH300" i="4"/>
  <c r="CH301" i="4"/>
  <c r="CH302" i="4"/>
  <c r="CH303" i="4"/>
  <c r="CH304" i="4"/>
  <c r="CH305" i="4"/>
  <c r="CH306" i="4"/>
  <c r="CH307" i="4"/>
  <c r="CH308" i="4"/>
  <c r="CH309" i="4"/>
  <c r="CH310" i="4"/>
  <c r="CG310" i="4" s="1"/>
  <c r="CH311" i="4"/>
  <c r="CG311" i="4" s="1"/>
  <c r="CH312" i="4"/>
  <c r="CG312" i="4" s="1"/>
  <c r="CH313" i="4"/>
  <c r="CG313" i="4" s="1"/>
  <c r="CH314" i="4"/>
  <c r="CG314" i="4" s="1"/>
  <c r="CH315" i="4"/>
  <c r="CH316" i="4"/>
  <c r="CH317" i="4"/>
  <c r="CH318" i="4"/>
  <c r="CH319" i="4"/>
  <c r="CH320" i="4"/>
  <c r="CH321" i="4"/>
  <c r="CH322" i="4"/>
  <c r="CH323" i="4"/>
  <c r="CH324" i="4"/>
  <c r="CH325" i="4"/>
  <c r="CH326" i="4"/>
  <c r="CH327" i="4"/>
  <c r="CH328" i="4"/>
  <c r="CH329" i="4"/>
  <c r="CH330" i="4"/>
  <c r="CG330" i="4" s="1"/>
  <c r="CH331" i="4"/>
  <c r="CG331" i="4" s="1"/>
  <c r="CH332" i="4"/>
  <c r="CG332" i="4" s="1"/>
  <c r="CH333" i="4"/>
  <c r="CG333" i="4" s="1"/>
  <c r="CH334" i="4"/>
  <c r="CG334" i="4" s="1"/>
  <c r="CH335" i="4"/>
  <c r="CH336" i="4"/>
  <c r="CH337" i="4"/>
  <c r="CH338" i="4"/>
  <c r="CH339" i="4"/>
  <c r="CH340" i="4"/>
  <c r="CH341" i="4"/>
  <c r="CH342" i="4"/>
  <c r="CH343" i="4"/>
  <c r="CH344" i="4"/>
  <c r="CH345" i="4"/>
  <c r="CH346" i="4"/>
  <c r="CH347" i="4"/>
  <c r="CH348" i="4"/>
  <c r="CH349" i="4"/>
  <c r="CH350" i="4"/>
  <c r="CG350" i="4" s="1"/>
  <c r="CH351" i="4"/>
  <c r="CG351" i="4" s="1"/>
  <c r="CH352" i="4"/>
  <c r="CG352" i="4" s="1"/>
  <c r="CH353" i="4"/>
  <c r="CG353" i="4" s="1"/>
  <c r="CH354" i="4"/>
  <c r="CG354" i="4" s="1"/>
  <c r="CH355" i="4"/>
  <c r="CH356" i="4"/>
  <c r="CH357" i="4"/>
  <c r="CH358" i="4"/>
  <c r="CH359" i="4"/>
  <c r="CH360" i="4"/>
  <c r="CH361" i="4"/>
  <c r="CH362" i="4"/>
  <c r="CH363" i="4"/>
  <c r="CH364" i="4"/>
  <c r="CH365" i="4"/>
  <c r="CH366" i="4"/>
  <c r="CH367" i="4"/>
  <c r="CH368" i="4"/>
  <c r="CH369" i="4"/>
  <c r="CH370" i="4"/>
  <c r="CG370" i="4" s="1"/>
  <c r="CH371" i="4"/>
  <c r="CG371" i="4" s="1"/>
  <c r="CH372" i="4"/>
  <c r="CG372" i="4" s="1"/>
  <c r="CH373" i="4"/>
  <c r="CG373" i="4" s="1"/>
  <c r="CH374" i="4"/>
  <c r="CG374" i="4" s="1"/>
  <c r="CH375" i="4"/>
  <c r="CH376" i="4"/>
  <c r="CH377" i="4"/>
  <c r="CH378" i="4"/>
  <c r="CH379" i="4"/>
  <c r="CH380" i="4"/>
  <c r="CH381" i="4"/>
  <c r="CH382" i="4"/>
  <c r="CH383" i="4"/>
  <c r="CH384" i="4"/>
  <c r="CH385" i="4"/>
  <c r="CH386" i="4"/>
  <c r="CH387" i="4"/>
  <c r="CH388" i="4"/>
  <c r="CH389" i="4"/>
  <c r="CH390" i="4"/>
  <c r="CG390" i="4" s="1"/>
  <c r="CH391" i="4"/>
  <c r="CG391" i="4" s="1"/>
  <c r="CH392" i="4"/>
  <c r="CG392" i="4" s="1"/>
  <c r="CH393" i="4"/>
  <c r="CG393" i="4" s="1"/>
  <c r="CH394" i="4"/>
  <c r="CG394" i="4" s="1"/>
  <c r="CH395" i="4"/>
  <c r="CH396" i="4"/>
  <c r="CH397" i="4"/>
  <c r="CH398" i="4"/>
  <c r="CH399" i="4"/>
  <c r="CH400" i="4"/>
  <c r="CH401" i="4"/>
  <c r="CH402" i="4"/>
  <c r="CH403" i="4"/>
  <c r="CH404" i="4"/>
  <c r="CH405" i="4"/>
  <c r="CH406" i="4"/>
  <c r="CH407" i="4"/>
  <c r="CH408" i="4"/>
  <c r="CH409" i="4"/>
  <c r="CH410" i="4"/>
  <c r="CG410" i="4" s="1"/>
  <c r="CH411" i="4"/>
  <c r="CG411" i="4" s="1"/>
  <c r="CH412" i="4"/>
  <c r="CG412" i="4" s="1"/>
  <c r="CH413" i="4"/>
  <c r="CG413" i="4" s="1"/>
  <c r="CH414" i="4"/>
  <c r="CG414" i="4" s="1"/>
  <c r="CH415" i="4"/>
  <c r="CH416" i="4"/>
  <c r="CH417" i="4"/>
  <c r="CH418" i="4"/>
  <c r="CH419" i="4"/>
  <c r="CH420" i="4"/>
  <c r="CH421" i="4"/>
  <c r="CH422" i="4"/>
  <c r="CH423" i="4"/>
  <c r="CH424" i="4"/>
  <c r="CH425" i="4"/>
  <c r="CH426" i="4"/>
  <c r="CH427" i="4"/>
  <c r="CH428" i="4"/>
  <c r="CH429" i="4"/>
  <c r="CH430" i="4"/>
  <c r="CG430" i="4" s="1"/>
  <c r="CH431" i="4"/>
  <c r="CG431" i="4" s="1"/>
  <c r="CH432" i="4"/>
  <c r="CG432" i="4" s="1"/>
  <c r="CH433" i="4"/>
  <c r="CG433" i="4" s="1"/>
  <c r="CH434" i="4"/>
  <c r="CG434" i="4" s="1"/>
  <c r="CH435" i="4"/>
  <c r="CH436" i="4"/>
  <c r="CH437" i="4"/>
  <c r="CH438" i="4"/>
  <c r="CH439" i="4"/>
  <c r="CH440" i="4"/>
  <c r="CH441" i="4"/>
  <c r="CH442" i="4"/>
  <c r="CH443" i="4"/>
  <c r="CH444" i="4"/>
  <c r="CH445" i="4"/>
  <c r="CH446" i="4"/>
  <c r="CH447" i="4"/>
  <c r="CH448" i="4"/>
  <c r="CH449" i="4"/>
  <c r="CH450" i="4"/>
  <c r="CG450" i="4" s="1"/>
  <c r="CH451" i="4"/>
  <c r="CG451" i="4" s="1"/>
  <c r="CH452" i="4"/>
  <c r="CG452" i="4" s="1"/>
  <c r="CH453" i="4"/>
  <c r="CG453" i="4" s="1"/>
  <c r="CH454" i="4"/>
  <c r="CG454" i="4" s="1"/>
  <c r="CH455" i="4"/>
  <c r="CH456" i="4"/>
  <c r="CH457" i="4"/>
  <c r="CH458" i="4"/>
  <c r="CH459" i="4"/>
  <c r="CH460" i="4"/>
  <c r="CH461" i="4"/>
  <c r="CH462" i="4"/>
  <c r="CH463" i="4"/>
  <c r="CH464" i="4"/>
  <c r="CH465" i="4"/>
  <c r="CH466" i="4"/>
  <c r="CH467" i="4"/>
  <c r="CH468" i="4"/>
  <c r="CH469" i="4"/>
  <c r="CH470" i="4"/>
  <c r="CG470" i="4" s="1"/>
  <c r="CH471" i="4"/>
  <c r="CG471" i="4" s="1"/>
  <c r="CH472" i="4"/>
  <c r="CG472" i="4" s="1"/>
  <c r="CH473" i="4"/>
  <c r="CG473" i="4" s="1"/>
  <c r="CH474" i="4"/>
  <c r="CG474" i="4" s="1"/>
  <c r="CH475" i="4"/>
  <c r="CH476" i="4"/>
  <c r="CH477" i="4"/>
  <c r="CH478" i="4"/>
  <c r="CH479" i="4"/>
  <c r="CH480" i="4"/>
  <c r="CH481" i="4"/>
  <c r="CH482" i="4"/>
  <c r="CH483" i="4"/>
  <c r="CH484" i="4"/>
  <c r="CH485" i="4"/>
  <c r="CH486" i="4"/>
  <c r="CH487" i="4"/>
  <c r="CH488" i="4"/>
  <c r="CH489" i="4"/>
  <c r="CH490" i="4"/>
  <c r="CG490" i="4" s="1"/>
  <c r="CH491" i="4"/>
  <c r="CG491" i="4" s="1"/>
  <c r="CH492" i="4"/>
  <c r="CG492" i="4" s="1"/>
  <c r="CH493" i="4"/>
  <c r="CG493" i="4" s="1"/>
  <c r="CH494" i="4"/>
  <c r="CG494" i="4" s="1"/>
  <c r="CH495" i="4"/>
  <c r="CH496" i="4"/>
  <c r="CH497" i="4"/>
  <c r="CH498" i="4"/>
  <c r="CH499" i="4"/>
  <c r="CH500" i="4"/>
  <c r="CH501" i="4"/>
  <c r="CH502" i="4"/>
  <c r="CH503" i="4"/>
  <c r="CH504" i="4"/>
  <c r="CH505" i="4"/>
  <c r="CH506" i="4"/>
  <c r="CH507" i="4"/>
  <c r="CH508" i="4"/>
  <c r="CH509" i="4"/>
  <c r="CH510" i="4"/>
  <c r="CG510" i="4" s="1"/>
  <c r="CH511" i="4"/>
  <c r="CG511" i="4" s="1"/>
  <c r="CH512" i="4"/>
  <c r="CG512" i="4" s="1"/>
  <c r="CH513" i="4"/>
  <c r="CG513" i="4" s="1"/>
  <c r="CH514" i="4"/>
  <c r="CG514" i="4" s="1"/>
  <c r="CH515" i="4"/>
  <c r="CH516" i="4"/>
  <c r="CH517" i="4"/>
  <c r="CH518" i="4"/>
  <c r="CH519" i="4"/>
  <c r="CH520" i="4"/>
  <c r="CH521" i="4"/>
  <c r="CH522" i="4"/>
  <c r="CH523" i="4"/>
  <c r="CH524" i="4"/>
  <c r="CH525" i="4"/>
  <c r="CH526" i="4"/>
  <c r="CH527" i="4"/>
  <c r="CH528" i="4"/>
  <c r="CH529" i="4"/>
  <c r="CH530" i="4"/>
  <c r="CG530" i="4" s="1"/>
  <c r="CH531" i="4"/>
  <c r="CG531" i="4" s="1"/>
  <c r="CH532" i="4"/>
  <c r="CG532" i="4" s="1"/>
  <c r="CH533" i="4"/>
  <c r="CG533" i="4" s="1"/>
  <c r="CH534" i="4"/>
  <c r="CG534" i="4" s="1"/>
  <c r="CH535" i="4"/>
  <c r="CH536" i="4"/>
  <c r="CH537" i="4"/>
  <c r="CH538" i="4"/>
  <c r="CH539" i="4"/>
  <c r="CH540" i="4"/>
  <c r="CH541" i="4"/>
  <c r="CH542" i="4"/>
  <c r="CH543" i="4"/>
  <c r="CH544" i="4"/>
  <c r="CH545" i="4"/>
  <c r="CH546" i="4"/>
  <c r="CH547" i="4"/>
  <c r="CH548" i="4"/>
  <c r="CH549" i="4"/>
  <c r="CH550" i="4"/>
  <c r="CG550" i="4" s="1"/>
  <c r="CH551" i="4"/>
  <c r="CG551" i="4" s="1"/>
  <c r="CH552" i="4"/>
  <c r="CG552" i="4" s="1"/>
  <c r="CH553" i="4"/>
  <c r="CG553" i="4" s="1"/>
  <c r="CH554" i="4"/>
  <c r="CG554" i="4" s="1"/>
  <c r="CH555" i="4"/>
  <c r="CH556" i="4"/>
  <c r="CH557" i="4"/>
  <c r="CH558" i="4"/>
  <c r="CH559" i="4"/>
  <c r="CH560" i="4"/>
  <c r="CH561" i="4"/>
  <c r="CH562" i="4"/>
  <c r="CH563" i="4"/>
  <c r="CH564" i="4"/>
  <c r="CH565" i="4"/>
  <c r="CH566" i="4"/>
  <c r="CH567" i="4"/>
  <c r="CH568" i="4"/>
  <c r="CH569" i="4"/>
  <c r="CH570" i="4"/>
  <c r="CG570" i="4" s="1"/>
  <c r="CH571" i="4"/>
  <c r="CG571" i="4" s="1"/>
  <c r="CH572" i="4"/>
  <c r="CG572" i="4" s="1"/>
  <c r="CH573" i="4"/>
  <c r="CG573" i="4" s="1"/>
  <c r="CH574" i="4"/>
  <c r="CG574" i="4" s="1"/>
  <c r="CH575" i="4"/>
  <c r="CH576" i="4"/>
  <c r="CH577" i="4"/>
  <c r="CH578" i="4"/>
  <c r="CH579" i="4"/>
  <c r="CH580" i="4"/>
  <c r="CH581" i="4"/>
  <c r="CH582" i="4"/>
  <c r="CH583" i="4"/>
  <c r="CH584" i="4"/>
  <c r="CH585" i="4"/>
  <c r="CH586" i="4"/>
  <c r="CH587" i="4"/>
  <c r="CH588" i="4"/>
  <c r="CH589" i="4"/>
  <c r="CH590" i="4"/>
  <c r="CG590" i="4" s="1"/>
  <c r="CH591" i="4"/>
  <c r="CG591" i="4" s="1"/>
  <c r="CH592" i="4"/>
  <c r="CG592" i="4" s="1"/>
  <c r="CH593" i="4"/>
  <c r="CG593" i="4" s="1"/>
  <c r="CH594" i="4"/>
  <c r="CG594" i="4" s="1"/>
  <c r="CH595" i="4"/>
  <c r="CH596" i="4"/>
  <c r="CH597" i="4"/>
  <c r="CH598" i="4"/>
  <c r="CH599" i="4"/>
  <c r="CH600" i="4"/>
  <c r="CH601" i="4"/>
  <c r="CH602" i="4"/>
  <c r="CH603" i="4"/>
  <c r="CH604" i="4"/>
  <c r="CH605" i="4"/>
  <c r="CH606" i="4"/>
  <c r="CH607" i="4"/>
  <c r="CH608" i="4"/>
  <c r="CH609" i="4"/>
  <c r="CH610" i="4"/>
  <c r="CG610" i="4" s="1"/>
  <c r="CH611" i="4"/>
  <c r="CG611" i="4" s="1"/>
  <c r="CH612" i="4"/>
  <c r="CG612" i="4" s="1"/>
  <c r="CH613" i="4"/>
  <c r="CG613" i="4" s="1"/>
  <c r="CH614" i="4"/>
  <c r="CG614" i="4" s="1"/>
  <c r="CH615" i="4"/>
  <c r="CH616" i="4"/>
  <c r="CH617" i="4"/>
  <c r="CH618" i="4"/>
  <c r="CH619" i="4"/>
  <c r="CG275" i="4"/>
  <c r="CG276" i="4"/>
  <c r="CG277" i="4"/>
  <c r="CG278" i="4"/>
  <c r="CG279" i="4"/>
  <c r="CG280" i="4"/>
  <c r="CG281" i="4"/>
  <c r="CG282" i="4"/>
  <c r="CG283" i="4"/>
  <c r="CG284" i="4"/>
  <c r="CG285" i="4"/>
  <c r="CG286" i="4"/>
  <c r="CG287" i="4"/>
  <c r="CG288" i="4"/>
  <c r="CG289" i="4"/>
  <c r="CG295" i="4"/>
  <c r="CG296" i="4"/>
  <c r="CG297" i="4"/>
  <c r="CG298" i="4"/>
  <c r="CG299" i="4"/>
  <c r="CG300" i="4"/>
  <c r="CG301" i="4"/>
  <c r="CG302" i="4"/>
  <c r="CG303" i="4"/>
  <c r="CG304" i="4"/>
  <c r="CG305" i="4"/>
  <c r="CG306" i="4"/>
  <c r="CG307" i="4"/>
  <c r="CG308" i="4"/>
  <c r="CG309" i="4"/>
  <c r="CG315" i="4"/>
  <c r="CG316" i="4"/>
  <c r="CG317" i="4"/>
  <c r="CG318" i="4"/>
  <c r="CG319" i="4"/>
  <c r="CG320" i="4"/>
  <c r="CG321" i="4"/>
  <c r="CG322" i="4"/>
  <c r="CG323" i="4"/>
  <c r="CG324" i="4"/>
  <c r="CG325" i="4"/>
  <c r="CG326" i="4"/>
  <c r="CG327" i="4"/>
  <c r="CG328" i="4"/>
  <c r="CG329" i="4"/>
  <c r="CG335" i="4"/>
  <c r="CG336" i="4"/>
  <c r="CG337" i="4"/>
  <c r="CG338" i="4"/>
  <c r="CG339" i="4"/>
  <c r="CG340" i="4"/>
  <c r="CG341" i="4"/>
  <c r="CG342" i="4"/>
  <c r="CG343" i="4"/>
  <c r="CG344" i="4"/>
  <c r="CG345" i="4"/>
  <c r="CG346" i="4"/>
  <c r="CG347" i="4"/>
  <c r="CG348" i="4"/>
  <c r="CG349" i="4"/>
  <c r="CG355" i="4"/>
  <c r="CG356" i="4"/>
  <c r="CG357" i="4"/>
  <c r="CG358" i="4"/>
  <c r="CG359" i="4"/>
  <c r="CG360" i="4"/>
  <c r="CG361" i="4"/>
  <c r="CG362" i="4"/>
  <c r="CG363" i="4"/>
  <c r="CG364" i="4"/>
  <c r="CG365" i="4"/>
  <c r="CG366" i="4"/>
  <c r="CG367" i="4"/>
  <c r="CG368" i="4"/>
  <c r="CG369" i="4"/>
  <c r="CG375" i="4"/>
  <c r="CG376" i="4"/>
  <c r="CG377" i="4"/>
  <c r="CG378" i="4"/>
  <c r="CG379" i="4"/>
  <c r="CG380" i="4"/>
  <c r="CG381" i="4"/>
  <c r="CG382" i="4"/>
  <c r="CG383" i="4"/>
  <c r="CG384" i="4"/>
  <c r="CG385" i="4"/>
  <c r="CG386" i="4"/>
  <c r="CG387" i="4"/>
  <c r="CG388" i="4"/>
  <c r="CG389" i="4"/>
  <c r="CG395" i="4"/>
  <c r="CG396" i="4"/>
  <c r="CG397" i="4"/>
  <c r="CG398" i="4"/>
  <c r="CG399" i="4"/>
  <c r="CG400" i="4"/>
  <c r="CG401" i="4"/>
  <c r="CG402" i="4"/>
  <c r="CG403" i="4"/>
  <c r="CG404" i="4"/>
  <c r="CG405" i="4"/>
  <c r="CG406" i="4"/>
  <c r="CG407" i="4"/>
  <c r="CG408" i="4"/>
  <c r="CG409" i="4"/>
  <c r="CG415" i="4"/>
  <c r="CG416" i="4"/>
  <c r="CG417" i="4"/>
  <c r="CG418" i="4"/>
  <c r="CG419" i="4"/>
  <c r="CG420" i="4"/>
  <c r="CG421" i="4"/>
  <c r="CG422" i="4"/>
  <c r="CG423" i="4"/>
  <c r="CG424" i="4"/>
  <c r="CG425" i="4"/>
  <c r="CG426" i="4"/>
  <c r="CG427" i="4"/>
  <c r="CG428" i="4"/>
  <c r="CG429" i="4"/>
  <c r="CG435" i="4"/>
  <c r="CG436" i="4"/>
  <c r="CG437" i="4"/>
  <c r="CG438" i="4"/>
  <c r="CG439" i="4"/>
  <c r="CG440" i="4"/>
  <c r="CG441" i="4"/>
  <c r="CG442" i="4"/>
  <c r="CG443" i="4"/>
  <c r="CG444" i="4"/>
  <c r="CG445" i="4"/>
  <c r="CG446" i="4"/>
  <c r="CG447" i="4"/>
  <c r="CG448" i="4"/>
  <c r="CG449" i="4"/>
  <c r="CG455" i="4"/>
  <c r="CG456" i="4"/>
  <c r="CG457" i="4"/>
  <c r="CG458" i="4"/>
  <c r="CG459" i="4"/>
  <c r="CG460" i="4"/>
  <c r="CG461" i="4"/>
  <c r="CG462" i="4"/>
  <c r="CG463" i="4"/>
  <c r="CG464" i="4"/>
  <c r="CG465" i="4"/>
  <c r="CG466" i="4"/>
  <c r="CG467" i="4"/>
  <c r="CG468" i="4"/>
  <c r="CG469" i="4"/>
  <c r="CG475" i="4"/>
  <c r="CG476" i="4"/>
  <c r="CG477" i="4"/>
  <c r="CG478" i="4"/>
  <c r="CG479" i="4"/>
  <c r="CG480" i="4"/>
  <c r="CG481" i="4"/>
  <c r="CG482" i="4"/>
  <c r="CG483" i="4"/>
  <c r="CG484" i="4"/>
  <c r="CG485" i="4"/>
  <c r="CG486" i="4"/>
  <c r="CG487" i="4"/>
  <c r="CG488" i="4"/>
  <c r="CG489" i="4"/>
  <c r="CG495" i="4"/>
  <c r="CG496" i="4"/>
  <c r="CG497" i="4"/>
  <c r="CG498" i="4"/>
  <c r="CG499" i="4"/>
  <c r="CG500" i="4"/>
  <c r="CG501" i="4"/>
  <c r="CG502" i="4"/>
  <c r="CG503" i="4"/>
  <c r="CG504" i="4"/>
  <c r="CG505" i="4"/>
  <c r="CG506" i="4"/>
  <c r="CG507" i="4"/>
  <c r="CG508" i="4"/>
  <c r="CG509" i="4"/>
  <c r="CG515" i="4"/>
  <c r="CG516" i="4"/>
  <c r="CG517" i="4"/>
  <c r="CG518" i="4"/>
  <c r="CG519" i="4"/>
  <c r="CG520" i="4"/>
  <c r="CG521" i="4"/>
  <c r="CG522" i="4"/>
  <c r="CG523" i="4"/>
  <c r="CG524" i="4"/>
  <c r="CG525" i="4"/>
  <c r="CG526" i="4"/>
  <c r="CG527" i="4"/>
  <c r="CG528" i="4"/>
  <c r="CG529" i="4"/>
  <c r="CG535" i="4"/>
  <c r="CG536" i="4"/>
  <c r="CG537" i="4"/>
  <c r="CG538" i="4"/>
  <c r="CG539" i="4"/>
  <c r="CG540" i="4"/>
  <c r="CG541" i="4"/>
  <c r="CG542" i="4"/>
  <c r="CG543" i="4"/>
  <c r="CG544" i="4"/>
  <c r="CG545" i="4"/>
  <c r="CG546" i="4"/>
  <c r="CG547" i="4"/>
  <c r="CG548" i="4"/>
  <c r="CG549" i="4"/>
  <c r="CG555" i="4"/>
  <c r="CG556" i="4"/>
  <c r="CG557" i="4"/>
  <c r="CG558" i="4"/>
  <c r="CG559" i="4"/>
  <c r="CG560" i="4"/>
  <c r="CG561" i="4"/>
  <c r="CG562" i="4"/>
  <c r="CG563" i="4"/>
  <c r="CG564" i="4"/>
  <c r="CG565" i="4"/>
  <c r="CG566" i="4"/>
  <c r="CG567" i="4"/>
  <c r="CG568" i="4"/>
  <c r="CG569" i="4"/>
  <c r="CG575" i="4"/>
  <c r="CG576" i="4"/>
  <c r="CG577" i="4"/>
  <c r="CG578" i="4"/>
  <c r="CG579" i="4"/>
  <c r="CG580" i="4"/>
  <c r="CG581" i="4"/>
  <c r="CG582" i="4"/>
  <c r="CG583" i="4"/>
  <c r="CG584" i="4"/>
  <c r="CG585" i="4"/>
  <c r="CG586" i="4"/>
  <c r="CG587" i="4"/>
  <c r="CG588" i="4"/>
  <c r="CG589" i="4"/>
  <c r="CG595" i="4"/>
  <c r="CG596" i="4"/>
  <c r="CG597" i="4"/>
  <c r="CG598" i="4"/>
  <c r="CG599" i="4"/>
  <c r="CG600" i="4"/>
  <c r="CG601" i="4"/>
  <c r="CG602" i="4"/>
  <c r="CG603" i="4"/>
  <c r="CG604" i="4"/>
  <c r="CG605" i="4"/>
  <c r="CG606" i="4"/>
  <c r="CG607" i="4"/>
  <c r="CG608" i="4"/>
  <c r="CG609" i="4"/>
  <c r="CG615" i="4"/>
  <c r="CG616" i="4"/>
  <c r="CG617" i="4"/>
  <c r="CG618" i="4"/>
  <c r="CG619" i="4"/>
  <c r="CF275" i="4"/>
  <c r="CF276" i="4"/>
  <c r="CF277" i="4"/>
  <c r="CF278" i="4"/>
  <c r="CF279" i="4"/>
  <c r="CF280" i="4"/>
  <c r="CF281" i="4"/>
  <c r="CF282" i="4"/>
  <c r="CF283" i="4"/>
  <c r="CF284" i="4"/>
  <c r="CF285" i="4"/>
  <c r="CF286" i="4"/>
  <c r="CF287" i="4"/>
  <c r="CF288" i="4"/>
  <c r="CF289" i="4"/>
  <c r="CF290" i="4"/>
  <c r="CE290" i="4" s="1"/>
  <c r="CF291" i="4"/>
  <c r="CE291" i="4" s="1"/>
  <c r="CF292" i="4"/>
  <c r="CE292" i="4" s="1"/>
  <c r="CF293" i="4"/>
  <c r="CE293" i="4" s="1"/>
  <c r="CF294" i="4"/>
  <c r="CE294" i="4" s="1"/>
  <c r="CF295" i="4"/>
  <c r="CF296" i="4"/>
  <c r="CF297" i="4"/>
  <c r="CF298" i="4"/>
  <c r="CF299" i="4"/>
  <c r="CF300" i="4"/>
  <c r="CF301" i="4"/>
  <c r="CF302" i="4"/>
  <c r="CF303" i="4"/>
  <c r="CF304" i="4"/>
  <c r="CF305" i="4"/>
  <c r="CF306" i="4"/>
  <c r="CF307" i="4"/>
  <c r="CF308" i="4"/>
  <c r="CF309" i="4"/>
  <c r="CF310" i="4"/>
  <c r="CE310" i="4" s="1"/>
  <c r="CF311" i="4"/>
  <c r="CE311" i="4" s="1"/>
  <c r="CF312" i="4"/>
  <c r="CE312" i="4" s="1"/>
  <c r="CF313" i="4"/>
  <c r="CE313" i="4" s="1"/>
  <c r="CF314" i="4"/>
  <c r="CE314" i="4" s="1"/>
  <c r="CF315" i="4"/>
  <c r="CF316" i="4"/>
  <c r="CF317" i="4"/>
  <c r="CF318" i="4"/>
  <c r="CF319" i="4"/>
  <c r="CF320" i="4"/>
  <c r="CF321" i="4"/>
  <c r="CF322" i="4"/>
  <c r="CF323" i="4"/>
  <c r="CF324" i="4"/>
  <c r="CF325" i="4"/>
  <c r="CF326" i="4"/>
  <c r="CF327" i="4"/>
  <c r="CF328" i="4"/>
  <c r="CF329" i="4"/>
  <c r="CF330" i="4"/>
  <c r="CE330" i="4" s="1"/>
  <c r="CF331" i="4"/>
  <c r="CE331" i="4" s="1"/>
  <c r="CF332" i="4"/>
  <c r="CE332" i="4" s="1"/>
  <c r="CF333" i="4"/>
  <c r="CE333" i="4" s="1"/>
  <c r="CF334" i="4"/>
  <c r="CE334" i="4" s="1"/>
  <c r="CF335" i="4"/>
  <c r="CF336" i="4"/>
  <c r="CF337" i="4"/>
  <c r="CF338" i="4"/>
  <c r="CF339" i="4"/>
  <c r="CF340" i="4"/>
  <c r="CF341" i="4"/>
  <c r="CF342" i="4"/>
  <c r="CF343" i="4"/>
  <c r="CF344" i="4"/>
  <c r="CF345" i="4"/>
  <c r="CF346" i="4"/>
  <c r="CF347" i="4"/>
  <c r="CF348" i="4"/>
  <c r="CF349" i="4"/>
  <c r="CF350" i="4"/>
  <c r="CE350" i="4" s="1"/>
  <c r="CF351" i="4"/>
  <c r="CE351" i="4" s="1"/>
  <c r="CF352" i="4"/>
  <c r="CE352" i="4" s="1"/>
  <c r="CF353" i="4"/>
  <c r="CE353" i="4" s="1"/>
  <c r="CF354" i="4"/>
  <c r="CE354" i="4" s="1"/>
  <c r="CF355" i="4"/>
  <c r="CF356" i="4"/>
  <c r="CF357" i="4"/>
  <c r="CF358" i="4"/>
  <c r="CF359" i="4"/>
  <c r="CF360" i="4"/>
  <c r="CF361" i="4"/>
  <c r="CF362" i="4"/>
  <c r="CF363" i="4"/>
  <c r="CF364" i="4"/>
  <c r="CF365" i="4"/>
  <c r="CF366" i="4"/>
  <c r="CF367" i="4"/>
  <c r="CF368" i="4"/>
  <c r="CF369" i="4"/>
  <c r="CF370" i="4"/>
  <c r="CE370" i="4" s="1"/>
  <c r="CF371" i="4"/>
  <c r="CE371" i="4" s="1"/>
  <c r="CF372" i="4"/>
  <c r="CE372" i="4" s="1"/>
  <c r="CF373" i="4"/>
  <c r="CE373" i="4" s="1"/>
  <c r="CF374" i="4"/>
  <c r="CE374" i="4" s="1"/>
  <c r="CF375" i="4"/>
  <c r="CF376" i="4"/>
  <c r="CF377" i="4"/>
  <c r="CF378" i="4"/>
  <c r="CF379" i="4"/>
  <c r="CF380" i="4"/>
  <c r="CF381" i="4"/>
  <c r="CF382" i="4"/>
  <c r="CF383" i="4"/>
  <c r="CF384" i="4"/>
  <c r="CF385" i="4"/>
  <c r="CF386" i="4"/>
  <c r="CF387" i="4"/>
  <c r="CF388" i="4"/>
  <c r="CF389" i="4"/>
  <c r="CF390" i="4"/>
  <c r="CE390" i="4" s="1"/>
  <c r="CF391" i="4"/>
  <c r="CE391" i="4" s="1"/>
  <c r="CF392" i="4"/>
  <c r="CE392" i="4" s="1"/>
  <c r="CF393" i="4"/>
  <c r="CE393" i="4" s="1"/>
  <c r="CF394" i="4"/>
  <c r="CE394" i="4" s="1"/>
  <c r="CF395" i="4"/>
  <c r="CF396" i="4"/>
  <c r="CF397" i="4"/>
  <c r="CF398" i="4"/>
  <c r="CF399" i="4"/>
  <c r="CF400" i="4"/>
  <c r="CF401" i="4"/>
  <c r="CF402" i="4"/>
  <c r="CF403" i="4"/>
  <c r="CF404" i="4"/>
  <c r="CF405" i="4"/>
  <c r="CF406" i="4"/>
  <c r="CF407" i="4"/>
  <c r="CF408" i="4"/>
  <c r="CF409" i="4"/>
  <c r="CF410" i="4"/>
  <c r="CE410" i="4" s="1"/>
  <c r="CF411" i="4"/>
  <c r="CE411" i="4" s="1"/>
  <c r="CF412" i="4"/>
  <c r="CE412" i="4" s="1"/>
  <c r="CF413" i="4"/>
  <c r="CE413" i="4" s="1"/>
  <c r="CF414" i="4"/>
  <c r="CE414" i="4" s="1"/>
  <c r="CF415" i="4"/>
  <c r="CF416" i="4"/>
  <c r="CF417" i="4"/>
  <c r="CF418" i="4"/>
  <c r="CF419" i="4"/>
  <c r="CF420" i="4"/>
  <c r="CF421" i="4"/>
  <c r="CF422" i="4"/>
  <c r="CF423" i="4"/>
  <c r="CF424" i="4"/>
  <c r="CF425" i="4"/>
  <c r="CF426" i="4"/>
  <c r="CF427" i="4"/>
  <c r="CF428" i="4"/>
  <c r="CF429" i="4"/>
  <c r="CF430" i="4"/>
  <c r="CE430" i="4" s="1"/>
  <c r="CF431" i="4"/>
  <c r="CE431" i="4" s="1"/>
  <c r="CF432" i="4"/>
  <c r="CE432" i="4" s="1"/>
  <c r="CF433" i="4"/>
  <c r="CE433" i="4" s="1"/>
  <c r="CF434" i="4"/>
  <c r="CE434" i="4" s="1"/>
  <c r="CF435" i="4"/>
  <c r="CF436" i="4"/>
  <c r="CF437" i="4"/>
  <c r="CF438" i="4"/>
  <c r="CF439" i="4"/>
  <c r="CF440" i="4"/>
  <c r="CF441" i="4"/>
  <c r="CF442" i="4"/>
  <c r="CF443" i="4"/>
  <c r="CF444" i="4"/>
  <c r="CF445" i="4"/>
  <c r="CF446" i="4"/>
  <c r="CF447" i="4"/>
  <c r="CF448" i="4"/>
  <c r="CF449" i="4"/>
  <c r="CF450" i="4"/>
  <c r="CE450" i="4" s="1"/>
  <c r="CF451" i="4"/>
  <c r="CE451" i="4" s="1"/>
  <c r="CF452" i="4"/>
  <c r="CE452" i="4" s="1"/>
  <c r="CF453" i="4"/>
  <c r="CE453" i="4" s="1"/>
  <c r="CF454" i="4"/>
  <c r="CE454" i="4" s="1"/>
  <c r="CF455" i="4"/>
  <c r="CF456" i="4"/>
  <c r="CF457" i="4"/>
  <c r="CF458" i="4"/>
  <c r="CF459" i="4"/>
  <c r="CF460" i="4"/>
  <c r="CF461" i="4"/>
  <c r="CF462" i="4"/>
  <c r="CF463" i="4"/>
  <c r="CF464" i="4"/>
  <c r="CF465" i="4"/>
  <c r="CF466" i="4"/>
  <c r="CF467" i="4"/>
  <c r="CF468" i="4"/>
  <c r="CF469" i="4"/>
  <c r="CF470" i="4"/>
  <c r="CE470" i="4" s="1"/>
  <c r="CF471" i="4"/>
  <c r="CE471" i="4" s="1"/>
  <c r="CF472" i="4"/>
  <c r="CE472" i="4" s="1"/>
  <c r="CF473" i="4"/>
  <c r="CE473" i="4" s="1"/>
  <c r="CF474" i="4"/>
  <c r="CE474" i="4" s="1"/>
  <c r="CF475" i="4"/>
  <c r="CF476" i="4"/>
  <c r="CF477" i="4"/>
  <c r="CF478" i="4"/>
  <c r="CF479" i="4"/>
  <c r="CF480" i="4"/>
  <c r="CF481" i="4"/>
  <c r="CF482" i="4"/>
  <c r="CF483" i="4"/>
  <c r="CF484" i="4"/>
  <c r="CF485" i="4"/>
  <c r="CF486" i="4"/>
  <c r="CF487" i="4"/>
  <c r="CF488" i="4"/>
  <c r="CF489" i="4"/>
  <c r="CF490" i="4"/>
  <c r="CE490" i="4" s="1"/>
  <c r="CF491" i="4"/>
  <c r="CE491" i="4" s="1"/>
  <c r="CF492" i="4"/>
  <c r="CE492" i="4" s="1"/>
  <c r="CF493" i="4"/>
  <c r="CE493" i="4" s="1"/>
  <c r="CF494" i="4"/>
  <c r="CE494" i="4" s="1"/>
  <c r="CF495" i="4"/>
  <c r="CF496" i="4"/>
  <c r="CF497" i="4"/>
  <c r="CF498" i="4"/>
  <c r="CF499" i="4"/>
  <c r="CF500" i="4"/>
  <c r="CF501" i="4"/>
  <c r="CF502" i="4"/>
  <c r="CF503" i="4"/>
  <c r="CF504" i="4"/>
  <c r="CF505" i="4"/>
  <c r="CF506" i="4"/>
  <c r="CF507" i="4"/>
  <c r="CF508" i="4"/>
  <c r="CF509" i="4"/>
  <c r="CF510" i="4"/>
  <c r="CE510" i="4" s="1"/>
  <c r="CF511" i="4"/>
  <c r="CE511" i="4" s="1"/>
  <c r="CF512" i="4"/>
  <c r="CE512" i="4" s="1"/>
  <c r="CF513" i="4"/>
  <c r="CE513" i="4" s="1"/>
  <c r="CF514" i="4"/>
  <c r="CE514" i="4" s="1"/>
  <c r="CF515" i="4"/>
  <c r="CF516" i="4"/>
  <c r="CF517" i="4"/>
  <c r="CF518" i="4"/>
  <c r="CF519" i="4"/>
  <c r="CF520" i="4"/>
  <c r="CF521" i="4"/>
  <c r="CF522" i="4"/>
  <c r="CF523" i="4"/>
  <c r="CF524" i="4"/>
  <c r="CF525" i="4"/>
  <c r="CF526" i="4"/>
  <c r="CF527" i="4"/>
  <c r="CF528" i="4"/>
  <c r="CF529" i="4"/>
  <c r="CF530" i="4"/>
  <c r="CE530" i="4" s="1"/>
  <c r="CF531" i="4"/>
  <c r="CE531" i="4" s="1"/>
  <c r="CF532" i="4"/>
  <c r="CE532" i="4" s="1"/>
  <c r="CF533" i="4"/>
  <c r="CE533" i="4" s="1"/>
  <c r="CF534" i="4"/>
  <c r="CE534" i="4" s="1"/>
  <c r="CF535" i="4"/>
  <c r="CF536" i="4"/>
  <c r="CF537" i="4"/>
  <c r="CF538" i="4"/>
  <c r="CF539" i="4"/>
  <c r="CF540" i="4"/>
  <c r="CF541" i="4"/>
  <c r="CF542" i="4"/>
  <c r="CF543" i="4"/>
  <c r="CF544" i="4"/>
  <c r="CF545" i="4"/>
  <c r="CF546" i="4"/>
  <c r="CF547" i="4"/>
  <c r="CF548" i="4"/>
  <c r="CF549" i="4"/>
  <c r="CF550" i="4"/>
  <c r="CE550" i="4" s="1"/>
  <c r="CF551" i="4"/>
  <c r="CE551" i="4" s="1"/>
  <c r="CF552" i="4"/>
  <c r="CE552" i="4" s="1"/>
  <c r="CF553" i="4"/>
  <c r="CE553" i="4" s="1"/>
  <c r="CF554" i="4"/>
  <c r="CE554" i="4" s="1"/>
  <c r="CF555" i="4"/>
  <c r="CF556" i="4"/>
  <c r="CF557" i="4"/>
  <c r="CF558" i="4"/>
  <c r="CF559" i="4"/>
  <c r="CF560" i="4"/>
  <c r="CF561" i="4"/>
  <c r="CF562" i="4"/>
  <c r="CF563" i="4"/>
  <c r="CF564" i="4"/>
  <c r="CF565" i="4"/>
  <c r="CF566" i="4"/>
  <c r="CF567" i="4"/>
  <c r="CF568" i="4"/>
  <c r="CF569" i="4"/>
  <c r="CF570" i="4"/>
  <c r="CE570" i="4" s="1"/>
  <c r="CF571" i="4"/>
  <c r="CE571" i="4" s="1"/>
  <c r="CF572" i="4"/>
  <c r="CE572" i="4" s="1"/>
  <c r="CF573" i="4"/>
  <c r="CE573" i="4" s="1"/>
  <c r="CF574" i="4"/>
  <c r="CE574" i="4" s="1"/>
  <c r="CF575" i="4"/>
  <c r="CF576" i="4"/>
  <c r="CF577" i="4"/>
  <c r="CF578" i="4"/>
  <c r="CF579" i="4"/>
  <c r="CF580" i="4"/>
  <c r="CF581" i="4"/>
  <c r="CF582" i="4"/>
  <c r="CF583" i="4"/>
  <c r="CF584" i="4"/>
  <c r="CF585" i="4"/>
  <c r="CF586" i="4"/>
  <c r="CF587" i="4"/>
  <c r="CF588" i="4"/>
  <c r="CF589" i="4"/>
  <c r="CF590" i="4"/>
  <c r="CE590" i="4" s="1"/>
  <c r="CF591" i="4"/>
  <c r="CE591" i="4" s="1"/>
  <c r="CF592" i="4"/>
  <c r="CE592" i="4" s="1"/>
  <c r="CF593" i="4"/>
  <c r="CE593" i="4" s="1"/>
  <c r="CF594" i="4"/>
  <c r="CE594" i="4" s="1"/>
  <c r="CF595" i="4"/>
  <c r="CF596" i="4"/>
  <c r="CF597" i="4"/>
  <c r="CF598" i="4"/>
  <c r="CF599" i="4"/>
  <c r="CF600" i="4"/>
  <c r="CF601" i="4"/>
  <c r="CF602" i="4"/>
  <c r="CF603" i="4"/>
  <c r="CF604" i="4"/>
  <c r="CF605" i="4"/>
  <c r="CF606" i="4"/>
  <c r="CF607" i="4"/>
  <c r="CF608" i="4"/>
  <c r="CF609" i="4"/>
  <c r="CF610" i="4"/>
  <c r="CE610" i="4" s="1"/>
  <c r="CF611" i="4"/>
  <c r="CE611" i="4" s="1"/>
  <c r="CF612" i="4"/>
  <c r="CE612" i="4" s="1"/>
  <c r="CF613" i="4"/>
  <c r="CE613" i="4" s="1"/>
  <c r="CF614" i="4"/>
  <c r="CE614" i="4" s="1"/>
  <c r="CF615" i="4"/>
  <c r="CF616" i="4"/>
  <c r="CF617" i="4"/>
  <c r="CF618" i="4"/>
  <c r="CF619" i="4"/>
  <c r="CE275" i="4"/>
  <c r="CE276" i="4"/>
  <c r="CE277" i="4"/>
  <c r="CE278" i="4"/>
  <c r="CE279" i="4"/>
  <c r="CE280" i="4"/>
  <c r="CE281" i="4"/>
  <c r="CE282" i="4"/>
  <c r="CE283" i="4"/>
  <c r="CE284" i="4"/>
  <c r="CE285" i="4"/>
  <c r="CE286" i="4"/>
  <c r="CE287" i="4"/>
  <c r="CE288" i="4"/>
  <c r="CE289" i="4"/>
  <c r="CE295" i="4"/>
  <c r="CE296" i="4"/>
  <c r="CE297" i="4"/>
  <c r="CE298" i="4"/>
  <c r="CE299" i="4"/>
  <c r="CE300" i="4"/>
  <c r="CE301" i="4"/>
  <c r="CE302" i="4"/>
  <c r="CE303" i="4"/>
  <c r="CE304" i="4"/>
  <c r="CE305" i="4"/>
  <c r="CE306" i="4"/>
  <c r="CE307" i="4"/>
  <c r="CE308" i="4"/>
  <c r="CE309" i="4"/>
  <c r="CE315" i="4"/>
  <c r="CE316" i="4"/>
  <c r="CE317" i="4"/>
  <c r="CE318" i="4"/>
  <c r="CE319" i="4"/>
  <c r="CE320" i="4"/>
  <c r="CE321" i="4"/>
  <c r="CE322" i="4"/>
  <c r="CE323" i="4"/>
  <c r="CE324" i="4"/>
  <c r="CE325" i="4"/>
  <c r="CE326" i="4"/>
  <c r="CE327" i="4"/>
  <c r="CE328" i="4"/>
  <c r="CE329" i="4"/>
  <c r="CE335" i="4"/>
  <c r="CE336" i="4"/>
  <c r="CE337" i="4"/>
  <c r="CE338" i="4"/>
  <c r="CE339" i="4"/>
  <c r="CE340" i="4"/>
  <c r="CE341" i="4"/>
  <c r="CE342" i="4"/>
  <c r="CE343" i="4"/>
  <c r="CE344" i="4"/>
  <c r="CE345" i="4"/>
  <c r="CE346" i="4"/>
  <c r="CE347" i="4"/>
  <c r="CE348" i="4"/>
  <c r="CE349" i="4"/>
  <c r="CE355" i="4"/>
  <c r="CE356" i="4"/>
  <c r="CE357" i="4"/>
  <c r="CE358" i="4"/>
  <c r="CE359" i="4"/>
  <c r="CE360" i="4"/>
  <c r="CE361" i="4"/>
  <c r="CE362" i="4"/>
  <c r="CE363" i="4"/>
  <c r="CE364" i="4"/>
  <c r="CE365" i="4"/>
  <c r="CE366" i="4"/>
  <c r="CE367" i="4"/>
  <c r="CE368" i="4"/>
  <c r="CE369" i="4"/>
  <c r="CE375" i="4"/>
  <c r="CE376" i="4"/>
  <c r="CE377" i="4"/>
  <c r="CE378" i="4"/>
  <c r="CE379" i="4"/>
  <c r="CE380" i="4"/>
  <c r="CE381" i="4"/>
  <c r="CE382" i="4"/>
  <c r="CE383" i="4"/>
  <c r="CE384" i="4"/>
  <c r="CE385" i="4"/>
  <c r="CE386" i="4"/>
  <c r="CE387" i="4"/>
  <c r="CE388" i="4"/>
  <c r="CE389" i="4"/>
  <c r="CE395" i="4"/>
  <c r="CE396" i="4"/>
  <c r="CE397" i="4"/>
  <c r="CE398" i="4"/>
  <c r="CE399" i="4"/>
  <c r="CE400" i="4"/>
  <c r="CE401" i="4"/>
  <c r="CE402" i="4"/>
  <c r="CE403" i="4"/>
  <c r="CE404" i="4"/>
  <c r="CE405" i="4"/>
  <c r="CE406" i="4"/>
  <c r="CE407" i="4"/>
  <c r="CE408" i="4"/>
  <c r="CE409" i="4"/>
  <c r="CE415" i="4"/>
  <c r="CE416" i="4"/>
  <c r="CE417" i="4"/>
  <c r="CE418" i="4"/>
  <c r="CE419" i="4"/>
  <c r="CE420" i="4"/>
  <c r="CE421" i="4"/>
  <c r="CE422" i="4"/>
  <c r="CE423" i="4"/>
  <c r="CE424" i="4"/>
  <c r="CE425" i="4"/>
  <c r="CE426" i="4"/>
  <c r="CE427" i="4"/>
  <c r="CE428" i="4"/>
  <c r="CE429" i="4"/>
  <c r="CE435" i="4"/>
  <c r="CE436" i="4"/>
  <c r="CE437" i="4"/>
  <c r="CE438" i="4"/>
  <c r="CE439" i="4"/>
  <c r="CE440" i="4"/>
  <c r="CE441" i="4"/>
  <c r="CE442" i="4"/>
  <c r="CE443" i="4"/>
  <c r="CE444" i="4"/>
  <c r="CE445" i="4"/>
  <c r="CE446" i="4"/>
  <c r="CE447" i="4"/>
  <c r="CE448" i="4"/>
  <c r="CE449" i="4"/>
  <c r="CE455" i="4"/>
  <c r="CE456" i="4"/>
  <c r="CE457" i="4"/>
  <c r="CE458" i="4"/>
  <c r="CE459" i="4"/>
  <c r="CE460" i="4"/>
  <c r="CE461" i="4"/>
  <c r="CE462" i="4"/>
  <c r="CE463" i="4"/>
  <c r="CE464" i="4"/>
  <c r="CE465" i="4"/>
  <c r="CE466" i="4"/>
  <c r="CE467" i="4"/>
  <c r="CE468" i="4"/>
  <c r="CE469" i="4"/>
  <c r="CE475" i="4"/>
  <c r="CE476" i="4"/>
  <c r="CE477" i="4"/>
  <c r="CE478" i="4"/>
  <c r="CE479" i="4"/>
  <c r="CE480" i="4"/>
  <c r="CE481" i="4"/>
  <c r="CE482" i="4"/>
  <c r="CE483" i="4"/>
  <c r="CE484" i="4"/>
  <c r="CE485" i="4"/>
  <c r="CE486" i="4"/>
  <c r="CE487" i="4"/>
  <c r="CE488" i="4"/>
  <c r="CE489" i="4"/>
  <c r="CE495" i="4"/>
  <c r="CE496" i="4"/>
  <c r="CE497" i="4"/>
  <c r="CE498" i="4"/>
  <c r="CE499" i="4"/>
  <c r="CE500" i="4"/>
  <c r="CE501" i="4"/>
  <c r="CE502" i="4"/>
  <c r="CE503" i="4"/>
  <c r="CE504" i="4"/>
  <c r="CE505" i="4"/>
  <c r="CE506" i="4"/>
  <c r="CE507" i="4"/>
  <c r="CE508" i="4"/>
  <c r="CE509" i="4"/>
  <c r="CE515" i="4"/>
  <c r="CE516" i="4"/>
  <c r="CE517" i="4"/>
  <c r="CE518" i="4"/>
  <c r="CE519" i="4"/>
  <c r="CE520" i="4"/>
  <c r="CE521" i="4"/>
  <c r="CE522" i="4"/>
  <c r="CE523" i="4"/>
  <c r="CE524" i="4"/>
  <c r="CE525" i="4"/>
  <c r="CE526" i="4"/>
  <c r="CE527" i="4"/>
  <c r="CE528" i="4"/>
  <c r="CE529" i="4"/>
  <c r="CE535" i="4"/>
  <c r="CE536" i="4"/>
  <c r="CE537" i="4"/>
  <c r="CE538" i="4"/>
  <c r="CE539" i="4"/>
  <c r="CE540" i="4"/>
  <c r="CE541" i="4"/>
  <c r="CE542" i="4"/>
  <c r="CE543" i="4"/>
  <c r="CE544" i="4"/>
  <c r="CE545" i="4"/>
  <c r="CE546" i="4"/>
  <c r="CE547" i="4"/>
  <c r="CE548" i="4"/>
  <c r="CE549" i="4"/>
  <c r="CE555" i="4"/>
  <c r="CE556" i="4"/>
  <c r="CE557" i="4"/>
  <c r="CE558" i="4"/>
  <c r="CE559" i="4"/>
  <c r="CE560" i="4"/>
  <c r="CE561" i="4"/>
  <c r="CE562" i="4"/>
  <c r="CE563" i="4"/>
  <c r="CE564" i="4"/>
  <c r="CE565" i="4"/>
  <c r="CE566" i="4"/>
  <c r="CE567" i="4"/>
  <c r="CE568" i="4"/>
  <c r="CE569" i="4"/>
  <c r="CE575" i="4"/>
  <c r="CE576" i="4"/>
  <c r="CE577" i="4"/>
  <c r="CE578" i="4"/>
  <c r="CE579" i="4"/>
  <c r="CE580" i="4"/>
  <c r="CE581" i="4"/>
  <c r="CE582" i="4"/>
  <c r="CE583" i="4"/>
  <c r="CE584" i="4"/>
  <c r="CE585" i="4"/>
  <c r="CE586" i="4"/>
  <c r="CE587" i="4"/>
  <c r="CE588" i="4"/>
  <c r="CE589" i="4"/>
  <c r="CE595" i="4"/>
  <c r="CE596" i="4"/>
  <c r="CE597" i="4"/>
  <c r="CE598" i="4"/>
  <c r="CE599" i="4"/>
  <c r="CE600" i="4"/>
  <c r="CE601" i="4"/>
  <c r="CE602" i="4"/>
  <c r="CE603" i="4"/>
  <c r="CE604" i="4"/>
  <c r="CE605" i="4"/>
  <c r="CE606" i="4"/>
  <c r="CE607" i="4"/>
  <c r="CE608" i="4"/>
  <c r="CE609" i="4"/>
  <c r="CE615" i="4"/>
  <c r="CE616" i="4"/>
  <c r="CE617" i="4"/>
  <c r="CE618" i="4"/>
  <c r="CE619" i="4"/>
  <c r="CD275" i="4"/>
  <c r="CC275" i="4" s="1"/>
  <c r="CD276" i="4"/>
  <c r="CD277" i="4"/>
  <c r="CC277" i="4" s="1"/>
  <c r="CD278" i="4"/>
  <c r="CC278" i="4" s="1"/>
  <c r="CD279" i="4"/>
  <c r="CC279" i="4" s="1"/>
  <c r="CD280" i="4"/>
  <c r="CC280" i="4" s="1"/>
  <c r="CD281" i="4"/>
  <c r="CC281" i="4" s="1"/>
  <c r="CD282" i="4"/>
  <c r="CC282" i="4" s="1"/>
  <c r="CD283" i="4"/>
  <c r="CC283" i="4" s="1"/>
  <c r="CD284" i="4"/>
  <c r="CC284" i="4" s="1"/>
  <c r="CD295" i="4"/>
  <c r="CC295" i="4" s="1"/>
  <c r="CD296" i="4"/>
  <c r="CC296" i="4" s="1"/>
  <c r="CD297" i="4"/>
  <c r="CC297" i="4" s="1"/>
  <c r="CD298" i="4"/>
  <c r="CC298" i="4" s="1"/>
  <c r="CD299" i="4"/>
  <c r="CC299" i="4" s="1"/>
  <c r="CD300" i="4"/>
  <c r="CC300" i="4" s="1"/>
  <c r="CD301" i="4"/>
  <c r="CC301" i="4" s="1"/>
  <c r="CD302" i="4"/>
  <c r="CC302" i="4" s="1"/>
  <c r="CD303" i="4"/>
  <c r="CD304" i="4"/>
  <c r="CD306" i="4"/>
  <c r="CD315" i="4"/>
  <c r="CD316" i="4"/>
  <c r="CD317" i="4"/>
  <c r="CC317" i="4" s="1"/>
  <c r="CD318" i="4"/>
  <c r="CC318" i="4" s="1"/>
  <c r="CD319" i="4"/>
  <c r="CC319" i="4" s="1"/>
  <c r="CD320" i="4"/>
  <c r="CC320" i="4" s="1"/>
  <c r="CD321" i="4"/>
  <c r="CC321" i="4" s="1"/>
  <c r="CD322" i="4"/>
  <c r="CC322" i="4" s="1"/>
  <c r="CD323" i="4"/>
  <c r="CC323" i="4" s="1"/>
  <c r="CD324" i="4"/>
  <c r="CD326" i="4"/>
  <c r="CD335" i="4"/>
  <c r="CC335" i="4" s="1"/>
  <c r="CD336" i="4"/>
  <c r="CC336" i="4" s="1"/>
  <c r="CD337" i="4"/>
  <c r="CC337" i="4" s="1"/>
  <c r="CD338" i="4"/>
  <c r="CC338" i="4" s="1"/>
  <c r="CD339" i="4"/>
  <c r="CC339" i="4" s="1"/>
  <c r="CD340" i="4"/>
  <c r="CC340" i="4" s="1"/>
  <c r="CD341" i="4"/>
  <c r="CC341" i="4" s="1"/>
  <c r="CD342" i="4"/>
  <c r="CC342" i="4" s="1"/>
  <c r="CD343" i="4"/>
  <c r="CC343" i="4" s="1"/>
  <c r="CD344" i="4"/>
  <c r="CC344" i="4" s="1"/>
  <c r="CD346" i="4"/>
  <c r="CC346" i="4" s="1"/>
  <c r="CD355" i="4"/>
  <c r="CC355" i="4" s="1"/>
  <c r="CD356" i="4"/>
  <c r="CD357" i="4"/>
  <c r="CC357" i="4" s="1"/>
  <c r="CD358" i="4"/>
  <c r="CC358" i="4" s="1"/>
  <c r="CD359" i="4"/>
  <c r="CC359" i="4" s="1"/>
  <c r="CD360" i="4"/>
  <c r="CC360" i="4" s="1"/>
  <c r="CD361" i="4"/>
  <c r="CC361" i="4" s="1"/>
  <c r="CD362" i="4"/>
  <c r="CC362" i="4" s="1"/>
  <c r="CD363" i="4"/>
  <c r="CC363" i="4" s="1"/>
  <c r="CD364" i="4"/>
  <c r="CD366" i="4"/>
  <c r="CC366" i="4" s="1"/>
  <c r="CD375" i="4"/>
  <c r="CC375" i="4" s="1"/>
  <c r="CD376" i="4"/>
  <c r="CD377" i="4"/>
  <c r="CC377" i="4" s="1"/>
  <c r="CD378" i="4"/>
  <c r="CC378" i="4" s="1"/>
  <c r="CD379" i="4"/>
  <c r="CC379" i="4" s="1"/>
  <c r="CD380" i="4"/>
  <c r="CC380" i="4" s="1"/>
  <c r="CD381" i="4"/>
  <c r="CC381" i="4" s="1"/>
  <c r="CD382" i="4"/>
  <c r="CD383" i="4"/>
  <c r="CC383" i="4" s="1"/>
  <c r="CD384" i="4"/>
  <c r="CC384" i="4" s="1"/>
  <c r="CD386" i="4"/>
  <c r="CD395" i="4"/>
  <c r="CC395" i="4" s="1"/>
  <c r="CD396" i="4"/>
  <c r="CC396" i="4" s="1"/>
  <c r="CD397" i="4"/>
  <c r="CC397" i="4" s="1"/>
  <c r="CD398" i="4"/>
  <c r="CC398" i="4" s="1"/>
  <c r="CD399" i="4"/>
  <c r="CC399" i="4" s="1"/>
  <c r="CD400" i="4"/>
  <c r="CC400" i="4" s="1"/>
  <c r="CD401" i="4"/>
  <c r="CC401" i="4" s="1"/>
  <c r="CD402" i="4"/>
  <c r="CC402" i="4" s="1"/>
  <c r="CD403" i="4"/>
  <c r="CC403" i="4" s="1"/>
  <c r="CD404" i="4"/>
  <c r="CD406" i="4"/>
  <c r="CD415" i="4"/>
  <c r="CD416" i="4"/>
  <c r="CD417" i="4"/>
  <c r="CC417" i="4" s="1"/>
  <c r="CD418" i="4"/>
  <c r="CC418" i="4" s="1"/>
  <c r="CD419" i="4"/>
  <c r="CC419" i="4" s="1"/>
  <c r="CD420" i="4"/>
  <c r="CC420" i="4" s="1"/>
  <c r="CD421" i="4"/>
  <c r="CC421" i="4" s="1"/>
  <c r="CD422" i="4"/>
  <c r="CD423" i="4"/>
  <c r="CD424" i="4"/>
  <c r="CD426" i="4"/>
  <c r="CD435" i="4"/>
  <c r="CC435" i="4" s="1"/>
  <c r="CD436" i="4"/>
  <c r="CC436" i="4" s="1"/>
  <c r="CD437" i="4"/>
  <c r="CC437" i="4" s="1"/>
  <c r="CD438" i="4"/>
  <c r="CC438" i="4" s="1"/>
  <c r="CD439" i="4"/>
  <c r="CC439" i="4" s="1"/>
  <c r="CD440" i="4"/>
  <c r="CC440" i="4" s="1"/>
  <c r="CD441" i="4"/>
  <c r="CC441" i="4" s="1"/>
  <c r="CD442" i="4"/>
  <c r="CC442" i="4" s="1"/>
  <c r="CD443" i="4"/>
  <c r="CC443" i="4" s="1"/>
  <c r="CD446" i="4"/>
  <c r="CC446" i="4" s="1"/>
  <c r="CD455" i="4"/>
  <c r="CC455" i="4" s="1"/>
  <c r="CD456" i="4"/>
  <c r="CD457" i="4"/>
  <c r="CC457" i="4" s="1"/>
  <c r="CD458" i="4"/>
  <c r="CC458" i="4" s="1"/>
  <c r="CD459" i="4"/>
  <c r="CC459" i="4" s="1"/>
  <c r="CD460" i="4"/>
  <c r="CC460" i="4" s="1"/>
  <c r="CD461" i="4"/>
  <c r="CC461" i="4" s="1"/>
  <c r="CD462" i="4"/>
  <c r="CC462" i="4" s="1"/>
  <c r="CD463" i="4"/>
  <c r="CC463" i="4" s="1"/>
  <c r="CD464" i="4"/>
  <c r="CC464" i="4" s="1"/>
  <c r="CD466" i="4"/>
  <c r="CC466" i="4" s="1"/>
  <c r="CD475" i="4"/>
  <c r="CC475" i="4" s="1"/>
  <c r="CD476" i="4"/>
  <c r="CD477" i="4"/>
  <c r="CC477" i="4" s="1"/>
  <c r="CD478" i="4"/>
  <c r="CC478" i="4" s="1"/>
  <c r="CD479" i="4"/>
  <c r="CC479" i="4" s="1"/>
  <c r="CD480" i="4"/>
  <c r="CC480" i="4" s="1"/>
  <c r="CD481" i="4"/>
  <c r="CC481" i="4" s="1"/>
  <c r="CD482" i="4"/>
  <c r="CD483" i="4"/>
  <c r="CD486" i="4"/>
  <c r="CD495" i="4"/>
  <c r="CC495" i="4" s="1"/>
  <c r="CD496" i="4"/>
  <c r="CC496" i="4" s="1"/>
  <c r="CD497" i="4"/>
  <c r="CC497" i="4" s="1"/>
  <c r="CD498" i="4"/>
  <c r="CC498" i="4" s="1"/>
  <c r="CD499" i="4"/>
  <c r="CC499" i="4" s="1"/>
  <c r="CD500" i="4"/>
  <c r="CC500" i="4" s="1"/>
  <c r="CD501" i="4"/>
  <c r="CC501" i="4" s="1"/>
  <c r="CD502" i="4"/>
  <c r="CC502" i="4" s="1"/>
  <c r="CD503" i="4"/>
  <c r="CC503" i="4" s="1"/>
  <c r="CD504" i="4"/>
  <c r="CC504" i="4" s="1"/>
  <c r="CD506" i="4"/>
  <c r="CD515" i="4"/>
  <c r="CD516" i="4"/>
  <c r="CD517" i="4"/>
  <c r="CC517" i="4" s="1"/>
  <c r="CD518" i="4"/>
  <c r="CC518" i="4" s="1"/>
  <c r="CD519" i="4"/>
  <c r="CC519" i="4" s="1"/>
  <c r="CD520" i="4"/>
  <c r="CC520" i="4" s="1"/>
  <c r="CD521" i="4"/>
  <c r="CC521" i="4" s="1"/>
  <c r="CD522" i="4"/>
  <c r="CD523" i="4"/>
  <c r="CD524" i="4"/>
  <c r="CD526" i="4"/>
  <c r="CD535" i="4"/>
  <c r="CC535" i="4" s="1"/>
  <c r="CD536" i="4"/>
  <c r="CC536" i="4" s="1"/>
  <c r="CD537" i="4"/>
  <c r="CC537" i="4" s="1"/>
  <c r="CD538" i="4"/>
  <c r="CC538" i="4" s="1"/>
  <c r="CD539" i="4"/>
  <c r="CC539" i="4" s="1"/>
  <c r="CD540" i="4"/>
  <c r="CC540" i="4" s="1"/>
  <c r="CD541" i="4"/>
  <c r="CC541" i="4" s="1"/>
  <c r="CD542" i="4"/>
  <c r="CC542" i="4" s="1"/>
  <c r="CD543" i="4"/>
  <c r="CC543" i="4" s="1"/>
  <c r="CD544" i="4"/>
  <c r="CC544" i="4" s="1"/>
  <c r="CD546" i="4"/>
  <c r="CC546" i="4" s="1"/>
  <c r="CD555" i="4"/>
  <c r="CC555" i="4" s="1"/>
  <c r="CD556" i="4"/>
  <c r="CD557" i="4"/>
  <c r="CC557" i="4" s="1"/>
  <c r="CD558" i="4"/>
  <c r="CC558" i="4" s="1"/>
  <c r="CD559" i="4"/>
  <c r="CC559" i="4" s="1"/>
  <c r="CD560" i="4"/>
  <c r="CD561" i="4"/>
  <c r="CC561" i="4" s="1"/>
  <c r="CD562" i="4"/>
  <c r="CC562" i="4" s="1"/>
  <c r="CD563" i="4"/>
  <c r="CC563" i="4" s="1"/>
  <c r="CD564" i="4"/>
  <c r="CC564" i="4" s="1"/>
  <c r="CD566" i="4"/>
  <c r="CC566" i="4" s="1"/>
  <c r="CD575" i="4"/>
  <c r="CC575" i="4" s="1"/>
  <c r="CD576" i="4"/>
  <c r="CD577" i="4"/>
  <c r="CC577" i="4" s="1"/>
  <c r="CD578" i="4"/>
  <c r="CC578" i="4" s="1"/>
  <c r="CD579" i="4"/>
  <c r="CC579" i="4" s="1"/>
  <c r="CD580" i="4"/>
  <c r="CC580" i="4" s="1"/>
  <c r="CD581" i="4"/>
  <c r="CC581" i="4" s="1"/>
  <c r="CD582" i="4"/>
  <c r="CD583" i="4"/>
  <c r="CD584" i="4"/>
  <c r="CD586" i="4"/>
  <c r="CD595" i="4"/>
  <c r="CC595" i="4" s="1"/>
  <c r="CD596" i="4"/>
  <c r="CC596" i="4" s="1"/>
  <c r="CD597" i="4"/>
  <c r="CC597" i="4" s="1"/>
  <c r="CD598" i="4"/>
  <c r="CC598" i="4" s="1"/>
  <c r="CD599" i="4"/>
  <c r="CC599" i="4" s="1"/>
  <c r="CD600" i="4"/>
  <c r="CC600" i="4" s="1"/>
  <c r="CD601" i="4"/>
  <c r="CC601" i="4" s="1"/>
  <c r="CD602" i="4"/>
  <c r="CC602" i="4" s="1"/>
  <c r="CD603" i="4"/>
  <c r="CC603" i="4" s="1"/>
  <c r="CD604" i="4"/>
  <c r="CC604" i="4" s="1"/>
  <c r="CD606" i="4"/>
  <c r="CD615" i="4"/>
  <c r="CD616" i="4"/>
  <c r="CD617" i="4"/>
  <c r="CC617" i="4" s="1"/>
  <c r="CD618" i="4"/>
  <c r="CC618" i="4" s="1"/>
  <c r="CD619" i="4"/>
  <c r="CC619" i="4" s="1"/>
  <c r="CC276" i="4"/>
  <c r="CC303" i="4"/>
  <c r="CC304" i="4"/>
  <c r="CC306" i="4"/>
  <c r="CC315" i="4"/>
  <c r="CC316" i="4"/>
  <c r="CC324" i="4"/>
  <c r="CC326" i="4"/>
  <c r="CC356" i="4"/>
  <c r="CC364" i="4"/>
  <c r="CC376" i="4"/>
  <c r="CC382" i="4"/>
  <c r="CC386" i="4"/>
  <c r="CC404" i="4"/>
  <c r="CC406" i="4"/>
  <c r="CC415" i="4"/>
  <c r="CC416" i="4"/>
  <c r="CC422" i="4"/>
  <c r="CC423" i="4"/>
  <c r="CC424" i="4"/>
  <c r="CC425" i="4"/>
  <c r="CC426" i="4"/>
  <c r="CC456" i="4"/>
  <c r="CC476" i="4"/>
  <c r="CC482" i="4"/>
  <c r="CC483" i="4"/>
  <c r="CC486" i="4"/>
  <c r="CC506" i="4"/>
  <c r="CC515" i="4"/>
  <c r="CC516" i="4"/>
  <c r="CC522" i="4"/>
  <c r="CC523" i="4"/>
  <c r="CC524" i="4"/>
  <c r="CC525" i="4"/>
  <c r="CC526" i="4"/>
  <c r="CC556" i="4"/>
  <c r="CC560" i="4"/>
  <c r="CC576" i="4"/>
  <c r="CC582" i="4"/>
  <c r="CC583" i="4"/>
  <c r="CC584" i="4"/>
  <c r="CC586" i="4"/>
  <c r="CC606" i="4"/>
  <c r="CC615" i="4"/>
  <c r="CC616" i="4"/>
  <c r="CB279" i="4"/>
  <c r="CB280" i="4"/>
  <c r="CB281" i="4"/>
  <c r="CB282" i="4"/>
  <c r="CB283" i="4"/>
  <c r="CB284" i="4"/>
  <c r="CB285" i="4"/>
  <c r="CA285" i="4" s="1"/>
  <c r="CB286" i="4"/>
  <c r="CB287" i="4"/>
  <c r="CB288" i="4"/>
  <c r="CB289" i="4"/>
  <c r="CB290" i="4"/>
  <c r="CB291" i="4"/>
  <c r="CB292" i="4"/>
  <c r="CB293" i="4"/>
  <c r="CB294" i="4"/>
  <c r="CB295" i="4"/>
  <c r="CB296" i="4"/>
  <c r="CB297" i="4"/>
  <c r="CB298" i="4"/>
  <c r="CA298" i="4" s="1"/>
  <c r="CB299" i="4"/>
  <c r="CB300" i="4"/>
  <c r="CB301" i="4"/>
  <c r="CB302" i="4"/>
  <c r="CB303" i="4"/>
  <c r="CB304" i="4"/>
  <c r="CB305" i="4"/>
  <c r="CA305" i="4" s="1"/>
  <c r="CB306" i="4"/>
  <c r="CB307" i="4"/>
  <c r="CB308" i="4"/>
  <c r="CB309" i="4"/>
  <c r="CB310" i="4"/>
  <c r="CB311" i="4"/>
  <c r="CB312" i="4"/>
  <c r="CB313" i="4"/>
  <c r="CB314" i="4"/>
  <c r="CB315" i="4"/>
  <c r="CB316" i="4"/>
  <c r="CB317" i="4"/>
  <c r="CB318" i="4"/>
  <c r="CA318" i="4" s="1"/>
  <c r="CB319" i="4"/>
  <c r="CB320" i="4"/>
  <c r="CB321" i="4"/>
  <c r="CB322" i="4"/>
  <c r="CB323" i="4"/>
  <c r="CB324" i="4"/>
  <c r="CB325" i="4"/>
  <c r="CA325" i="4" s="1"/>
  <c r="CB326" i="4"/>
  <c r="CB327" i="4"/>
  <c r="CB328" i="4"/>
  <c r="CB329" i="4"/>
  <c r="CB330" i="4"/>
  <c r="CB331" i="4"/>
  <c r="CB332" i="4"/>
  <c r="CB333" i="4"/>
  <c r="CB334" i="4"/>
  <c r="CB335" i="4"/>
  <c r="CB336" i="4"/>
  <c r="CB337" i="4"/>
  <c r="CB338" i="4"/>
  <c r="CA338" i="4" s="1"/>
  <c r="CB339" i="4"/>
  <c r="CB340" i="4"/>
  <c r="CB341" i="4"/>
  <c r="CB342" i="4"/>
  <c r="CB343" i="4"/>
  <c r="CB344" i="4"/>
  <c r="CB345" i="4"/>
  <c r="CA345" i="4" s="1"/>
  <c r="CB346" i="4"/>
  <c r="CB347" i="4"/>
  <c r="CB348" i="4"/>
  <c r="CB349" i="4"/>
  <c r="CB350" i="4"/>
  <c r="CB351" i="4"/>
  <c r="CB352" i="4"/>
  <c r="CB353" i="4"/>
  <c r="CB354" i="4"/>
  <c r="CB355" i="4"/>
  <c r="CB356" i="4"/>
  <c r="CB357" i="4"/>
  <c r="CB358" i="4"/>
  <c r="CA358" i="4" s="1"/>
  <c r="CB359" i="4"/>
  <c r="CB360" i="4"/>
  <c r="CB361" i="4"/>
  <c r="CB362" i="4"/>
  <c r="CB363" i="4"/>
  <c r="CB364" i="4"/>
  <c r="CB365" i="4"/>
  <c r="CA365" i="4" s="1"/>
  <c r="CB366" i="4"/>
  <c r="CB367" i="4"/>
  <c r="CB368" i="4"/>
  <c r="CB369" i="4"/>
  <c r="CB370" i="4"/>
  <c r="CB371" i="4"/>
  <c r="CB372" i="4"/>
  <c r="CB373" i="4"/>
  <c r="CB374" i="4"/>
  <c r="CB375" i="4"/>
  <c r="CB376" i="4"/>
  <c r="CB377" i="4"/>
  <c r="CB378" i="4"/>
  <c r="CA378" i="4" s="1"/>
  <c r="CB379" i="4"/>
  <c r="CB380" i="4"/>
  <c r="CB381" i="4"/>
  <c r="CB382" i="4"/>
  <c r="CB383" i="4"/>
  <c r="CB384" i="4"/>
  <c r="CB385" i="4"/>
  <c r="CA385" i="4" s="1"/>
  <c r="CB386" i="4"/>
  <c r="CB387" i="4"/>
  <c r="CB388" i="4"/>
  <c r="CB389" i="4"/>
  <c r="CB390" i="4"/>
  <c r="CB391" i="4"/>
  <c r="CB392" i="4"/>
  <c r="CB393" i="4"/>
  <c r="CB394" i="4"/>
  <c r="CB395" i="4"/>
  <c r="CB396" i="4"/>
  <c r="CB397" i="4"/>
  <c r="CB398" i="4"/>
  <c r="CA398" i="4" s="1"/>
  <c r="CB399" i="4"/>
  <c r="CB400" i="4"/>
  <c r="CB401" i="4"/>
  <c r="CB402" i="4"/>
  <c r="CB403" i="4"/>
  <c r="CB404" i="4"/>
  <c r="CB405" i="4"/>
  <c r="CA405" i="4" s="1"/>
  <c r="CB406" i="4"/>
  <c r="CB407" i="4"/>
  <c r="CB408" i="4"/>
  <c r="CB409" i="4"/>
  <c r="CB410" i="4"/>
  <c r="CB411" i="4"/>
  <c r="CB412" i="4"/>
  <c r="CB413" i="4"/>
  <c r="CB414" i="4"/>
  <c r="CB415" i="4"/>
  <c r="CB416" i="4"/>
  <c r="CB417" i="4"/>
  <c r="CB418" i="4"/>
  <c r="CA418" i="4" s="1"/>
  <c r="CB419" i="4"/>
  <c r="CB420" i="4"/>
  <c r="CB421" i="4"/>
  <c r="CB422" i="4"/>
  <c r="CB423" i="4"/>
  <c r="CB424" i="4"/>
  <c r="CB425" i="4"/>
  <c r="CA425" i="4" s="1"/>
  <c r="CB426" i="4"/>
  <c r="CB427" i="4"/>
  <c r="CB428" i="4"/>
  <c r="CB429" i="4"/>
  <c r="CB430" i="4"/>
  <c r="CB431" i="4"/>
  <c r="CB432" i="4"/>
  <c r="CB433" i="4"/>
  <c r="CB434" i="4"/>
  <c r="CB435" i="4"/>
  <c r="CB436" i="4"/>
  <c r="CB437" i="4"/>
  <c r="CB438" i="4"/>
  <c r="CA438" i="4" s="1"/>
  <c r="CB439" i="4"/>
  <c r="CB440" i="4"/>
  <c r="CB441" i="4"/>
  <c r="CB442" i="4"/>
  <c r="CB443" i="4"/>
  <c r="CB444" i="4"/>
  <c r="CB445" i="4"/>
  <c r="CA445" i="4" s="1"/>
  <c r="CB446" i="4"/>
  <c r="CB447" i="4"/>
  <c r="CB448" i="4"/>
  <c r="CB449" i="4"/>
  <c r="CB450" i="4"/>
  <c r="CB451" i="4"/>
  <c r="CB452" i="4"/>
  <c r="CB453" i="4"/>
  <c r="CB454" i="4"/>
  <c r="CB455" i="4"/>
  <c r="CB456" i="4"/>
  <c r="CB457" i="4"/>
  <c r="CB458" i="4"/>
  <c r="CA458" i="4" s="1"/>
  <c r="CB459" i="4"/>
  <c r="CB460" i="4"/>
  <c r="CB461" i="4"/>
  <c r="CB462" i="4"/>
  <c r="CB463" i="4"/>
  <c r="CB464" i="4"/>
  <c r="CB465" i="4"/>
  <c r="CA465" i="4" s="1"/>
  <c r="CB466" i="4"/>
  <c r="CB467" i="4"/>
  <c r="CB468" i="4"/>
  <c r="CB469" i="4"/>
  <c r="CB470" i="4"/>
  <c r="CB471" i="4"/>
  <c r="CB472" i="4"/>
  <c r="CB473" i="4"/>
  <c r="CB474" i="4"/>
  <c r="CB475" i="4"/>
  <c r="CB476" i="4"/>
  <c r="CB477" i="4"/>
  <c r="CB478" i="4"/>
  <c r="CA478" i="4" s="1"/>
  <c r="CB479" i="4"/>
  <c r="CB480" i="4"/>
  <c r="CB481" i="4"/>
  <c r="CB482" i="4"/>
  <c r="CB483" i="4"/>
  <c r="CB484" i="4"/>
  <c r="CB485" i="4"/>
  <c r="CA485" i="4" s="1"/>
  <c r="CB486" i="4"/>
  <c r="CB487" i="4"/>
  <c r="CB488" i="4"/>
  <c r="CB489" i="4"/>
  <c r="CB490" i="4"/>
  <c r="CB491" i="4"/>
  <c r="CB492" i="4"/>
  <c r="CB493" i="4"/>
  <c r="CB494" i="4"/>
  <c r="CB495" i="4"/>
  <c r="CB496" i="4"/>
  <c r="CB497" i="4"/>
  <c r="CB498" i="4"/>
  <c r="CA498" i="4" s="1"/>
  <c r="CB499" i="4"/>
  <c r="CB500" i="4"/>
  <c r="CB501" i="4"/>
  <c r="CB502" i="4"/>
  <c r="CB503" i="4"/>
  <c r="CB504" i="4"/>
  <c r="CB505" i="4"/>
  <c r="CA505" i="4" s="1"/>
  <c r="CB506" i="4"/>
  <c r="CB507" i="4"/>
  <c r="CB508" i="4"/>
  <c r="CB509" i="4"/>
  <c r="CB510" i="4"/>
  <c r="CB511" i="4"/>
  <c r="CB512" i="4"/>
  <c r="CB513" i="4"/>
  <c r="CB514" i="4"/>
  <c r="CB515" i="4"/>
  <c r="CB516" i="4"/>
  <c r="CB517" i="4"/>
  <c r="CB518" i="4"/>
  <c r="CA518" i="4" s="1"/>
  <c r="CB519" i="4"/>
  <c r="CB520" i="4"/>
  <c r="CB521" i="4"/>
  <c r="CB522" i="4"/>
  <c r="CB523" i="4"/>
  <c r="CB524" i="4"/>
  <c r="CB525" i="4"/>
  <c r="CA525" i="4" s="1"/>
  <c r="CB526" i="4"/>
  <c r="CB527" i="4"/>
  <c r="CB528" i="4"/>
  <c r="CB529" i="4"/>
  <c r="CB530" i="4"/>
  <c r="CB531" i="4"/>
  <c r="CB532" i="4"/>
  <c r="CB533" i="4"/>
  <c r="CB534" i="4"/>
  <c r="CB535" i="4"/>
  <c r="CB536" i="4"/>
  <c r="CB537" i="4"/>
  <c r="CB538" i="4"/>
  <c r="CA538" i="4" s="1"/>
  <c r="CB539" i="4"/>
  <c r="CB540" i="4"/>
  <c r="CB541" i="4"/>
  <c r="CB542" i="4"/>
  <c r="CB543" i="4"/>
  <c r="CB544" i="4"/>
  <c r="CB545" i="4"/>
  <c r="CA545" i="4" s="1"/>
  <c r="CB546" i="4"/>
  <c r="CB547" i="4"/>
  <c r="CB548" i="4"/>
  <c r="CB549" i="4"/>
  <c r="CB550" i="4"/>
  <c r="CB551" i="4"/>
  <c r="CB552" i="4"/>
  <c r="CB553" i="4"/>
  <c r="CB554" i="4"/>
  <c r="CB555" i="4"/>
  <c r="CB556" i="4"/>
  <c r="CB557" i="4"/>
  <c r="CB558" i="4"/>
  <c r="CA558" i="4" s="1"/>
  <c r="CB559" i="4"/>
  <c r="CB560" i="4"/>
  <c r="CB561" i="4"/>
  <c r="CB562" i="4"/>
  <c r="CB563" i="4"/>
  <c r="CB564" i="4"/>
  <c r="CB565" i="4"/>
  <c r="CA565" i="4" s="1"/>
  <c r="CB566" i="4"/>
  <c r="CB567" i="4"/>
  <c r="CB568" i="4"/>
  <c r="CB569" i="4"/>
  <c r="CB570" i="4"/>
  <c r="CB571" i="4"/>
  <c r="CB572" i="4"/>
  <c r="CB573" i="4"/>
  <c r="CB574" i="4"/>
  <c r="CB575" i="4"/>
  <c r="CB576" i="4"/>
  <c r="CB577" i="4"/>
  <c r="CB578" i="4"/>
  <c r="CA578" i="4" s="1"/>
  <c r="CB579" i="4"/>
  <c r="CB580" i="4"/>
  <c r="CB581" i="4"/>
  <c r="CB582" i="4"/>
  <c r="CB583" i="4"/>
  <c r="CB584" i="4"/>
  <c r="CB585" i="4"/>
  <c r="CA585" i="4" s="1"/>
  <c r="CB586" i="4"/>
  <c r="CB587" i="4"/>
  <c r="CB588" i="4"/>
  <c r="CB589" i="4"/>
  <c r="CB590" i="4"/>
  <c r="CB591" i="4"/>
  <c r="CB592" i="4"/>
  <c r="CB593" i="4"/>
  <c r="CB594" i="4"/>
  <c r="CB595" i="4"/>
  <c r="CB596" i="4"/>
  <c r="CB597" i="4"/>
  <c r="CB598" i="4"/>
  <c r="CA598" i="4" s="1"/>
  <c r="CB599" i="4"/>
  <c r="CB600" i="4"/>
  <c r="CB601" i="4"/>
  <c r="CB602" i="4"/>
  <c r="CB603" i="4"/>
  <c r="CB604" i="4"/>
  <c r="CB605" i="4"/>
  <c r="CA605" i="4" s="1"/>
  <c r="CB606" i="4"/>
  <c r="CB607" i="4"/>
  <c r="CB608" i="4"/>
  <c r="CB609" i="4"/>
  <c r="CB610" i="4"/>
  <c r="CB611" i="4"/>
  <c r="CB612" i="4"/>
  <c r="CB613" i="4"/>
  <c r="CB614" i="4"/>
  <c r="CB615" i="4"/>
  <c r="CB616" i="4"/>
  <c r="CB617" i="4"/>
  <c r="CB618" i="4"/>
  <c r="CA618" i="4" s="1"/>
  <c r="CB619" i="4"/>
  <c r="CA279" i="4"/>
  <c r="CA280" i="4"/>
  <c r="CA281" i="4"/>
  <c r="CA282" i="4"/>
  <c r="CA283" i="4"/>
  <c r="CA284" i="4"/>
  <c r="CA286" i="4"/>
  <c r="CA287" i="4"/>
  <c r="CA288" i="4"/>
  <c r="CA289" i="4"/>
  <c r="CA290" i="4"/>
  <c r="CA291" i="4"/>
  <c r="CA292" i="4"/>
  <c r="CA293" i="4"/>
  <c r="CA294" i="4"/>
  <c r="CA295" i="4"/>
  <c r="CA296" i="4"/>
  <c r="CA297" i="4"/>
  <c r="CA299" i="4"/>
  <c r="CA300" i="4"/>
  <c r="CA301" i="4"/>
  <c r="CA302" i="4"/>
  <c r="CA303" i="4"/>
  <c r="CA304" i="4"/>
  <c r="CA306" i="4"/>
  <c r="CA307" i="4"/>
  <c r="CA308" i="4"/>
  <c r="CA309" i="4"/>
  <c r="CA310" i="4"/>
  <c r="CA311" i="4"/>
  <c r="CA312" i="4"/>
  <c r="CA313" i="4"/>
  <c r="CA314" i="4"/>
  <c r="CA315" i="4"/>
  <c r="CA316" i="4"/>
  <c r="CA317" i="4"/>
  <c r="CA319" i="4"/>
  <c r="CA320" i="4"/>
  <c r="CA321" i="4"/>
  <c r="CA322" i="4"/>
  <c r="CA323" i="4"/>
  <c r="CA324" i="4"/>
  <c r="CA326" i="4"/>
  <c r="CA327" i="4"/>
  <c r="CA328" i="4"/>
  <c r="CA329" i="4"/>
  <c r="CA330" i="4"/>
  <c r="CA331" i="4"/>
  <c r="CA332" i="4"/>
  <c r="CA333" i="4"/>
  <c r="CA334" i="4"/>
  <c r="CA335" i="4"/>
  <c r="CA336" i="4"/>
  <c r="CA337" i="4"/>
  <c r="CA339" i="4"/>
  <c r="CA340" i="4"/>
  <c r="CA341" i="4"/>
  <c r="CA342" i="4"/>
  <c r="CA343" i="4"/>
  <c r="CA344" i="4"/>
  <c r="CA346" i="4"/>
  <c r="CA347" i="4"/>
  <c r="CA348" i="4"/>
  <c r="CA349" i="4"/>
  <c r="CA350" i="4"/>
  <c r="CA351" i="4"/>
  <c r="CA352" i="4"/>
  <c r="CA353" i="4"/>
  <c r="CA354" i="4"/>
  <c r="CA355" i="4"/>
  <c r="CA356" i="4"/>
  <c r="CA357" i="4"/>
  <c r="CA359" i="4"/>
  <c r="CA360" i="4"/>
  <c r="CA361" i="4"/>
  <c r="CA362" i="4"/>
  <c r="CA363" i="4"/>
  <c r="CA364" i="4"/>
  <c r="CA366" i="4"/>
  <c r="CA367" i="4"/>
  <c r="CA368" i="4"/>
  <c r="CA369" i="4"/>
  <c r="CA370" i="4"/>
  <c r="CA371" i="4"/>
  <c r="CA372" i="4"/>
  <c r="CA373" i="4"/>
  <c r="CA374" i="4"/>
  <c r="CA375" i="4"/>
  <c r="CA376" i="4"/>
  <c r="CA377" i="4"/>
  <c r="CA379" i="4"/>
  <c r="CA380" i="4"/>
  <c r="CA381" i="4"/>
  <c r="CA382" i="4"/>
  <c r="CA383" i="4"/>
  <c r="CA384" i="4"/>
  <c r="CA386" i="4"/>
  <c r="CA387" i="4"/>
  <c r="CA388" i="4"/>
  <c r="CA389" i="4"/>
  <c r="CA390" i="4"/>
  <c r="CA391" i="4"/>
  <c r="CA392" i="4"/>
  <c r="CA393" i="4"/>
  <c r="CA394" i="4"/>
  <c r="CA395" i="4"/>
  <c r="CA396" i="4"/>
  <c r="CA397" i="4"/>
  <c r="CA399" i="4"/>
  <c r="CA400" i="4"/>
  <c r="CA401" i="4"/>
  <c r="CA402" i="4"/>
  <c r="CA403" i="4"/>
  <c r="CA404" i="4"/>
  <c r="CA406" i="4"/>
  <c r="CA407" i="4"/>
  <c r="CA408" i="4"/>
  <c r="CA409" i="4"/>
  <c r="CA410" i="4"/>
  <c r="CA411" i="4"/>
  <c r="CA412" i="4"/>
  <c r="CA413" i="4"/>
  <c r="CA414" i="4"/>
  <c r="CA415" i="4"/>
  <c r="CA416" i="4"/>
  <c r="CA417" i="4"/>
  <c r="CA419" i="4"/>
  <c r="CA420" i="4"/>
  <c r="CA421" i="4"/>
  <c r="CA422" i="4"/>
  <c r="CA423" i="4"/>
  <c r="CA424" i="4"/>
  <c r="CA426" i="4"/>
  <c r="CA427" i="4"/>
  <c r="CA428" i="4"/>
  <c r="CA429" i="4"/>
  <c r="CA430" i="4"/>
  <c r="CA431" i="4"/>
  <c r="CA432" i="4"/>
  <c r="CA433" i="4"/>
  <c r="CA434" i="4"/>
  <c r="CA435" i="4"/>
  <c r="CA436" i="4"/>
  <c r="CA437" i="4"/>
  <c r="CA439" i="4"/>
  <c r="CA440" i="4"/>
  <c r="CA441" i="4"/>
  <c r="CA442" i="4"/>
  <c r="CA443" i="4"/>
  <c r="CA444" i="4"/>
  <c r="CA446" i="4"/>
  <c r="CA447" i="4"/>
  <c r="CA448" i="4"/>
  <c r="CA449" i="4"/>
  <c r="CA450" i="4"/>
  <c r="CA451" i="4"/>
  <c r="CA452" i="4"/>
  <c r="CA453" i="4"/>
  <c r="CA454" i="4"/>
  <c r="CA455" i="4"/>
  <c r="CA456" i="4"/>
  <c r="CA457" i="4"/>
  <c r="CA459" i="4"/>
  <c r="CA460" i="4"/>
  <c r="CA461" i="4"/>
  <c r="CA462" i="4"/>
  <c r="CA463" i="4"/>
  <c r="CA464" i="4"/>
  <c r="CA466" i="4"/>
  <c r="CA467" i="4"/>
  <c r="CA468" i="4"/>
  <c r="CA469" i="4"/>
  <c r="CA470" i="4"/>
  <c r="CA471" i="4"/>
  <c r="CA472" i="4"/>
  <c r="CA473" i="4"/>
  <c r="CA474" i="4"/>
  <c r="CA475" i="4"/>
  <c r="CA476" i="4"/>
  <c r="CA477" i="4"/>
  <c r="CA479" i="4"/>
  <c r="CA480" i="4"/>
  <c r="CA481" i="4"/>
  <c r="CA482" i="4"/>
  <c r="CA483" i="4"/>
  <c r="CA484" i="4"/>
  <c r="CA486" i="4"/>
  <c r="CA487" i="4"/>
  <c r="CA488" i="4"/>
  <c r="CA489" i="4"/>
  <c r="CA490" i="4"/>
  <c r="CA491" i="4"/>
  <c r="CA492" i="4"/>
  <c r="CA493" i="4"/>
  <c r="CA494" i="4"/>
  <c r="CA495" i="4"/>
  <c r="CA496" i="4"/>
  <c r="CA497" i="4"/>
  <c r="CA499" i="4"/>
  <c r="CA500" i="4"/>
  <c r="CA501" i="4"/>
  <c r="CA502" i="4"/>
  <c r="CA503" i="4"/>
  <c r="CA504" i="4"/>
  <c r="CA506" i="4"/>
  <c r="CA507" i="4"/>
  <c r="CA508" i="4"/>
  <c r="CA509" i="4"/>
  <c r="CA510" i="4"/>
  <c r="CA511" i="4"/>
  <c r="CA512" i="4"/>
  <c r="CA513" i="4"/>
  <c r="CA514" i="4"/>
  <c r="CA515" i="4"/>
  <c r="CA516" i="4"/>
  <c r="CA517" i="4"/>
  <c r="CA519" i="4"/>
  <c r="CA520" i="4"/>
  <c r="CA521" i="4"/>
  <c r="CA522" i="4"/>
  <c r="CA523" i="4"/>
  <c r="CA524" i="4"/>
  <c r="CA526" i="4"/>
  <c r="CA527" i="4"/>
  <c r="CA528" i="4"/>
  <c r="CA529" i="4"/>
  <c r="CA530" i="4"/>
  <c r="CA531" i="4"/>
  <c r="CA532" i="4"/>
  <c r="CA533" i="4"/>
  <c r="CA534" i="4"/>
  <c r="CA535" i="4"/>
  <c r="CA536" i="4"/>
  <c r="CA537" i="4"/>
  <c r="CA539" i="4"/>
  <c r="CA540" i="4"/>
  <c r="CA541" i="4"/>
  <c r="CA542" i="4"/>
  <c r="CA543" i="4"/>
  <c r="CA544" i="4"/>
  <c r="CA546" i="4"/>
  <c r="CA547" i="4"/>
  <c r="CA548" i="4"/>
  <c r="CA549" i="4"/>
  <c r="CA550" i="4"/>
  <c r="CA551" i="4"/>
  <c r="CA552" i="4"/>
  <c r="CA553" i="4"/>
  <c r="CA554" i="4"/>
  <c r="CA555" i="4"/>
  <c r="CA556" i="4"/>
  <c r="CA557" i="4"/>
  <c r="CA559" i="4"/>
  <c r="CA560" i="4"/>
  <c r="CA561" i="4"/>
  <c r="CA562" i="4"/>
  <c r="CA563" i="4"/>
  <c r="CA564" i="4"/>
  <c r="CA566" i="4"/>
  <c r="CA567" i="4"/>
  <c r="CA568" i="4"/>
  <c r="CA569" i="4"/>
  <c r="CA570" i="4"/>
  <c r="CA571" i="4"/>
  <c r="CA572" i="4"/>
  <c r="CA573" i="4"/>
  <c r="CA574" i="4"/>
  <c r="CA575" i="4"/>
  <c r="CA576" i="4"/>
  <c r="CA577" i="4"/>
  <c r="CA579" i="4"/>
  <c r="CA580" i="4"/>
  <c r="CA581" i="4"/>
  <c r="CA582" i="4"/>
  <c r="CA583" i="4"/>
  <c r="CA584" i="4"/>
  <c r="CA586" i="4"/>
  <c r="CA587" i="4"/>
  <c r="CA588" i="4"/>
  <c r="CA589" i="4"/>
  <c r="CA590" i="4"/>
  <c r="CA591" i="4"/>
  <c r="CA592" i="4"/>
  <c r="CA593" i="4"/>
  <c r="CA594" i="4"/>
  <c r="CA595" i="4"/>
  <c r="CA596" i="4"/>
  <c r="CA597" i="4"/>
  <c r="CA599" i="4"/>
  <c r="CA600" i="4"/>
  <c r="CA601" i="4"/>
  <c r="CA602" i="4"/>
  <c r="CA603" i="4"/>
  <c r="CA604" i="4"/>
  <c r="CA606" i="4"/>
  <c r="CA607" i="4"/>
  <c r="CA608" i="4"/>
  <c r="CA609" i="4"/>
  <c r="CA610" i="4"/>
  <c r="CA611" i="4"/>
  <c r="CA612" i="4"/>
  <c r="CA613" i="4"/>
  <c r="CA614" i="4"/>
  <c r="CA615" i="4"/>
  <c r="CA616" i="4"/>
  <c r="CA617" i="4"/>
  <c r="CA619" i="4"/>
  <c r="BP292" i="4"/>
  <c r="BP293" i="4"/>
  <c r="BP294" i="4"/>
  <c r="BP295" i="4"/>
  <c r="BP296" i="4"/>
  <c r="BP297" i="4"/>
  <c r="BP298" i="4"/>
  <c r="BP299" i="4"/>
  <c r="BP300" i="4"/>
  <c r="BP301" i="4"/>
  <c r="BP302" i="4"/>
  <c r="BP303" i="4"/>
  <c r="BP304" i="4"/>
  <c r="BP305" i="4"/>
  <c r="BP306" i="4"/>
  <c r="BP307" i="4"/>
  <c r="BP308" i="4"/>
  <c r="BO308" i="4" s="1"/>
  <c r="BP309" i="4"/>
  <c r="BO309" i="4" s="1"/>
  <c r="BP310" i="4"/>
  <c r="BO310" i="4" s="1"/>
  <c r="BP311" i="4"/>
  <c r="BO311" i="4" s="1"/>
  <c r="BP312" i="4"/>
  <c r="BP313" i="4"/>
  <c r="BP314" i="4"/>
  <c r="BP315" i="4"/>
  <c r="BP316" i="4"/>
  <c r="BP317" i="4"/>
  <c r="BO317" i="4" s="1"/>
  <c r="BP318" i="4"/>
  <c r="BO318" i="4" s="1"/>
  <c r="BP319" i="4"/>
  <c r="BO319" i="4" s="1"/>
  <c r="BP320" i="4"/>
  <c r="BO320" i="4" s="1"/>
  <c r="BP321" i="4"/>
  <c r="BO321" i="4" s="1"/>
  <c r="BP322" i="4"/>
  <c r="BO322" i="4" s="1"/>
  <c r="BP323" i="4"/>
  <c r="BO323" i="4" s="1"/>
  <c r="BP324" i="4"/>
  <c r="BO324" i="4" s="1"/>
  <c r="BP325" i="4"/>
  <c r="BO325" i="4" s="1"/>
  <c r="BP326" i="4"/>
  <c r="BO326" i="4" s="1"/>
  <c r="BP327" i="4"/>
  <c r="BO327" i="4" s="1"/>
  <c r="BP328" i="4"/>
  <c r="BO328" i="4" s="1"/>
  <c r="BP329" i="4"/>
  <c r="BO329" i="4" s="1"/>
  <c r="BP330" i="4"/>
  <c r="BO330" i="4" s="1"/>
  <c r="BP331" i="4"/>
  <c r="BO331" i="4" s="1"/>
  <c r="BP332" i="4"/>
  <c r="BP333" i="4"/>
  <c r="BP334" i="4"/>
  <c r="BP335" i="4"/>
  <c r="BP336" i="4"/>
  <c r="BP337" i="4"/>
  <c r="BP338" i="4"/>
  <c r="BP339" i="4"/>
  <c r="BP340" i="4"/>
  <c r="BP341" i="4"/>
  <c r="BO341" i="4" s="1"/>
  <c r="BP342" i="4"/>
  <c r="BO342" i="4" s="1"/>
  <c r="BP343" i="4"/>
  <c r="BO343" i="4" s="1"/>
  <c r="BP344" i="4"/>
  <c r="BO344" i="4" s="1"/>
  <c r="BP345" i="4"/>
  <c r="BO345" i="4" s="1"/>
  <c r="BP346" i="4"/>
  <c r="BO346" i="4" s="1"/>
  <c r="BP347" i="4"/>
  <c r="BO347" i="4" s="1"/>
  <c r="BP348" i="4"/>
  <c r="BO348" i="4" s="1"/>
  <c r="BP349" i="4"/>
  <c r="BO349" i="4" s="1"/>
  <c r="BP350" i="4"/>
  <c r="BO350" i="4" s="1"/>
  <c r="BP351" i="4"/>
  <c r="BO351" i="4" s="1"/>
  <c r="BP352" i="4"/>
  <c r="BP353" i="4"/>
  <c r="BP354" i="4"/>
  <c r="BP355" i="4"/>
  <c r="BO355" i="4" s="1"/>
  <c r="BP356" i="4"/>
  <c r="BO356" i="4" s="1"/>
  <c r="BP357" i="4"/>
  <c r="BO357" i="4" s="1"/>
  <c r="BP358" i="4"/>
  <c r="BO358" i="4" s="1"/>
  <c r="BP359" i="4"/>
  <c r="BO359" i="4" s="1"/>
  <c r="BP360" i="4"/>
  <c r="BP361" i="4"/>
  <c r="BP362" i="4"/>
  <c r="BO362" i="4" s="1"/>
  <c r="BP363" i="4"/>
  <c r="BO363" i="4" s="1"/>
  <c r="BP364" i="4"/>
  <c r="BO364" i="4" s="1"/>
  <c r="BP365" i="4"/>
  <c r="BO365" i="4" s="1"/>
  <c r="BP366" i="4"/>
  <c r="BO366" i="4" s="1"/>
  <c r="BP367" i="4"/>
  <c r="BO367" i="4" s="1"/>
  <c r="BP368" i="4"/>
  <c r="BO368" i="4" s="1"/>
  <c r="BP369" i="4"/>
  <c r="BO369" i="4" s="1"/>
  <c r="BP370" i="4"/>
  <c r="BO370" i="4" s="1"/>
  <c r="BP371" i="4"/>
  <c r="BO371" i="4" s="1"/>
  <c r="BP372" i="4"/>
  <c r="BP373" i="4"/>
  <c r="BP374" i="4"/>
  <c r="BP375" i="4"/>
  <c r="BP376" i="4"/>
  <c r="BP377" i="4"/>
  <c r="BP378" i="4"/>
  <c r="BP379" i="4"/>
  <c r="BP380" i="4"/>
  <c r="BP381" i="4"/>
  <c r="BP382" i="4"/>
  <c r="BP383" i="4"/>
  <c r="BO383" i="4" s="1"/>
  <c r="BP384" i="4"/>
  <c r="BO384" i="4" s="1"/>
  <c r="BP385" i="4"/>
  <c r="BO385" i="4" s="1"/>
  <c r="BP386" i="4"/>
  <c r="BO386" i="4" s="1"/>
  <c r="BP387" i="4"/>
  <c r="BO387" i="4" s="1"/>
  <c r="BP388" i="4"/>
  <c r="BO388" i="4" s="1"/>
  <c r="BP389" i="4"/>
  <c r="BO389" i="4" s="1"/>
  <c r="BP390" i="4"/>
  <c r="BO390" i="4" s="1"/>
  <c r="BP391" i="4"/>
  <c r="BO391" i="4" s="1"/>
  <c r="BP392" i="4"/>
  <c r="BP393" i="4"/>
  <c r="BP394" i="4"/>
  <c r="BP395" i="4"/>
  <c r="BP396" i="4"/>
  <c r="BP397" i="4"/>
  <c r="BP398" i="4"/>
  <c r="BP399" i="4"/>
  <c r="BP400" i="4"/>
  <c r="BP401" i="4"/>
  <c r="BP402" i="4"/>
  <c r="BO402" i="4" s="1"/>
  <c r="BP403" i="4"/>
  <c r="BO403" i="4" s="1"/>
  <c r="BP404" i="4"/>
  <c r="BO404" i="4" s="1"/>
  <c r="BP405" i="4"/>
  <c r="BO405" i="4" s="1"/>
  <c r="BP406" i="4"/>
  <c r="BO406" i="4" s="1"/>
  <c r="BP407" i="4"/>
  <c r="BO407" i="4" s="1"/>
  <c r="BP408" i="4"/>
  <c r="BO408" i="4" s="1"/>
  <c r="BP409" i="4"/>
  <c r="BO409" i="4" s="1"/>
  <c r="BP410" i="4"/>
  <c r="BO410" i="4" s="1"/>
  <c r="BP411" i="4"/>
  <c r="BO411" i="4" s="1"/>
  <c r="BP412" i="4"/>
  <c r="BP413" i="4"/>
  <c r="BP414" i="4"/>
  <c r="BP415" i="4"/>
  <c r="BP416" i="4"/>
  <c r="BP417" i="4"/>
  <c r="BP418" i="4"/>
  <c r="BP419" i="4"/>
  <c r="BP420" i="4"/>
  <c r="BO420" i="4" s="1"/>
  <c r="BP421" i="4"/>
  <c r="BO421" i="4" s="1"/>
  <c r="BP422" i="4"/>
  <c r="BO422" i="4" s="1"/>
  <c r="BP423" i="4"/>
  <c r="BO423" i="4" s="1"/>
  <c r="BP424" i="4"/>
  <c r="BO424" i="4" s="1"/>
  <c r="BP425" i="4"/>
  <c r="BO425" i="4" s="1"/>
  <c r="BP426" i="4"/>
  <c r="BO426" i="4" s="1"/>
  <c r="BP427" i="4"/>
  <c r="BO427" i="4" s="1"/>
  <c r="BP428" i="4"/>
  <c r="BO428" i="4" s="1"/>
  <c r="BP429" i="4"/>
  <c r="BO429" i="4" s="1"/>
  <c r="BP430" i="4"/>
  <c r="BO430" i="4" s="1"/>
  <c r="BP431" i="4"/>
  <c r="BO431" i="4" s="1"/>
  <c r="BP432" i="4"/>
  <c r="BP433" i="4"/>
  <c r="BP434" i="4"/>
  <c r="BP435" i="4"/>
  <c r="BP436" i="4"/>
  <c r="BP437" i="4"/>
  <c r="BP438" i="4"/>
  <c r="BP439" i="4"/>
  <c r="BP440" i="4"/>
  <c r="BP441" i="4"/>
  <c r="BP442" i="4"/>
  <c r="BO442" i="4" s="1"/>
  <c r="BP443" i="4"/>
  <c r="BO443" i="4" s="1"/>
  <c r="BP444" i="4"/>
  <c r="BO444" i="4" s="1"/>
  <c r="BP445" i="4"/>
  <c r="BO445" i="4" s="1"/>
  <c r="BP446" i="4"/>
  <c r="BO446" i="4" s="1"/>
  <c r="BP447" i="4"/>
  <c r="BO447" i="4" s="1"/>
  <c r="BP448" i="4"/>
  <c r="BO448" i="4" s="1"/>
  <c r="BP449" i="4"/>
  <c r="BO449" i="4" s="1"/>
  <c r="BP450" i="4"/>
  <c r="BO450" i="4" s="1"/>
  <c r="BP451" i="4"/>
  <c r="BO451" i="4" s="1"/>
  <c r="BP452" i="4"/>
  <c r="BP453" i="4"/>
  <c r="BP454" i="4"/>
  <c r="BP455" i="4"/>
  <c r="BO455" i="4" s="1"/>
  <c r="BP456" i="4"/>
  <c r="BO456" i="4" s="1"/>
  <c r="BP457" i="4"/>
  <c r="BO457" i="4" s="1"/>
  <c r="BP458" i="4"/>
  <c r="BO458" i="4" s="1"/>
  <c r="BP459" i="4"/>
  <c r="BO459" i="4" s="1"/>
  <c r="BP460" i="4"/>
  <c r="BP461" i="4"/>
  <c r="BP462" i="4"/>
  <c r="BO462" i="4" s="1"/>
  <c r="BP463" i="4"/>
  <c r="BO463" i="4" s="1"/>
  <c r="BP464" i="4"/>
  <c r="BO464" i="4" s="1"/>
  <c r="BP465" i="4"/>
  <c r="BO465" i="4" s="1"/>
  <c r="BP466" i="4"/>
  <c r="BO466" i="4" s="1"/>
  <c r="BP467" i="4"/>
  <c r="BO467" i="4" s="1"/>
  <c r="BP468" i="4"/>
  <c r="BO468" i="4" s="1"/>
  <c r="BP469" i="4"/>
  <c r="BO469" i="4" s="1"/>
  <c r="BP470" i="4"/>
  <c r="BO470" i="4" s="1"/>
  <c r="BP471" i="4"/>
  <c r="BO471" i="4" s="1"/>
  <c r="BP472" i="4"/>
  <c r="BP473" i="4"/>
  <c r="BP474" i="4"/>
  <c r="BP475" i="4"/>
  <c r="BP476" i="4"/>
  <c r="BP477" i="4"/>
  <c r="BP478" i="4"/>
  <c r="BP479" i="4"/>
  <c r="BP480" i="4"/>
  <c r="BO480" i="4" s="1"/>
  <c r="BP481" i="4"/>
  <c r="BO481" i="4" s="1"/>
  <c r="BP482" i="4"/>
  <c r="BO482" i="4" s="1"/>
  <c r="BP483" i="4"/>
  <c r="BO483" i="4" s="1"/>
  <c r="BP484" i="4"/>
  <c r="BO484" i="4" s="1"/>
  <c r="BP485" i="4"/>
  <c r="BO485" i="4" s="1"/>
  <c r="BP486" i="4"/>
  <c r="BO486" i="4" s="1"/>
  <c r="BP487" i="4"/>
  <c r="BO487" i="4" s="1"/>
  <c r="BP488" i="4"/>
  <c r="BO488" i="4" s="1"/>
  <c r="BP489" i="4"/>
  <c r="BO489" i="4" s="1"/>
  <c r="BP490" i="4"/>
  <c r="BO490" i="4" s="1"/>
  <c r="BP491" i="4"/>
  <c r="BO491" i="4" s="1"/>
  <c r="BP492" i="4"/>
  <c r="BP493" i="4"/>
  <c r="BP494" i="4"/>
  <c r="BP495" i="4"/>
  <c r="BP496" i="4"/>
  <c r="BP497" i="4"/>
  <c r="BP498" i="4"/>
  <c r="BP499" i="4"/>
  <c r="BP500" i="4"/>
  <c r="BP501" i="4"/>
  <c r="BP502" i="4"/>
  <c r="BO502" i="4" s="1"/>
  <c r="BP503" i="4"/>
  <c r="BO503" i="4" s="1"/>
  <c r="BP504" i="4"/>
  <c r="BO504" i="4" s="1"/>
  <c r="BP505" i="4"/>
  <c r="BO505" i="4" s="1"/>
  <c r="BP506" i="4"/>
  <c r="BO506" i="4" s="1"/>
  <c r="BP507" i="4"/>
  <c r="BO507" i="4" s="1"/>
  <c r="BP508" i="4"/>
  <c r="BO508" i="4" s="1"/>
  <c r="BP509" i="4"/>
  <c r="BO509" i="4" s="1"/>
  <c r="BP510" i="4"/>
  <c r="BO510" i="4" s="1"/>
  <c r="BP511" i="4"/>
  <c r="BO511" i="4" s="1"/>
  <c r="BP512" i="4"/>
  <c r="BP513" i="4"/>
  <c r="BP514" i="4"/>
  <c r="BP515" i="4"/>
  <c r="BO515" i="4" s="1"/>
  <c r="BP516" i="4"/>
  <c r="BO516" i="4" s="1"/>
  <c r="BP517" i="4"/>
  <c r="BO517" i="4" s="1"/>
  <c r="BP518" i="4"/>
  <c r="BO518" i="4" s="1"/>
  <c r="BP519" i="4"/>
  <c r="BO519" i="4" s="1"/>
  <c r="BP520" i="4"/>
  <c r="BP521" i="4"/>
  <c r="BO521" i="4" s="1"/>
  <c r="BP522" i="4"/>
  <c r="BO522" i="4" s="1"/>
  <c r="BP523" i="4"/>
  <c r="BO523" i="4" s="1"/>
  <c r="BP524" i="4"/>
  <c r="BO524" i="4" s="1"/>
  <c r="BP525" i="4"/>
  <c r="BO525" i="4" s="1"/>
  <c r="BP526" i="4"/>
  <c r="BP527" i="4"/>
  <c r="BP528" i="4"/>
  <c r="BP529" i="4"/>
  <c r="BP530" i="4"/>
  <c r="BO530" i="4" s="1"/>
  <c r="BP531" i="4"/>
  <c r="BO531" i="4" s="1"/>
  <c r="BP532" i="4"/>
  <c r="BP533" i="4"/>
  <c r="BP534" i="4"/>
  <c r="BP535" i="4"/>
  <c r="BP536" i="4"/>
  <c r="BP537" i="4"/>
  <c r="BP538" i="4"/>
  <c r="BP539" i="4"/>
  <c r="BP540" i="4"/>
  <c r="BO540" i="4" s="1"/>
  <c r="BP541" i="4"/>
  <c r="BO541" i="4" s="1"/>
  <c r="BP542" i="4"/>
  <c r="BO542" i="4" s="1"/>
  <c r="BP543" i="4"/>
  <c r="BO543" i="4" s="1"/>
  <c r="BP544" i="4"/>
  <c r="BO544" i="4" s="1"/>
  <c r="BP545" i="4"/>
  <c r="BO545" i="4" s="1"/>
  <c r="BP546" i="4"/>
  <c r="BO546" i="4" s="1"/>
  <c r="BP547" i="4"/>
  <c r="BO547" i="4" s="1"/>
  <c r="BP548" i="4"/>
  <c r="BO548" i="4" s="1"/>
  <c r="BP549" i="4"/>
  <c r="BO549" i="4" s="1"/>
  <c r="BP550" i="4"/>
  <c r="BO550" i="4" s="1"/>
  <c r="BP551" i="4"/>
  <c r="BO551" i="4" s="1"/>
  <c r="BP552" i="4"/>
  <c r="BP553" i="4"/>
  <c r="BP554" i="4"/>
  <c r="BP555" i="4"/>
  <c r="BP556" i="4"/>
  <c r="BP557" i="4"/>
  <c r="BP558" i="4"/>
  <c r="BP559" i="4"/>
  <c r="BP560" i="4"/>
  <c r="BP561" i="4"/>
  <c r="BP562" i="4"/>
  <c r="BP563" i="4"/>
  <c r="BP564" i="4"/>
  <c r="BP565" i="4"/>
  <c r="BP566" i="4"/>
  <c r="BP567" i="4"/>
  <c r="BP568" i="4"/>
  <c r="BP569" i="4"/>
  <c r="BP570" i="4"/>
  <c r="BO570" i="4" s="1"/>
  <c r="BP571" i="4"/>
  <c r="BO571" i="4" s="1"/>
  <c r="BP572" i="4"/>
  <c r="BP573" i="4"/>
  <c r="BP574" i="4"/>
  <c r="BP575" i="4"/>
  <c r="BP576" i="4"/>
  <c r="BO576" i="4" s="1"/>
  <c r="BP577" i="4"/>
  <c r="BO577" i="4" s="1"/>
  <c r="BP578" i="4"/>
  <c r="BO578" i="4" s="1"/>
  <c r="BP579" i="4"/>
  <c r="BO579" i="4" s="1"/>
  <c r="BP580" i="4"/>
  <c r="BO580" i="4" s="1"/>
  <c r="BP581" i="4"/>
  <c r="BO581" i="4" s="1"/>
  <c r="BP582" i="4"/>
  <c r="BO582" i="4" s="1"/>
  <c r="BP583" i="4"/>
  <c r="BO583" i="4" s="1"/>
  <c r="BP584" i="4"/>
  <c r="BO584" i="4" s="1"/>
  <c r="BP585" i="4"/>
  <c r="BO585" i="4" s="1"/>
  <c r="BP586" i="4"/>
  <c r="BO586" i="4" s="1"/>
  <c r="BP587" i="4"/>
  <c r="BO587" i="4" s="1"/>
  <c r="BP588" i="4"/>
  <c r="BO588" i="4" s="1"/>
  <c r="BP589" i="4"/>
  <c r="BO589" i="4" s="1"/>
  <c r="BP590" i="4"/>
  <c r="BO590" i="4" s="1"/>
  <c r="BP591" i="4"/>
  <c r="BO591" i="4" s="1"/>
  <c r="BP592" i="4"/>
  <c r="BP593" i="4"/>
  <c r="BP594" i="4"/>
  <c r="BP595" i="4"/>
  <c r="BP596" i="4"/>
  <c r="BP597" i="4"/>
  <c r="BP598" i="4"/>
  <c r="BP599" i="4"/>
  <c r="BP600" i="4"/>
  <c r="BO600" i="4" s="1"/>
  <c r="BP601" i="4"/>
  <c r="BO601" i="4" s="1"/>
  <c r="BP602" i="4"/>
  <c r="BO602" i="4" s="1"/>
  <c r="BP603" i="4"/>
  <c r="BO603" i="4" s="1"/>
  <c r="BP604" i="4"/>
  <c r="BO604" i="4" s="1"/>
  <c r="BP605" i="4"/>
  <c r="BO605" i="4" s="1"/>
  <c r="BP606" i="4"/>
  <c r="BO606" i="4" s="1"/>
  <c r="BP607" i="4"/>
  <c r="BO607" i="4" s="1"/>
  <c r="BP608" i="4"/>
  <c r="BO608" i="4" s="1"/>
  <c r="BP609" i="4"/>
  <c r="BO609" i="4" s="1"/>
  <c r="BP610" i="4"/>
  <c r="BO610" i="4" s="1"/>
  <c r="BP611" i="4"/>
  <c r="BO611" i="4" s="1"/>
  <c r="BP612" i="4"/>
  <c r="BP613" i="4"/>
  <c r="BP614" i="4"/>
  <c r="BP615" i="4"/>
  <c r="BP616" i="4"/>
  <c r="BP617" i="4"/>
  <c r="BP618" i="4"/>
  <c r="BP619" i="4"/>
  <c r="BP291" i="4"/>
  <c r="BT292" i="4"/>
  <c r="BT293" i="4"/>
  <c r="BT294" i="4"/>
  <c r="BT295" i="4"/>
  <c r="BS295" i="4" s="1"/>
  <c r="BT296" i="4"/>
  <c r="BS296" i="4" s="1"/>
  <c r="BT297" i="4"/>
  <c r="BT298" i="4"/>
  <c r="BS298" i="4" s="1"/>
  <c r="BT299" i="4"/>
  <c r="BT300" i="4"/>
  <c r="BT301" i="4"/>
  <c r="BT302" i="4"/>
  <c r="BT303" i="4"/>
  <c r="BT304" i="4"/>
  <c r="BS304" i="4" s="1"/>
  <c r="BT305" i="4"/>
  <c r="BS305" i="4" s="1"/>
  <c r="BT306" i="4"/>
  <c r="BS306" i="4" s="1"/>
  <c r="BT307" i="4"/>
  <c r="BS307" i="4" s="1"/>
  <c r="BT308" i="4"/>
  <c r="BS308" i="4" s="1"/>
  <c r="BT309" i="4"/>
  <c r="BS309" i="4" s="1"/>
  <c r="BT310" i="4"/>
  <c r="BS310" i="4" s="1"/>
  <c r="BT311" i="4"/>
  <c r="BS311" i="4" s="1"/>
  <c r="BT312" i="4"/>
  <c r="BT313" i="4"/>
  <c r="BT314" i="4"/>
  <c r="BS314" i="4" s="1"/>
  <c r="BT315" i="4"/>
  <c r="BT316" i="4"/>
  <c r="BT317" i="4"/>
  <c r="BS317" i="4" s="1"/>
  <c r="BT318" i="4"/>
  <c r="BT319" i="4"/>
  <c r="BT320" i="4"/>
  <c r="BT321" i="4"/>
  <c r="BT322" i="4"/>
  <c r="BT323" i="4"/>
  <c r="BT324" i="4"/>
  <c r="BS324" i="4" s="1"/>
  <c r="BT325" i="4"/>
  <c r="BS325" i="4" s="1"/>
  <c r="BT326" i="4"/>
  <c r="BS326" i="4" s="1"/>
  <c r="BT327" i="4"/>
  <c r="BS327" i="4" s="1"/>
  <c r="BT328" i="4"/>
  <c r="BS328" i="4" s="1"/>
  <c r="BT329" i="4"/>
  <c r="BS329" i="4" s="1"/>
  <c r="BT330" i="4"/>
  <c r="BS330" i="4" s="1"/>
  <c r="BT331" i="4"/>
  <c r="BS331" i="4" s="1"/>
  <c r="BT332" i="4"/>
  <c r="BT333" i="4"/>
  <c r="BT334" i="4"/>
  <c r="BS334" i="4" s="1"/>
  <c r="BT335" i="4"/>
  <c r="BT336" i="4"/>
  <c r="BS336" i="4" s="1"/>
  <c r="BT337" i="4"/>
  <c r="BS337" i="4" s="1"/>
  <c r="BT338" i="4"/>
  <c r="BS338" i="4" s="1"/>
  <c r="BT339" i="4"/>
  <c r="BT340" i="4"/>
  <c r="BT341" i="4"/>
  <c r="BT342" i="4"/>
  <c r="BT343" i="4"/>
  <c r="BT344" i="4"/>
  <c r="BT345" i="4"/>
  <c r="BT346" i="4"/>
  <c r="BT347" i="4"/>
  <c r="BT348" i="4"/>
  <c r="BT349" i="4"/>
  <c r="BT350" i="4"/>
  <c r="BS350" i="4" s="1"/>
  <c r="BT351" i="4"/>
  <c r="BS351" i="4" s="1"/>
  <c r="BT352" i="4"/>
  <c r="BT353" i="4"/>
  <c r="BT354" i="4"/>
  <c r="BT355" i="4"/>
  <c r="BT356" i="4"/>
  <c r="BS356" i="4" s="1"/>
  <c r="BT357" i="4"/>
  <c r="BT358" i="4"/>
  <c r="BS358" i="4" s="1"/>
  <c r="BT359" i="4"/>
  <c r="BT360" i="4"/>
  <c r="BT361" i="4"/>
  <c r="BT362" i="4"/>
  <c r="BT363" i="4"/>
  <c r="BT364" i="4"/>
  <c r="BT365" i="4"/>
  <c r="BS365" i="4" s="1"/>
  <c r="BT366" i="4"/>
  <c r="BS366" i="4" s="1"/>
  <c r="BT367" i="4"/>
  <c r="BS367" i="4" s="1"/>
  <c r="BT368" i="4"/>
  <c r="BS368" i="4" s="1"/>
  <c r="BT369" i="4"/>
  <c r="BS369" i="4" s="1"/>
  <c r="BT370" i="4"/>
  <c r="BS370" i="4" s="1"/>
  <c r="BT371" i="4"/>
  <c r="BS371" i="4" s="1"/>
  <c r="BT372" i="4"/>
  <c r="BT373" i="4"/>
  <c r="BS373" i="4" s="1"/>
  <c r="BT374" i="4"/>
  <c r="BS374" i="4" s="1"/>
  <c r="BT375" i="4"/>
  <c r="BT376" i="4"/>
  <c r="BT377" i="4"/>
  <c r="BS377" i="4" s="1"/>
  <c r="BT378" i="4"/>
  <c r="BT379" i="4"/>
  <c r="BT380" i="4"/>
  <c r="BT381" i="4"/>
  <c r="BT382" i="4"/>
  <c r="BT383" i="4"/>
  <c r="BT384" i="4"/>
  <c r="BT385" i="4"/>
  <c r="BS385" i="4" s="1"/>
  <c r="BT386" i="4"/>
  <c r="BS386" i="4" s="1"/>
  <c r="BT387" i="4"/>
  <c r="BS387" i="4" s="1"/>
  <c r="BT388" i="4"/>
  <c r="BS388" i="4" s="1"/>
  <c r="BT389" i="4"/>
  <c r="BS389" i="4" s="1"/>
  <c r="BT390" i="4"/>
  <c r="BS390" i="4" s="1"/>
  <c r="BT391" i="4"/>
  <c r="BS391" i="4" s="1"/>
  <c r="BT392" i="4"/>
  <c r="BT393" i="4"/>
  <c r="BS393" i="4" s="1"/>
  <c r="BT394" i="4"/>
  <c r="BS394" i="4" s="1"/>
  <c r="BT395" i="4"/>
  <c r="BT396" i="4"/>
  <c r="BT397" i="4"/>
  <c r="BS397" i="4" s="1"/>
  <c r="BT398" i="4"/>
  <c r="BS398" i="4" s="1"/>
  <c r="BT399" i="4"/>
  <c r="BT400" i="4"/>
  <c r="BT401" i="4"/>
  <c r="BT402" i="4"/>
  <c r="BT403" i="4"/>
  <c r="BT404" i="4"/>
  <c r="BT405" i="4"/>
  <c r="BT406" i="4"/>
  <c r="BT407" i="4"/>
  <c r="BT408" i="4"/>
  <c r="BT409" i="4"/>
  <c r="BT410" i="4"/>
  <c r="BS410" i="4" s="1"/>
  <c r="BT411" i="4"/>
  <c r="BS411" i="4" s="1"/>
  <c r="BT412" i="4"/>
  <c r="BT413" i="4"/>
  <c r="BT414" i="4"/>
  <c r="BT415" i="4"/>
  <c r="BT416" i="4"/>
  <c r="BT417" i="4"/>
  <c r="BT418" i="4"/>
  <c r="BS418" i="4" s="1"/>
  <c r="BT419" i="4"/>
  <c r="BT420" i="4"/>
  <c r="BT421" i="4"/>
  <c r="BT422" i="4"/>
  <c r="BT423" i="4"/>
  <c r="BT424" i="4"/>
  <c r="BT425" i="4"/>
  <c r="BT426" i="4"/>
  <c r="BS426" i="4" s="1"/>
  <c r="BT427" i="4"/>
  <c r="BS427" i="4" s="1"/>
  <c r="BT428" i="4"/>
  <c r="BS428" i="4" s="1"/>
  <c r="BT429" i="4"/>
  <c r="BS429" i="4" s="1"/>
  <c r="BT430" i="4"/>
  <c r="BT431" i="4"/>
  <c r="BT432" i="4"/>
  <c r="BT433" i="4"/>
  <c r="BT434" i="4"/>
  <c r="BT435" i="4"/>
  <c r="BT436" i="4"/>
  <c r="BT437" i="4"/>
  <c r="BS437" i="4" s="1"/>
  <c r="BT438" i="4"/>
  <c r="BS438" i="4" s="1"/>
  <c r="BT439" i="4"/>
  <c r="BT440" i="4"/>
  <c r="BT441" i="4"/>
  <c r="BT442" i="4"/>
  <c r="BT443" i="4"/>
  <c r="BT444" i="4"/>
  <c r="BT445" i="4"/>
  <c r="BT446" i="4"/>
  <c r="BS446" i="4" s="1"/>
  <c r="BT447" i="4"/>
  <c r="BS447" i="4" s="1"/>
  <c r="BT448" i="4"/>
  <c r="BS448" i="4" s="1"/>
  <c r="BT449" i="4"/>
  <c r="BS449" i="4" s="1"/>
  <c r="BT450" i="4"/>
  <c r="BS450" i="4" s="1"/>
  <c r="BT451" i="4"/>
  <c r="BS451" i="4" s="1"/>
  <c r="BT452" i="4"/>
  <c r="BT453" i="4"/>
  <c r="BT454" i="4"/>
  <c r="BT455" i="4"/>
  <c r="BT456" i="4"/>
  <c r="BT457" i="4"/>
  <c r="BS457" i="4" s="1"/>
  <c r="BT458" i="4"/>
  <c r="BT459" i="4"/>
  <c r="BT460" i="4"/>
  <c r="BT461" i="4"/>
  <c r="BS461" i="4" s="1"/>
  <c r="BT462" i="4"/>
  <c r="BS462" i="4" s="1"/>
  <c r="BT463" i="4"/>
  <c r="BS463" i="4" s="1"/>
  <c r="BT464" i="4"/>
  <c r="BS464" i="4" s="1"/>
  <c r="BT465" i="4"/>
  <c r="BS465" i="4" s="1"/>
  <c r="BT466" i="4"/>
  <c r="BS466" i="4" s="1"/>
  <c r="BT467" i="4"/>
  <c r="BS467" i="4" s="1"/>
  <c r="BT468" i="4"/>
  <c r="BS468" i="4" s="1"/>
  <c r="BT469" i="4"/>
  <c r="BS469" i="4" s="1"/>
  <c r="BT470" i="4"/>
  <c r="BS470" i="4" s="1"/>
  <c r="BT471" i="4"/>
  <c r="BS471" i="4" s="1"/>
  <c r="BT472" i="4"/>
  <c r="BT473" i="4"/>
  <c r="BT474" i="4"/>
  <c r="BT475" i="4"/>
  <c r="BT476" i="4"/>
  <c r="BT477" i="4"/>
  <c r="BT478" i="4"/>
  <c r="BT479" i="4"/>
  <c r="BT480" i="4"/>
  <c r="BT481" i="4"/>
  <c r="BS481" i="4" s="1"/>
  <c r="BT482" i="4"/>
  <c r="BS482" i="4" s="1"/>
  <c r="BT483" i="4"/>
  <c r="BS483" i="4" s="1"/>
  <c r="BT484" i="4"/>
  <c r="BS484" i="4" s="1"/>
  <c r="BT485" i="4"/>
  <c r="BS485" i="4" s="1"/>
  <c r="BT486" i="4"/>
  <c r="BS486" i="4" s="1"/>
  <c r="BT487" i="4"/>
  <c r="BS487" i="4" s="1"/>
  <c r="BT488" i="4"/>
  <c r="BS488" i="4" s="1"/>
  <c r="BT489" i="4"/>
  <c r="BS489" i="4" s="1"/>
  <c r="BT490" i="4"/>
  <c r="BT491" i="4"/>
  <c r="BS491" i="4" s="1"/>
  <c r="BT492" i="4"/>
  <c r="BT493" i="4"/>
  <c r="BT494" i="4"/>
  <c r="BT495" i="4"/>
  <c r="BT496" i="4"/>
  <c r="BS496" i="4" s="1"/>
  <c r="BT497" i="4"/>
  <c r="BS497" i="4" s="1"/>
  <c r="BT498" i="4"/>
  <c r="BS498" i="4" s="1"/>
  <c r="BT499" i="4"/>
  <c r="BT500" i="4"/>
  <c r="BT501" i="4"/>
  <c r="BT502" i="4"/>
  <c r="BT503" i="4"/>
  <c r="BT504" i="4"/>
  <c r="BT505" i="4"/>
  <c r="BT506" i="4"/>
  <c r="BT507" i="4"/>
  <c r="BS507" i="4" s="1"/>
  <c r="BT508" i="4"/>
  <c r="BS508" i="4" s="1"/>
  <c r="BT509" i="4"/>
  <c r="BS509" i="4" s="1"/>
  <c r="BT510" i="4"/>
  <c r="BS510" i="4" s="1"/>
  <c r="BT511" i="4"/>
  <c r="BS511" i="4" s="1"/>
  <c r="BT512" i="4"/>
  <c r="BT513" i="4"/>
  <c r="BT514" i="4"/>
  <c r="BT515" i="4"/>
  <c r="BT516" i="4"/>
  <c r="BT517" i="4"/>
  <c r="BS517" i="4" s="1"/>
  <c r="BT518" i="4"/>
  <c r="BS518" i="4" s="1"/>
  <c r="BT519" i="4"/>
  <c r="BT520" i="4"/>
  <c r="BT521" i="4"/>
  <c r="BS521" i="4" s="1"/>
  <c r="BT522" i="4"/>
  <c r="BS522" i="4" s="1"/>
  <c r="BT523" i="4"/>
  <c r="BS523" i="4" s="1"/>
  <c r="BT524" i="4"/>
  <c r="BS524" i="4" s="1"/>
  <c r="BT525" i="4"/>
  <c r="BS525" i="4" s="1"/>
  <c r="BT526" i="4"/>
  <c r="BS526" i="4" s="1"/>
  <c r="BT527" i="4"/>
  <c r="BS527" i="4" s="1"/>
  <c r="BT528" i="4"/>
  <c r="BS528" i="4" s="1"/>
  <c r="BT529" i="4"/>
  <c r="BS529" i="4" s="1"/>
  <c r="BT530" i="4"/>
  <c r="BS530" i="4" s="1"/>
  <c r="BT531" i="4"/>
  <c r="BS531" i="4" s="1"/>
  <c r="BT532" i="4"/>
  <c r="BT533" i="4"/>
  <c r="BT534" i="4"/>
  <c r="BT535" i="4"/>
  <c r="BT536" i="4"/>
  <c r="BT537" i="4"/>
  <c r="BT538" i="4"/>
  <c r="BT539" i="4"/>
  <c r="BT540" i="4"/>
  <c r="BT541" i="4"/>
  <c r="BS541" i="4" s="1"/>
  <c r="BT542" i="4"/>
  <c r="BS542" i="4" s="1"/>
  <c r="BT543" i="4"/>
  <c r="BS543" i="4" s="1"/>
  <c r="BT544" i="4"/>
  <c r="BS544" i="4" s="1"/>
  <c r="BT545" i="4"/>
  <c r="BS545" i="4" s="1"/>
  <c r="BT546" i="4"/>
  <c r="BS546" i="4" s="1"/>
  <c r="BT547" i="4"/>
  <c r="BS547" i="4" s="1"/>
  <c r="BT548" i="4"/>
  <c r="BS548" i="4" s="1"/>
  <c r="BT549" i="4"/>
  <c r="BS549" i="4" s="1"/>
  <c r="BT550" i="4"/>
  <c r="BS550" i="4" s="1"/>
  <c r="BT551" i="4"/>
  <c r="BS551" i="4" s="1"/>
  <c r="BT552" i="4"/>
  <c r="BT553" i="4"/>
  <c r="BT554" i="4"/>
  <c r="BT555" i="4"/>
  <c r="BS555" i="4" s="1"/>
  <c r="BT556" i="4"/>
  <c r="BS556" i="4" s="1"/>
  <c r="BT557" i="4"/>
  <c r="BT558" i="4"/>
  <c r="BS558" i="4" s="1"/>
  <c r="BT559" i="4"/>
  <c r="BT560" i="4"/>
  <c r="BT561" i="4"/>
  <c r="BT562" i="4"/>
  <c r="BT563" i="4"/>
  <c r="BT564" i="4"/>
  <c r="BT565" i="4"/>
  <c r="BT566" i="4"/>
  <c r="BT567" i="4"/>
  <c r="BT568" i="4"/>
  <c r="BS568" i="4" s="1"/>
  <c r="BT569" i="4"/>
  <c r="BS569" i="4" s="1"/>
  <c r="BT570" i="4"/>
  <c r="BS570" i="4" s="1"/>
  <c r="BT571" i="4"/>
  <c r="BS571" i="4" s="1"/>
  <c r="BT572" i="4"/>
  <c r="BT573" i="4"/>
  <c r="BT574" i="4"/>
  <c r="BT575" i="4"/>
  <c r="BS575" i="4" s="1"/>
  <c r="BT576" i="4"/>
  <c r="BS576" i="4" s="1"/>
  <c r="BT577" i="4"/>
  <c r="BS577" i="4" s="1"/>
  <c r="BT578" i="4"/>
  <c r="BS578" i="4" s="1"/>
  <c r="BT579" i="4"/>
  <c r="BT580" i="4"/>
  <c r="BT581" i="4"/>
  <c r="BT582" i="4"/>
  <c r="BS582" i="4" s="1"/>
  <c r="BT583" i="4"/>
  <c r="BS583" i="4" s="1"/>
  <c r="BT584" i="4"/>
  <c r="BS584" i="4" s="1"/>
  <c r="BT585" i="4"/>
  <c r="BS585" i="4" s="1"/>
  <c r="BT586" i="4"/>
  <c r="BS586" i="4" s="1"/>
  <c r="BT587" i="4"/>
  <c r="BS587" i="4" s="1"/>
  <c r="BT588" i="4"/>
  <c r="BS588" i="4" s="1"/>
  <c r="BT589" i="4"/>
  <c r="BS589" i="4" s="1"/>
  <c r="BT590" i="4"/>
  <c r="BS590" i="4" s="1"/>
  <c r="BT591" i="4"/>
  <c r="BS591" i="4" s="1"/>
  <c r="BT592" i="4"/>
  <c r="BT593" i="4"/>
  <c r="BT594" i="4"/>
  <c r="BT595" i="4"/>
  <c r="BT596" i="4"/>
  <c r="BT597" i="4"/>
  <c r="BT598" i="4"/>
  <c r="BT599" i="4"/>
  <c r="BT600" i="4"/>
  <c r="BS600" i="4" s="1"/>
  <c r="BT601" i="4"/>
  <c r="BT602" i="4"/>
  <c r="BS602" i="4" s="1"/>
  <c r="BT603" i="4"/>
  <c r="BS603" i="4" s="1"/>
  <c r="BT604" i="4"/>
  <c r="BS604" i="4" s="1"/>
  <c r="BT605" i="4"/>
  <c r="BS605" i="4" s="1"/>
  <c r="BT606" i="4"/>
  <c r="BS606" i="4" s="1"/>
  <c r="BT607" i="4"/>
  <c r="BS607" i="4" s="1"/>
  <c r="BT608" i="4"/>
  <c r="BS608" i="4" s="1"/>
  <c r="BT609" i="4"/>
  <c r="BS609" i="4" s="1"/>
  <c r="BT610" i="4"/>
  <c r="BS610" i="4" s="1"/>
  <c r="BT611" i="4"/>
  <c r="BS611" i="4" s="1"/>
  <c r="BT612" i="4"/>
  <c r="BT613" i="4"/>
  <c r="BT614" i="4"/>
  <c r="BT291" i="4"/>
  <c r="BS291" i="4" s="1"/>
  <c r="CB275" i="4"/>
  <c r="CB276" i="4"/>
  <c r="CB277" i="4"/>
  <c r="CB278" i="4"/>
  <c r="CA275" i="4"/>
  <c r="CA276" i="4"/>
  <c r="CA277" i="4"/>
  <c r="CA278" i="4"/>
  <c r="BZ275" i="4"/>
  <c r="BZ276" i="4"/>
  <c r="BZ277" i="4"/>
  <c r="BZ278" i="4"/>
  <c r="BZ279" i="4"/>
  <c r="BZ280" i="4"/>
  <c r="BZ281" i="4"/>
  <c r="BZ282" i="4"/>
  <c r="BZ283" i="4"/>
  <c r="BZ284" i="4"/>
  <c r="BZ285" i="4"/>
  <c r="BZ286" i="4"/>
  <c r="BZ287" i="4"/>
  <c r="BZ288" i="4"/>
  <c r="BZ289" i="4"/>
  <c r="BZ290" i="4"/>
  <c r="BY290" i="4" s="1"/>
  <c r="BZ291" i="4"/>
  <c r="BY291" i="4" s="1"/>
  <c r="BZ292" i="4"/>
  <c r="BY292" i="4" s="1"/>
  <c r="BZ293" i="4"/>
  <c r="BY293" i="4" s="1"/>
  <c r="BZ294" i="4"/>
  <c r="BY294" i="4" s="1"/>
  <c r="BZ295" i="4"/>
  <c r="BZ296" i="4"/>
  <c r="BZ297" i="4"/>
  <c r="BZ298" i="4"/>
  <c r="BZ299" i="4"/>
  <c r="BZ300" i="4"/>
  <c r="BZ301" i="4"/>
  <c r="BZ302" i="4"/>
  <c r="BZ303" i="4"/>
  <c r="BZ304" i="4"/>
  <c r="BZ305" i="4"/>
  <c r="BZ306" i="4"/>
  <c r="BZ307" i="4"/>
  <c r="BZ308" i="4"/>
  <c r="BZ309" i="4"/>
  <c r="BZ310" i="4"/>
  <c r="BY310" i="4" s="1"/>
  <c r="BZ311" i="4"/>
  <c r="BY311" i="4" s="1"/>
  <c r="BZ312" i="4"/>
  <c r="BY312" i="4" s="1"/>
  <c r="BZ313" i="4"/>
  <c r="BY313" i="4" s="1"/>
  <c r="BZ314" i="4"/>
  <c r="BY314" i="4" s="1"/>
  <c r="BZ315" i="4"/>
  <c r="BZ316" i="4"/>
  <c r="BZ317" i="4"/>
  <c r="BZ318" i="4"/>
  <c r="BZ319" i="4"/>
  <c r="BZ320" i="4"/>
  <c r="BZ321" i="4"/>
  <c r="BZ322" i="4"/>
  <c r="BZ323" i="4"/>
  <c r="BZ324" i="4"/>
  <c r="BZ325" i="4"/>
  <c r="BZ326" i="4"/>
  <c r="BZ327" i="4"/>
  <c r="BZ328" i="4"/>
  <c r="BZ329" i="4"/>
  <c r="BZ330" i="4"/>
  <c r="BY330" i="4" s="1"/>
  <c r="BZ331" i="4"/>
  <c r="BY331" i="4" s="1"/>
  <c r="BZ332" i="4"/>
  <c r="BY332" i="4" s="1"/>
  <c r="BZ333" i="4"/>
  <c r="BY333" i="4" s="1"/>
  <c r="BZ334" i="4"/>
  <c r="BY334" i="4" s="1"/>
  <c r="BZ335" i="4"/>
  <c r="BZ336" i="4"/>
  <c r="BZ337" i="4"/>
  <c r="BZ338" i="4"/>
  <c r="BZ339" i="4"/>
  <c r="BZ340" i="4"/>
  <c r="BZ341" i="4"/>
  <c r="BZ342" i="4"/>
  <c r="BZ343" i="4"/>
  <c r="BZ344" i="4"/>
  <c r="BZ345" i="4"/>
  <c r="BZ346" i="4"/>
  <c r="BZ347" i="4"/>
  <c r="BZ348" i="4"/>
  <c r="BZ349" i="4"/>
  <c r="BZ350" i="4"/>
  <c r="BY350" i="4" s="1"/>
  <c r="BZ351" i="4"/>
  <c r="BY351" i="4" s="1"/>
  <c r="BZ352" i="4"/>
  <c r="BY352" i="4" s="1"/>
  <c r="BZ353" i="4"/>
  <c r="BY353" i="4" s="1"/>
  <c r="BZ354" i="4"/>
  <c r="BY354" i="4" s="1"/>
  <c r="BZ355" i="4"/>
  <c r="BZ356" i="4"/>
  <c r="BZ357" i="4"/>
  <c r="BZ358" i="4"/>
  <c r="BZ359" i="4"/>
  <c r="BZ360" i="4"/>
  <c r="BZ361" i="4"/>
  <c r="BZ362" i="4"/>
  <c r="BZ363" i="4"/>
  <c r="BZ364" i="4"/>
  <c r="BZ365" i="4"/>
  <c r="BZ366" i="4"/>
  <c r="BZ367" i="4"/>
  <c r="BZ368" i="4"/>
  <c r="BZ369" i="4"/>
  <c r="BZ370" i="4"/>
  <c r="BY370" i="4" s="1"/>
  <c r="BZ371" i="4"/>
  <c r="BY371" i="4" s="1"/>
  <c r="BZ372" i="4"/>
  <c r="BY372" i="4" s="1"/>
  <c r="BZ373" i="4"/>
  <c r="BY373" i="4" s="1"/>
  <c r="BZ374" i="4"/>
  <c r="BY374" i="4" s="1"/>
  <c r="BZ375" i="4"/>
  <c r="BZ376" i="4"/>
  <c r="BZ377" i="4"/>
  <c r="BZ378" i="4"/>
  <c r="BZ379" i="4"/>
  <c r="BZ380" i="4"/>
  <c r="BZ381" i="4"/>
  <c r="BZ382" i="4"/>
  <c r="BZ383" i="4"/>
  <c r="BZ384" i="4"/>
  <c r="BZ385" i="4"/>
  <c r="BZ386" i="4"/>
  <c r="BZ387" i="4"/>
  <c r="BZ388" i="4"/>
  <c r="BZ389" i="4"/>
  <c r="BZ390" i="4"/>
  <c r="BY390" i="4" s="1"/>
  <c r="BZ391" i="4"/>
  <c r="BY391" i="4" s="1"/>
  <c r="BZ392" i="4"/>
  <c r="BY392" i="4" s="1"/>
  <c r="BZ393" i="4"/>
  <c r="BY393" i="4" s="1"/>
  <c r="BZ394" i="4"/>
  <c r="BY394" i="4" s="1"/>
  <c r="BZ395" i="4"/>
  <c r="BZ396" i="4"/>
  <c r="BZ397" i="4"/>
  <c r="BZ398" i="4"/>
  <c r="BZ399" i="4"/>
  <c r="BZ400" i="4"/>
  <c r="BZ401" i="4"/>
  <c r="BZ402" i="4"/>
  <c r="BZ403" i="4"/>
  <c r="BZ404" i="4"/>
  <c r="BZ405" i="4"/>
  <c r="BZ406" i="4"/>
  <c r="BZ407" i="4"/>
  <c r="BZ408" i="4"/>
  <c r="BZ409" i="4"/>
  <c r="BZ410" i="4"/>
  <c r="BY410" i="4" s="1"/>
  <c r="BZ411" i="4"/>
  <c r="BY411" i="4" s="1"/>
  <c r="BZ412" i="4"/>
  <c r="BY412" i="4" s="1"/>
  <c r="BZ413" i="4"/>
  <c r="BY413" i="4" s="1"/>
  <c r="BZ414" i="4"/>
  <c r="BY414" i="4" s="1"/>
  <c r="BZ415" i="4"/>
  <c r="BZ416" i="4"/>
  <c r="BZ417" i="4"/>
  <c r="BZ418" i="4"/>
  <c r="BZ419" i="4"/>
  <c r="BZ420" i="4"/>
  <c r="BZ421" i="4"/>
  <c r="BZ422" i="4"/>
  <c r="BZ423" i="4"/>
  <c r="BZ424" i="4"/>
  <c r="BZ425" i="4"/>
  <c r="BZ426" i="4"/>
  <c r="BZ427" i="4"/>
  <c r="BZ428" i="4"/>
  <c r="BZ429" i="4"/>
  <c r="BZ430" i="4"/>
  <c r="BY430" i="4" s="1"/>
  <c r="BZ431" i="4"/>
  <c r="BY431" i="4" s="1"/>
  <c r="BZ432" i="4"/>
  <c r="BY432" i="4" s="1"/>
  <c r="BZ433" i="4"/>
  <c r="BY433" i="4" s="1"/>
  <c r="BZ434" i="4"/>
  <c r="BY434" i="4" s="1"/>
  <c r="BZ435" i="4"/>
  <c r="BZ436" i="4"/>
  <c r="BZ437" i="4"/>
  <c r="BZ438" i="4"/>
  <c r="BZ439" i="4"/>
  <c r="BZ440" i="4"/>
  <c r="BZ441" i="4"/>
  <c r="BZ442" i="4"/>
  <c r="BZ443" i="4"/>
  <c r="BZ444" i="4"/>
  <c r="BZ445" i="4"/>
  <c r="BZ446" i="4"/>
  <c r="BZ447" i="4"/>
  <c r="BZ448" i="4"/>
  <c r="BZ449" i="4"/>
  <c r="BZ450" i="4"/>
  <c r="BY450" i="4" s="1"/>
  <c r="BZ451" i="4"/>
  <c r="BY451" i="4" s="1"/>
  <c r="BZ452" i="4"/>
  <c r="BY452" i="4" s="1"/>
  <c r="BZ453" i="4"/>
  <c r="BY453" i="4" s="1"/>
  <c r="BZ454" i="4"/>
  <c r="BY454" i="4" s="1"/>
  <c r="BZ455" i="4"/>
  <c r="BZ456" i="4"/>
  <c r="BZ457" i="4"/>
  <c r="BZ458" i="4"/>
  <c r="BZ459" i="4"/>
  <c r="BZ460" i="4"/>
  <c r="BZ461" i="4"/>
  <c r="BZ462" i="4"/>
  <c r="BZ463" i="4"/>
  <c r="BZ464" i="4"/>
  <c r="BZ465" i="4"/>
  <c r="BZ466" i="4"/>
  <c r="BZ467" i="4"/>
  <c r="BZ468" i="4"/>
  <c r="BZ469" i="4"/>
  <c r="BZ470" i="4"/>
  <c r="BY470" i="4" s="1"/>
  <c r="BZ471" i="4"/>
  <c r="BY471" i="4" s="1"/>
  <c r="BZ472" i="4"/>
  <c r="BY472" i="4" s="1"/>
  <c r="BZ473" i="4"/>
  <c r="BY473" i="4" s="1"/>
  <c r="BZ474" i="4"/>
  <c r="BY474" i="4" s="1"/>
  <c r="BZ475" i="4"/>
  <c r="BZ476" i="4"/>
  <c r="BZ477" i="4"/>
  <c r="BZ478" i="4"/>
  <c r="BZ479" i="4"/>
  <c r="BZ480" i="4"/>
  <c r="BZ481" i="4"/>
  <c r="BZ482" i="4"/>
  <c r="BZ483" i="4"/>
  <c r="BZ484" i="4"/>
  <c r="BZ485" i="4"/>
  <c r="BZ486" i="4"/>
  <c r="BZ487" i="4"/>
  <c r="BZ488" i="4"/>
  <c r="BZ489" i="4"/>
  <c r="BZ490" i="4"/>
  <c r="BY490" i="4" s="1"/>
  <c r="BZ491" i="4"/>
  <c r="BY491" i="4" s="1"/>
  <c r="BZ492" i="4"/>
  <c r="BY492" i="4" s="1"/>
  <c r="BZ493" i="4"/>
  <c r="BY493" i="4" s="1"/>
  <c r="BZ494" i="4"/>
  <c r="BY494" i="4" s="1"/>
  <c r="BZ495" i="4"/>
  <c r="BZ496" i="4"/>
  <c r="BZ497" i="4"/>
  <c r="BZ498" i="4"/>
  <c r="BZ499" i="4"/>
  <c r="BZ500" i="4"/>
  <c r="BZ501" i="4"/>
  <c r="BZ502" i="4"/>
  <c r="BZ503" i="4"/>
  <c r="BZ504" i="4"/>
  <c r="BZ505" i="4"/>
  <c r="BZ506" i="4"/>
  <c r="BZ507" i="4"/>
  <c r="BZ508" i="4"/>
  <c r="BZ509" i="4"/>
  <c r="BZ510" i="4"/>
  <c r="BY510" i="4" s="1"/>
  <c r="BZ511" i="4"/>
  <c r="BY511" i="4" s="1"/>
  <c r="BZ512" i="4"/>
  <c r="BY512" i="4" s="1"/>
  <c r="BZ513" i="4"/>
  <c r="BY513" i="4" s="1"/>
  <c r="BZ514" i="4"/>
  <c r="BY514" i="4" s="1"/>
  <c r="BZ515" i="4"/>
  <c r="BZ516" i="4"/>
  <c r="BZ517" i="4"/>
  <c r="BZ518" i="4"/>
  <c r="BZ519" i="4"/>
  <c r="BZ520" i="4"/>
  <c r="BZ521" i="4"/>
  <c r="BZ522" i="4"/>
  <c r="BZ523" i="4"/>
  <c r="BZ524" i="4"/>
  <c r="BZ525" i="4"/>
  <c r="BZ526" i="4"/>
  <c r="BZ527" i="4"/>
  <c r="BZ528" i="4"/>
  <c r="BZ529" i="4"/>
  <c r="BZ530" i="4"/>
  <c r="BY530" i="4" s="1"/>
  <c r="BZ531" i="4"/>
  <c r="BY531" i="4" s="1"/>
  <c r="BZ532" i="4"/>
  <c r="BY532" i="4" s="1"/>
  <c r="BZ533" i="4"/>
  <c r="BY533" i="4" s="1"/>
  <c r="BZ534" i="4"/>
  <c r="BY534" i="4" s="1"/>
  <c r="BZ535" i="4"/>
  <c r="BZ536" i="4"/>
  <c r="BZ537" i="4"/>
  <c r="BZ538" i="4"/>
  <c r="BZ539" i="4"/>
  <c r="BZ540" i="4"/>
  <c r="BZ541" i="4"/>
  <c r="BZ542" i="4"/>
  <c r="BZ543" i="4"/>
  <c r="BZ544" i="4"/>
  <c r="BZ545" i="4"/>
  <c r="BZ546" i="4"/>
  <c r="BZ547" i="4"/>
  <c r="BZ548" i="4"/>
  <c r="BZ549" i="4"/>
  <c r="BZ550" i="4"/>
  <c r="BY550" i="4" s="1"/>
  <c r="BZ551" i="4"/>
  <c r="BY551" i="4" s="1"/>
  <c r="BZ552" i="4"/>
  <c r="BY552" i="4" s="1"/>
  <c r="BZ553" i="4"/>
  <c r="BY553" i="4" s="1"/>
  <c r="BZ554" i="4"/>
  <c r="BY554" i="4" s="1"/>
  <c r="BZ555" i="4"/>
  <c r="BZ556" i="4"/>
  <c r="BZ557" i="4"/>
  <c r="BZ558" i="4"/>
  <c r="BZ559" i="4"/>
  <c r="BZ560" i="4"/>
  <c r="BZ561" i="4"/>
  <c r="BZ562" i="4"/>
  <c r="BZ563" i="4"/>
  <c r="BZ564" i="4"/>
  <c r="BZ565" i="4"/>
  <c r="BZ566" i="4"/>
  <c r="BZ567" i="4"/>
  <c r="BZ568" i="4"/>
  <c r="BZ569" i="4"/>
  <c r="BZ570" i="4"/>
  <c r="BY570" i="4" s="1"/>
  <c r="BZ571" i="4"/>
  <c r="BY571" i="4" s="1"/>
  <c r="BZ572" i="4"/>
  <c r="BY572" i="4" s="1"/>
  <c r="BZ573" i="4"/>
  <c r="BY573" i="4" s="1"/>
  <c r="BZ574" i="4"/>
  <c r="BY574" i="4" s="1"/>
  <c r="BZ575" i="4"/>
  <c r="BZ576" i="4"/>
  <c r="BZ577" i="4"/>
  <c r="BZ578" i="4"/>
  <c r="BZ579" i="4"/>
  <c r="BZ580" i="4"/>
  <c r="BZ581" i="4"/>
  <c r="BZ582" i="4"/>
  <c r="BZ583" i="4"/>
  <c r="BZ584" i="4"/>
  <c r="BZ585" i="4"/>
  <c r="BZ586" i="4"/>
  <c r="BZ587" i="4"/>
  <c r="BZ588" i="4"/>
  <c r="BZ589" i="4"/>
  <c r="BZ590" i="4"/>
  <c r="BY590" i="4" s="1"/>
  <c r="BZ591" i="4"/>
  <c r="BY591" i="4" s="1"/>
  <c r="BZ592" i="4"/>
  <c r="BY592" i="4" s="1"/>
  <c r="BZ593" i="4"/>
  <c r="BY593" i="4" s="1"/>
  <c r="BZ594" i="4"/>
  <c r="BY594" i="4" s="1"/>
  <c r="BZ595" i="4"/>
  <c r="BZ596" i="4"/>
  <c r="BZ597" i="4"/>
  <c r="BZ598" i="4"/>
  <c r="BZ599" i="4"/>
  <c r="BZ600" i="4"/>
  <c r="BZ601" i="4"/>
  <c r="BZ602" i="4"/>
  <c r="BZ603" i="4"/>
  <c r="BZ604" i="4"/>
  <c r="BZ605" i="4"/>
  <c r="BZ606" i="4"/>
  <c r="BZ607" i="4"/>
  <c r="BZ608" i="4"/>
  <c r="BZ609" i="4"/>
  <c r="BZ610" i="4"/>
  <c r="BY610" i="4" s="1"/>
  <c r="BZ611" i="4"/>
  <c r="BY611" i="4" s="1"/>
  <c r="BZ612" i="4"/>
  <c r="BY612" i="4" s="1"/>
  <c r="BZ613" i="4"/>
  <c r="BY613" i="4" s="1"/>
  <c r="BZ614" i="4"/>
  <c r="BY614" i="4" s="1"/>
  <c r="BZ615" i="4"/>
  <c r="BZ616" i="4"/>
  <c r="BZ617" i="4"/>
  <c r="BZ618" i="4"/>
  <c r="BZ619" i="4"/>
  <c r="BY275" i="4"/>
  <c r="BY276" i="4"/>
  <c r="BY277" i="4"/>
  <c r="BY278" i="4"/>
  <c r="BY279" i="4"/>
  <c r="BY280" i="4"/>
  <c r="BY281" i="4"/>
  <c r="BY282" i="4"/>
  <c r="BY283" i="4"/>
  <c r="BY284" i="4"/>
  <c r="BY285" i="4"/>
  <c r="BY286" i="4"/>
  <c r="BY287" i="4"/>
  <c r="BY288" i="4"/>
  <c r="BY289" i="4"/>
  <c r="BY295" i="4"/>
  <c r="BY296" i="4"/>
  <c r="BY297" i="4"/>
  <c r="BY298" i="4"/>
  <c r="BY299" i="4"/>
  <c r="BY300" i="4"/>
  <c r="BY301" i="4"/>
  <c r="BY302" i="4"/>
  <c r="BY303" i="4"/>
  <c r="BY304" i="4"/>
  <c r="BY305" i="4"/>
  <c r="BY306" i="4"/>
  <c r="BY307" i="4"/>
  <c r="BY308" i="4"/>
  <c r="BY309" i="4"/>
  <c r="BY315" i="4"/>
  <c r="BY316" i="4"/>
  <c r="BY317" i="4"/>
  <c r="BY318" i="4"/>
  <c r="BY319" i="4"/>
  <c r="BY320" i="4"/>
  <c r="BY321" i="4"/>
  <c r="BY322" i="4"/>
  <c r="BY323" i="4"/>
  <c r="BY324" i="4"/>
  <c r="BY325" i="4"/>
  <c r="BY326" i="4"/>
  <c r="BY327" i="4"/>
  <c r="BY328" i="4"/>
  <c r="BY329" i="4"/>
  <c r="BY335" i="4"/>
  <c r="BY336" i="4"/>
  <c r="BY337" i="4"/>
  <c r="BY338" i="4"/>
  <c r="BY339" i="4"/>
  <c r="BY340" i="4"/>
  <c r="BY341" i="4"/>
  <c r="BY342" i="4"/>
  <c r="BY343" i="4"/>
  <c r="BY344" i="4"/>
  <c r="BY345" i="4"/>
  <c r="BY346" i="4"/>
  <c r="BY347" i="4"/>
  <c r="BY348" i="4"/>
  <c r="BY349" i="4"/>
  <c r="BY355" i="4"/>
  <c r="BY356" i="4"/>
  <c r="BY357" i="4"/>
  <c r="BY358" i="4"/>
  <c r="BY359" i="4"/>
  <c r="BY360" i="4"/>
  <c r="BY361" i="4"/>
  <c r="BY362" i="4"/>
  <c r="BY363" i="4"/>
  <c r="BY364" i="4"/>
  <c r="BY365" i="4"/>
  <c r="BY366" i="4"/>
  <c r="BY367" i="4"/>
  <c r="BY368" i="4"/>
  <c r="BY369" i="4"/>
  <c r="BY375" i="4"/>
  <c r="BY376" i="4"/>
  <c r="BY377" i="4"/>
  <c r="BY378" i="4"/>
  <c r="BY379" i="4"/>
  <c r="BY380" i="4"/>
  <c r="BY381" i="4"/>
  <c r="BY382" i="4"/>
  <c r="BY383" i="4"/>
  <c r="BY384" i="4"/>
  <c r="BY385" i="4"/>
  <c r="BY386" i="4"/>
  <c r="BY387" i="4"/>
  <c r="BY388" i="4"/>
  <c r="BY389" i="4"/>
  <c r="BY395" i="4"/>
  <c r="BY396" i="4"/>
  <c r="BY397" i="4"/>
  <c r="BY398" i="4"/>
  <c r="BY399" i="4"/>
  <c r="BY400" i="4"/>
  <c r="BY401" i="4"/>
  <c r="BY402" i="4"/>
  <c r="BY403" i="4"/>
  <c r="BY404" i="4"/>
  <c r="BY405" i="4"/>
  <c r="BY406" i="4"/>
  <c r="BY407" i="4"/>
  <c r="BY408" i="4"/>
  <c r="BY409" i="4"/>
  <c r="BY415" i="4"/>
  <c r="BY416" i="4"/>
  <c r="BY417" i="4"/>
  <c r="BY418" i="4"/>
  <c r="BY419" i="4"/>
  <c r="BY420" i="4"/>
  <c r="BY421" i="4"/>
  <c r="BY422" i="4"/>
  <c r="BY423" i="4"/>
  <c r="BY424" i="4"/>
  <c r="BY425" i="4"/>
  <c r="BY426" i="4"/>
  <c r="BY427" i="4"/>
  <c r="BY428" i="4"/>
  <c r="BY429" i="4"/>
  <c r="BY435" i="4"/>
  <c r="BY436" i="4"/>
  <c r="BY437" i="4"/>
  <c r="BY438" i="4"/>
  <c r="BY439" i="4"/>
  <c r="BY440" i="4"/>
  <c r="BY441" i="4"/>
  <c r="BY442" i="4"/>
  <c r="BY443" i="4"/>
  <c r="BY444" i="4"/>
  <c r="BY445" i="4"/>
  <c r="BY446" i="4"/>
  <c r="BY447" i="4"/>
  <c r="BY448" i="4"/>
  <c r="BY449" i="4"/>
  <c r="BY455" i="4"/>
  <c r="BY456" i="4"/>
  <c r="BY457" i="4"/>
  <c r="BY458" i="4"/>
  <c r="BY459" i="4"/>
  <c r="BY460" i="4"/>
  <c r="BY461" i="4"/>
  <c r="BY462" i="4"/>
  <c r="BY463" i="4"/>
  <c r="BY464" i="4"/>
  <c r="BY465" i="4"/>
  <c r="BY466" i="4"/>
  <c r="BY467" i="4"/>
  <c r="BY468" i="4"/>
  <c r="BY469" i="4"/>
  <c r="BY475" i="4"/>
  <c r="BY476" i="4"/>
  <c r="BY477" i="4"/>
  <c r="BY478" i="4"/>
  <c r="BY479" i="4"/>
  <c r="BY480" i="4"/>
  <c r="BY481" i="4"/>
  <c r="BY482" i="4"/>
  <c r="BY483" i="4"/>
  <c r="BY484" i="4"/>
  <c r="BY485" i="4"/>
  <c r="BY486" i="4"/>
  <c r="BY487" i="4"/>
  <c r="BY488" i="4"/>
  <c r="BY489" i="4"/>
  <c r="BY495" i="4"/>
  <c r="BY496" i="4"/>
  <c r="BY497" i="4"/>
  <c r="BY498" i="4"/>
  <c r="BY499" i="4"/>
  <c r="BY500" i="4"/>
  <c r="BY501" i="4"/>
  <c r="BY502" i="4"/>
  <c r="BY503" i="4"/>
  <c r="BY504" i="4"/>
  <c r="BY505" i="4"/>
  <c r="BY506" i="4"/>
  <c r="BY507" i="4"/>
  <c r="BY508" i="4"/>
  <c r="BY509" i="4"/>
  <c r="BY515" i="4"/>
  <c r="BY516" i="4"/>
  <c r="BY517" i="4"/>
  <c r="BY518" i="4"/>
  <c r="BY519" i="4"/>
  <c r="BY520" i="4"/>
  <c r="BY521" i="4"/>
  <c r="BY522" i="4"/>
  <c r="BY523" i="4"/>
  <c r="BY524" i="4"/>
  <c r="BY525" i="4"/>
  <c r="BY526" i="4"/>
  <c r="BY527" i="4"/>
  <c r="BY528" i="4"/>
  <c r="BY529" i="4"/>
  <c r="BY535" i="4"/>
  <c r="BY536" i="4"/>
  <c r="BY537" i="4"/>
  <c r="BY538" i="4"/>
  <c r="BY539" i="4"/>
  <c r="BY540" i="4"/>
  <c r="BY541" i="4"/>
  <c r="BY542" i="4"/>
  <c r="BY543" i="4"/>
  <c r="BY544" i="4"/>
  <c r="BY545" i="4"/>
  <c r="BY546" i="4"/>
  <c r="BY547" i="4"/>
  <c r="BY548" i="4"/>
  <c r="BY549" i="4"/>
  <c r="BY555" i="4"/>
  <c r="BY556" i="4"/>
  <c r="BY557" i="4"/>
  <c r="BY558" i="4"/>
  <c r="BY559" i="4"/>
  <c r="BY560" i="4"/>
  <c r="BY561" i="4"/>
  <c r="BY562" i="4"/>
  <c r="BY563" i="4"/>
  <c r="BY564" i="4"/>
  <c r="BY565" i="4"/>
  <c r="BY566" i="4"/>
  <c r="BY567" i="4"/>
  <c r="BY568" i="4"/>
  <c r="BY569" i="4"/>
  <c r="BY575" i="4"/>
  <c r="BY576" i="4"/>
  <c r="BY577" i="4"/>
  <c r="BY578" i="4"/>
  <c r="BY579" i="4"/>
  <c r="BY580" i="4"/>
  <c r="BY581" i="4"/>
  <c r="BY582" i="4"/>
  <c r="BY583" i="4"/>
  <c r="BY584" i="4"/>
  <c r="BY585" i="4"/>
  <c r="BY586" i="4"/>
  <c r="BY587" i="4"/>
  <c r="BY588" i="4"/>
  <c r="BY589" i="4"/>
  <c r="BY595" i="4"/>
  <c r="BY596" i="4"/>
  <c r="BY597" i="4"/>
  <c r="BY598" i="4"/>
  <c r="BY599" i="4"/>
  <c r="BY600" i="4"/>
  <c r="BY601" i="4"/>
  <c r="BY602" i="4"/>
  <c r="BY603" i="4"/>
  <c r="BY604" i="4"/>
  <c r="BY605" i="4"/>
  <c r="BY606" i="4"/>
  <c r="BY607" i="4"/>
  <c r="BY608" i="4"/>
  <c r="BY609" i="4"/>
  <c r="BX275" i="4"/>
  <c r="BX276" i="4"/>
  <c r="BX277" i="4"/>
  <c r="BW277" i="4" s="1"/>
  <c r="BX278" i="4"/>
  <c r="BW278" i="4" s="1"/>
  <c r="BX279" i="4"/>
  <c r="BW279" i="4" s="1"/>
  <c r="BX280" i="4"/>
  <c r="BW280" i="4" s="1"/>
  <c r="BX281" i="4"/>
  <c r="BW281" i="4" s="1"/>
  <c r="BX282" i="4"/>
  <c r="BX283" i="4"/>
  <c r="BX284" i="4"/>
  <c r="BX285" i="4"/>
  <c r="BX286" i="4"/>
  <c r="BX287" i="4"/>
  <c r="BX288" i="4"/>
  <c r="BX289" i="4"/>
  <c r="BX290" i="4"/>
  <c r="BW290" i="4" s="1"/>
  <c r="BX291" i="4"/>
  <c r="BW291" i="4" s="1"/>
  <c r="BX292" i="4"/>
  <c r="BW292" i="4" s="1"/>
  <c r="BX293" i="4"/>
  <c r="BW293" i="4" s="1"/>
  <c r="BX294" i="4"/>
  <c r="BW294" i="4" s="1"/>
  <c r="BX295" i="4"/>
  <c r="BX296" i="4"/>
  <c r="BX297" i="4"/>
  <c r="BW297" i="4" s="1"/>
  <c r="BX298" i="4"/>
  <c r="BW298" i="4" s="1"/>
  <c r="BX299" i="4"/>
  <c r="BW299" i="4" s="1"/>
  <c r="BX300" i="4"/>
  <c r="BW300" i="4" s="1"/>
  <c r="BX301" i="4"/>
  <c r="BW301" i="4" s="1"/>
  <c r="BX302" i="4"/>
  <c r="BX303" i="4"/>
  <c r="BX304" i="4"/>
  <c r="BX305" i="4"/>
  <c r="BX306" i="4"/>
  <c r="BX307" i="4"/>
  <c r="BW307" i="4" s="1"/>
  <c r="BX308" i="4"/>
  <c r="BW308" i="4" s="1"/>
  <c r="BX309" i="4"/>
  <c r="BW309" i="4" s="1"/>
  <c r="BX310" i="4"/>
  <c r="BW310" i="4" s="1"/>
  <c r="BX311" i="4"/>
  <c r="BW311" i="4" s="1"/>
  <c r="BX312" i="4"/>
  <c r="BW312" i="4" s="1"/>
  <c r="BX313" i="4"/>
  <c r="BW313" i="4" s="1"/>
  <c r="BX314" i="4"/>
  <c r="BW314" i="4" s="1"/>
  <c r="BX315" i="4"/>
  <c r="BX316" i="4"/>
  <c r="BX317" i="4"/>
  <c r="BW317" i="4" s="1"/>
  <c r="BX318" i="4"/>
  <c r="BW318" i="4" s="1"/>
  <c r="BX319" i="4"/>
  <c r="BW319" i="4" s="1"/>
  <c r="BX320" i="4"/>
  <c r="BW320" i="4" s="1"/>
  <c r="BX321" i="4"/>
  <c r="BW321" i="4" s="1"/>
  <c r="BX322" i="4"/>
  <c r="BX323" i="4"/>
  <c r="BX324" i="4"/>
  <c r="BX325" i="4"/>
  <c r="BX326" i="4"/>
  <c r="BX327" i="4"/>
  <c r="BX328" i="4"/>
  <c r="BW328" i="4" s="1"/>
  <c r="BX329" i="4"/>
  <c r="BW329" i="4" s="1"/>
  <c r="BX330" i="4"/>
  <c r="BW330" i="4" s="1"/>
  <c r="BX331" i="4"/>
  <c r="BW331" i="4" s="1"/>
  <c r="BX332" i="4"/>
  <c r="BW332" i="4" s="1"/>
  <c r="BX333" i="4"/>
  <c r="BW333" i="4" s="1"/>
  <c r="BX334" i="4"/>
  <c r="BW334" i="4" s="1"/>
  <c r="BX335" i="4"/>
  <c r="BX336" i="4"/>
  <c r="BX337" i="4"/>
  <c r="BW337" i="4" s="1"/>
  <c r="BX338" i="4"/>
  <c r="BW338" i="4" s="1"/>
  <c r="BX339" i="4"/>
  <c r="BW339" i="4" s="1"/>
  <c r="BX340" i="4"/>
  <c r="BW340" i="4" s="1"/>
  <c r="BX341" i="4"/>
  <c r="BW341" i="4" s="1"/>
  <c r="BX342" i="4"/>
  <c r="BX343" i="4"/>
  <c r="BX344" i="4"/>
  <c r="BX345" i="4"/>
  <c r="BX346" i="4"/>
  <c r="BX347" i="4"/>
  <c r="BW347" i="4" s="1"/>
  <c r="BX348" i="4"/>
  <c r="BW348" i="4" s="1"/>
  <c r="BX349" i="4"/>
  <c r="BW349" i="4" s="1"/>
  <c r="BX350" i="4"/>
  <c r="BW350" i="4" s="1"/>
  <c r="BX351" i="4"/>
  <c r="BW351" i="4" s="1"/>
  <c r="BX352" i="4"/>
  <c r="BW352" i="4" s="1"/>
  <c r="BX353" i="4"/>
  <c r="BW353" i="4" s="1"/>
  <c r="BX354" i="4"/>
  <c r="BW354" i="4" s="1"/>
  <c r="BX355" i="4"/>
  <c r="BX356" i="4"/>
  <c r="BX357" i="4"/>
  <c r="BW357" i="4" s="1"/>
  <c r="BX358" i="4"/>
  <c r="BW358" i="4" s="1"/>
  <c r="BX359" i="4"/>
  <c r="BW359" i="4" s="1"/>
  <c r="BX360" i="4"/>
  <c r="BW360" i="4" s="1"/>
  <c r="BX361" i="4"/>
  <c r="BW361" i="4" s="1"/>
  <c r="BX362" i="4"/>
  <c r="BX363" i="4"/>
  <c r="BX364" i="4"/>
  <c r="BX365" i="4"/>
  <c r="BX366" i="4"/>
  <c r="BX367" i="4"/>
  <c r="BX368" i="4"/>
  <c r="BX369" i="4"/>
  <c r="BX370" i="4"/>
  <c r="BW370" i="4" s="1"/>
  <c r="BX371" i="4"/>
  <c r="BW371" i="4" s="1"/>
  <c r="BX372" i="4"/>
  <c r="BW372" i="4" s="1"/>
  <c r="BX373" i="4"/>
  <c r="BW373" i="4" s="1"/>
  <c r="BX374" i="4"/>
  <c r="BW374" i="4" s="1"/>
  <c r="BX375" i="4"/>
  <c r="BX376" i="4"/>
  <c r="BX377" i="4"/>
  <c r="BW377" i="4" s="1"/>
  <c r="BX378" i="4"/>
  <c r="BW378" i="4" s="1"/>
  <c r="BX379" i="4"/>
  <c r="BW379" i="4" s="1"/>
  <c r="BX380" i="4"/>
  <c r="BW380" i="4" s="1"/>
  <c r="BX381" i="4"/>
  <c r="BW381" i="4" s="1"/>
  <c r="BX382" i="4"/>
  <c r="BX383" i="4"/>
  <c r="BX384" i="4"/>
  <c r="BX385" i="4"/>
  <c r="BX386" i="4"/>
  <c r="BX387" i="4"/>
  <c r="BW387" i="4" s="1"/>
  <c r="BX388" i="4"/>
  <c r="BW388" i="4" s="1"/>
  <c r="BX389" i="4"/>
  <c r="BW389" i="4" s="1"/>
  <c r="BX390" i="4"/>
  <c r="BW390" i="4" s="1"/>
  <c r="BX391" i="4"/>
  <c r="BW391" i="4" s="1"/>
  <c r="BX392" i="4"/>
  <c r="BW392" i="4" s="1"/>
  <c r="BX393" i="4"/>
  <c r="BW393" i="4" s="1"/>
  <c r="BX394" i="4"/>
  <c r="BW394" i="4" s="1"/>
  <c r="BX395" i="4"/>
  <c r="BX396" i="4"/>
  <c r="BX397" i="4"/>
  <c r="BW397" i="4" s="1"/>
  <c r="BX398" i="4"/>
  <c r="BW398" i="4" s="1"/>
  <c r="BX399" i="4"/>
  <c r="BW399" i="4" s="1"/>
  <c r="BX400" i="4"/>
  <c r="BW400" i="4" s="1"/>
  <c r="BX401" i="4"/>
  <c r="BW401" i="4" s="1"/>
  <c r="BX402" i="4"/>
  <c r="BX403" i="4"/>
  <c r="BX404" i="4"/>
  <c r="BX405" i="4"/>
  <c r="BX406" i="4"/>
  <c r="BX407" i="4"/>
  <c r="BX408" i="4"/>
  <c r="BX409" i="4"/>
  <c r="BX410" i="4"/>
  <c r="BW410" i="4" s="1"/>
  <c r="BX411" i="4"/>
  <c r="BW411" i="4" s="1"/>
  <c r="BX412" i="4"/>
  <c r="BW412" i="4" s="1"/>
  <c r="BX413" i="4"/>
  <c r="BW413" i="4" s="1"/>
  <c r="BX414" i="4"/>
  <c r="BW414" i="4" s="1"/>
  <c r="BX415" i="4"/>
  <c r="BX416" i="4"/>
  <c r="BX417" i="4"/>
  <c r="BW417" i="4" s="1"/>
  <c r="BX418" i="4"/>
  <c r="BW418" i="4" s="1"/>
  <c r="BX419" i="4"/>
  <c r="BW419" i="4" s="1"/>
  <c r="BX420" i="4"/>
  <c r="BW420" i="4" s="1"/>
  <c r="BX421" i="4"/>
  <c r="BW421" i="4" s="1"/>
  <c r="BX422" i="4"/>
  <c r="BX423" i="4"/>
  <c r="BX424" i="4"/>
  <c r="BX425" i="4"/>
  <c r="BX426" i="4"/>
  <c r="BX427" i="4"/>
  <c r="BW427" i="4" s="1"/>
  <c r="BX428" i="4"/>
  <c r="BW428" i="4" s="1"/>
  <c r="BX429" i="4"/>
  <c r="BW429" i="4" s="1"/>
  <c r="BX430" i="4"/>
  <c r="BW430" i="4" s="1"/>
  <c r="BX431" i="4"/>
  <c r="BW431" i="4" s="1"/>
  <c r="BX432" i="4"/>
  <c r="BW432" i="4" s="1"/>
  <c r="BX433" i="4"/>
  <c r="BW433" i="4" s="1"/>
  <c r="BX434" i="4"/>
  <c r="BW434" i="4" s="1"/>
  <c r="BX435" i="4"/>
  <c r="BX436" i="4"/>
  <c r="BX437" i="4"/>
  <c r="BW437" i="4" s="1"/>
  <c r="BX438" i="4"/>
  <c r="BW438" i="4" s="1"/>
  <c r="BX439" i="4"/>
  <c r="BW439" i="4" s="1"/>
  <c r="BX440" i="4"/>
  <c r="BW440" i="4" s="1"/>
  <c r="BX441" i="4"/>
  <c r="BW441" i="4" s="1"/>
  <c r="BX442" i="4"/>
  <c r="BX443" i="4"/>
  <c r="BX444" i="4"/>
  <c r="BX445" i="4"/>
  <c r="BX446" i="4"/>
  <c r="BX447" i="4"/>
  <c r="BX448" i="4"/>
  <c r="BX449" i="4"/>
  <c r="BX450" i="4"/>
  <c r="BW450" i="4" s="1"/>
  <c r="BX451" i="4"/>
  <c r="BW451" i="4" s="1"/>
  <c r="BX452" i="4"/>
  <c r="BW452" i="4" s="1"/>
  <c r="BX453" i="4"/>
  <c r="BW453" i="4" s="1"/>
  <c r="BX454" i="4"/>
  <c r="BW454" i="4" s="1"/>
  <c r="BX455" i="4"/>
  <c r="BX456" i="4"/>
  <c r="BX457" i="4"/>
  <c r="BW457" i="4" s="1"/>
  <c r="BX458" i="4"/>
  <c r="BW458" i="4" s="1"/>
  <c r="BX459" i="4"/>
  <c r="BW459" i="4" s="1"/>
  <c r="BX460" i="4"/>
  <c r="BW460" i="4" s="1"/>
  <c r="BX461" i="4"/>
  <c r="BW461" i="4" s="1"/>
  <c r="BX462" i="4"/>
  <c r="BX463" i="4"/>
  <c r="BX464" i="4"/>
  <c r="BX465" i="4"/>
  <c r="BX466" i="4"/>
  <c r="BX467" i="4"/>
  <c r="BW467" i="4" s="1"/>
  <c r="BX468" i="4"/>
  <c r="BW468" i="4" s="1"/>
  <c r="BX469" i="4"/>
  <c r="BW469" i="4" s="1"/>
  <c r="BX470" i="4"/>
  <c r="BW470" i="4" s="1"/>
  <c r="BX471" i="4"/>
  <c r="BW471" i="4" s="1"/>
  <c r="BX472" i="4"/>
  <c r="BW472" i="4" s="1"/>
  <c r="BX473" i="4"/>
  <c r="BW473" i="4" s="1"/>
  <c r="BX474" i="4"/>
  <c r="BW474" i="4" s="1"/>
  <c r="BX475" i="4"/>
  <c r="BX476" i="4"/>
  <c r="BX477" i="4"/>
  <c r="BW477" i="4" s="1"/>
  <c r="BX478" i="4"/>
  <c r="BW478" i="4" s="1"/>
  <c r="BX479" i="4"/>
  <c r="BW479" i="4" s="1"/>
  <c r="BX480" i="4"/>
  <c r="BW480" i="4" s="1"/>
  <c r="BX481" i="4"/>
  <c r="BW481" i="4" s="1"/>
  <c r="BX482" i="4"/>
  <c r="BX483" i="4"/>
  <c r="BX484" i="4"/>
  <c r="BX485" i="4"/>
  <c r="BX486" i="4"/>
  <c r="BX487" i="4"/>
  <c r="BX488" i="4"/>
  <c r="BX489" i="4"/>
  <c r="BX490" i="4"/>
  <c r="BW490" i="4" s="1"/>
  <c r="BX491" i="4"/>
  <c r="BW491" i="4" s="1"/>
  <c r="BX492" i="4"/>
  <c r="BW492" i="4" s="1"/>
  <c r="BX493" i="4"/>
  <c r="BW493" i="4" s="1"/>
  <c r="BX494" i="4"/>
  <c r="BW494" i="4" s="1"/>
  <c r="BX495" i="4"/>
  <c r="BX496" i="4"/>
  <c r="BX497" i="4"/>
  <c r="BW497" i="4" s="1"/>
  <c r="BX498" i="4"/>
  <c r="BW498" i="4" s="1"/>
  <c r="BX499" i="4"/>
  <c r="BW499" i="4" s="1"/>
  <c r="BX500" i="4"/>
  <c r="BW500" i="4" s="1"/>
  <c r="BX501" i="4"/>
  <c r="BW501" i="4" s="1"/>
  <c r="BX502" i="4"/>
  <c r="BX503" i="4"/>
  <c r="BX504" i="4"/>
  <c r="BX505" i="4"/>
  <c r="BX506" i="4"/>
  <c r="BX507" i="4"/>
  <c r="BW507" i="4" s="1"/>
  <c r="BX508" i="4"/>
  <c r="BW508" i="4" s="1"/>
  <c r="BX509" i="4"/>
  <c r="BW509" i="4" s="1"/>
  <c r="BX510" i="4"/>
  <c r="BW510" i="4" s="1"/>
  <c r="BX511" i="4"/>
  <c r="BW511" i="4" s="1"/>
  <c r="BX512" i="4"/>
  <c r="BW512" i="4" s="1"/>
  <c r="BX513" i="4"/>
  <c r="BW513" i="4" s="1"/>
  <c r="BX514" i="4"/>
  <c r="BW514" i="4" s="1"/>
  <c r="BX515" i="4"/>
  <c r="BX516" i="4"/>
  <c r="BX517" i="4"/>
  <c r="BW517" i="4" s="1"/>
  <c r="BX518" i="4"/>
  <c r="BW518" i="4" s="1"/>
  <c r="BX519" i="4"/>
  <c r="BW519" i="4" s="1"/>
  <c r="BX520" i="4"/>
  <c r="BW520" i="4" s="1"/>
  <c r="BX521" i="4"/>
  <c r="BW521" i="4" s="1"/>
  <c r="BX522" i="4"/>
  <c r="BX523" i="4"/>
  <c r="BX524" i="4"/>
  <c r="BX525" i="4"/>
  <c r="BX526" i="4"/>
  <c r="BX527" i="4"/>
  <c r="BX528" i="4"/>
  <c r="BX529" i="4"/>
  <c r="BX530" i="4"/>
  <c r="BW530" i="4" s="1"/>
  <c r="BX531" i="4"/>
  <c r="BW531" i="4" s="1"/>
  <c r="BX532" i="4"/>
  <c r="BW532" i="4" s="1"/>
  <c r="BX533" i="4"/>
  <c r="BW533" i="4" s="1"/>
  <c r="BX534" i="4"/>
  <c r="BW534" i="4" s="1"/>
  <c r="BX535" i="4"/>
  <c r="BX536" i="4"/>
  <c r="BX537" i="4"/>
  <c r="BW537" i="4" s="1"/>
  <c r="BX538" i="4"/>
  <c r="BW538" i="4" s="1"/>
  <c r="BX539" i="4"/>
  <c r="BW539" i="4" s="1"/>
  <c r="BX540" i="4"/>
  <c r="BW540" i="4" s="1"/>
  <c r="BX541" i="4"/>
  <c r="BW541" i="4" s="1"/>
  <c r="BX542" i="4"/>
  <c r="BX543" i="4"/>
  <c r="BX544" i="4"/>
  <c r="BX545" i="4"/>
  <c r="BX546" i="4"/>
  <c r="BX547" i="4"/>
  <c r="BW547" i="4" s="1"/>
  <c r="BX548" i="4"/>
  <c r="BW548" i="4" s="1"/>
  <c r="BX549" i="4"/>
  <c r="BW549" i="4" s="1"/>
  <c r="BX550" i="4"/>
  <c r="BW550" i="4" s="1"/>
  <c r="BX551" i="4"/>
  <c r="BW551" i="4" s="1"/>
  <c r="BX552" i="4"/>
  <c r="BW552" i="4" s="1"/>
  <c r="BX553" i="4"/>
  <c r="BW553" i="4" s="1"/>
  <c r="BX554" i="4"/>
  <c r="BW554" i="4" s="1"/>
  <c r="BX555" i="4"/>
  <c r="BX556" i="4"/>
  <c r="BX557" i="4"/>
  <c r="BW557" i="4" s="1"/>
  <c r="BX558" i="4"/>
  <c r="BW558" i="4" s="1"/>
  <c r="BX559" i="4"/>
  <c r="BW559" i="4" s="1"/>
  <c r="BX560" i="4"/>
  <c r="BW560" i="4" s="1"/>
  <c r="BX561" i="4"/>
  <c r="BW561" i="4" s="1"/>
  <c r="BX562" i="4"/>
  <c r="BX563" i="4"/>
  <c r="BX564" i="4"/>
  <c r="BX565" i="4"/>
  <c r="BX566" i="4"/>
  <c r="BX567" i="4"/>
  <c r="BX568" i="4"/>
  <c r="BX569" i="4"/>
  <c r="BX570" i="4"/>
  <c r="BW570" i="4" s="1"/>
  <c r="BX571" i="4"/>
  <c r="BW571" i="4" s="1"/>
  <c r="BX572" i="4"/>
  <c r="BW572" i="4" s="1"/>
  <c r="BX573" i="4"/>
  <c r="BW573" i="4" s="1"/>
  <c r="BX574" i="4"/>
  <c r="BW574" i="4" s="1"/>
  <c r="BX575" i="4"/>
  <c r="BX576" i="4"/>
  <c r="BX577" i="4"/>
  <c r="BW577" i="4" s="1"/>
  <c r="BX578" i="4"/>
  <c r="BW578" i="4" s="1"/>
  <c r="BX579" i="4"/>
  <c r="BW579" i="4" s="1"/>
  <c r="BX580" i="4"/>
  <c r="BW580" i="4" s="1"/>
  <c r="BX581" i="4"/>
  <c r="BX582" i="4"/>
  <c r="BX583" i="4"/>
  <c r="BX584" i="4"/>
  <c r="BX585" i="4"/>
  <c r="BX586" i="4"/>
  <c r="BX587" i="4"/>
  <c r="BW587" i="4" s="1"/>
  <c r="BX588" i="4"/>
  <c r="BW588" i="4" s="1"/>
  <c r="BX589" i="4"/>
  <c r="BW589" i="4" s="1"/>
  <c r="BX590" i="4"/>
  <c r="BW590" i="4" s="1"/>
  <c r="BX591" i="4"/>
  <c r="BW591" i="4" s="1"/>
  <c r="BX592" i="4"/>
  <c r="BW592" i="4" s="1"/>
  <c r="BX593" i="4"/>
  <c r="BW593" i="4" s="1"/>
  <c r="BX594" i="4"/>
  <c r="BW594" i="4" s="1"/>
  <c r="BX595" i="4"/>
  <c r="BX596" i="4"/>
  <c r="BX597" i="4"/>
  <c r="BW597" i="4" s="1"/>
  <c r="BX598" i="4"/>
  <c r="BW598" i="4" s="1"/>
  <c r="BX599" i="4"/>
  <c r="BW599" i="4" s="1"/>
  <c r="BX600" i="4"/>
  <c r="BW600" i="4" s="1"/>
  <c r="BX601" i="4"/>
  <c r="BW601" i="4" s="1"/>
  <c r="BX602" i="4"/>
  <c r="BX603" i="4"/>
  <c r="BX604" i="4"/>
  <c r="BX605" i="4"/>
  <c r="BX606" i="4"/>
  <c r="BX607" i="4"/>
  <c r="BX608" i="4"/>
  <c r="BX609" i="4"/>
  <c r="BX610" i="4"/>
  <c r="BW610" i="4" s="1"/>
  <c r="BX611" i="4"/>
  <c r="BW611" i="4" s="1"/>
  <c r="BX612" i="4"/>
  <c r="BW612" i="4" s="1"/>
  <c r="BX613" i="4"/>
  <c r="BW613" i="4" s="1"/>
  <c r="BX614" i="4"/>
  <c r="BW614" i="4" s="1"/>
  <c r="BW275" i="4"/>
  <c r="BW276" i="4"/>
  <c r="BW282" i="4"/>
  <c r="BW283" i="4"/>
  <c r="BW284" i="4"/>
  <c r="BW285" i="4"/>
  <c r="BW286" i="4"/>
  <c r="BW287" i="4"/>
  <c r="BW288" i="4"/>
  <c r="BW289" i="4"/>
  <c r="BW295" i="4"/>
  <c r="BW296" i="4"/>
  <c r="BW302" i="4"/>
  <c r="BW303" i="4"/>
  <c r="BW304" i="4"/>
  <c r="BW305" i="4"/>
  <c r="BW306" i="4"/>
  <c r="BW315" i="4"/>
  <c r="BW316" i="4"/>
  <c r="BW322" i="4"/>
  <c r="BW323" i="4"/>
  <c r="BW324" i="4"/>
  <c r="BW325" i="4"/>
  <c r="BW326" i="4"/>
  <c r="BW327" i="4"/>
  <c r="BW335" i="4"/>
  <c r="BW336" i="4"/>
  <c r="BW342" i="4"/>
  <c r="BW343" i="4"/>
  <c r="BW344" i="4"/>
  <c r="BW345" i="4"/>
  <c r="BW346" i="4"/>
  <c r="BW355" i="4"/>
  <c r="BW356" i="4"/>
  <c r="BW362" i="4"/>
  <c r="BW363" i="4"/>
  <c r="BW364" i="4"/>
  <c r="BW365" i="4"/>
  <c r="BW366" i="4"/>
  <c r="BW367" i="4"/>
  <c r="BW368" i="4"/>
  <c r="BW369" i="4"/>
  <c r="BW375" i="4"/>
  <c r="BW376" i="4"/>
  <c r="BW382" i="4"/>
  <c r="BW383" i="4"/>
  <c r="BW384" i="4"/>
  <c r="BW385" i="4"/>
  <c r="BW386" i="4"/>
  <c r="BW395" i="4"/>
  <c r="BW396" i="4"/>
  <c r="BW402" i="4"/>
  <c r="BW403" i="4"/>
  <c r="BW404" i="4"/>
  <c r="BW405" i="4"/>
  <c r="BW406" i="4"/>
  <c r="BW407" i="4"/>
  <c r="BW408" i="4"/>
  <c r="BW409" i="4"/>
  <c r="BW415" i="4"/>
  <c r="BW416" i="4"/>
  <c r="BW422" i="4"/>
  <c r="BW423" i="4"/>
  <c r="BW424" i="4"/>
  <c r="BW425" i="4"/>
  <c r="BW426" i="4"/>
  <c r="BW435" i="4"/>
  <c r="BW436" i="4"/>
  <c r="BW442" i="4"/>
  <c r="BW443" i="4"/>
  <c r="BW444" i="4"/>
  <c r="BW445" i="4"/>
  <c r="BW446" i="4"/>
  <c r="BW447" i="4"/>
  <c r="BW448" i="4"/>
  <c r="BW449" i="4"/>
  <c r="BW455" i="4"/>
  <c r="BW456" i="4"/>
  <c r="BW462" i="4"/>
  <c r="BW463" i="4"/>
  <c r="BW464" i="4"/>
  <c r="BW465" i="4"/>
  <c r="BW466" i="4"/>
  <c r="BW475" i="4"/>
  <c r="BW476" i="4"/>
  <c r="BW482" i="4"/>
  <c r="BW483" i="4"/>
  <c r="BW484" i="4"/>
  <c r="BW485" i="4"/>
  <c r="BW486" i="4"/>
  <c r="BW487" i="4"/>
  <c r="BW488" i="4"/>
  <c r="BW489" i="4"/>
  <c r="BW495" i="4"/>
  <c r="BW496" i="4"/>
  <c r="BW502" i="4"/>
  <c r="BW503" i="4"/>
  <c r="BW504" i="4"/>
  <c r="BW505" i="4"/>
  <c r="BW506" i="4"/>
  <c r="BW515" i="4"/>
  <c r="BW516" i="4"/>
  <c r="BW522" i="4"/>
  <c r="BW523" i="4"/>
  <c r="BW524" i="4"/>
  <c r="BW525" i="4"/>
  <c r="BW526" i="4"/>
  <c r="BW527" i="4"/>
  <c r="BW528" i="4"/>
  <c r="BW529" i="4"/>
  <c r="BW535" i="4"/>
  <c r="BW536" i="4"/>
  <c r="BW542" i="4"/>
  <c r="BW543" i="4"/>
  <c r="BW544" i="4"/>
  <c r="BW545" i="4"/>
  <c r="BW546" i="4"/>
  <c r="BW555" i="4"/>
  <c r="BW556" i="4"/>
  <c r="BW562" i="4"/>
  <c r="BW563" i="4"/>
  <c r="BW564" i="4"/>
  <c r="BW565" i="4"/>
  <c r="BW566" i="4"/>
  <c r="BW567" i="4"/>
  <c r="BW568" i="4"/>
  <c r="BW569" i="4"/>
  <c r="BW575" i="4"/>
  <c r="BW576" i="4"/>
  <c r="BW581" i="4"/>
  <c r="BW582" i="4"/>
  <c r="BW583" i="4"/>
  <c r="BW584" i="4"/>
  <c r="BW585" i="4"/>
  <c r="BW586" i="4"/>
  <c r="BW595" i="4"/>
  <c r="BW596" i="4"/>
  <c r="BW602" i="4"/>
  <c r="BW603" i="4"/>
  <c r="BW604" i="4"/>
  <c r="BW605" i="4"/>
  <c r="BW606" i="4"/>
  <c r="BW607" i="4"/>
  <c r="BW608" i="4"/>
  <c r="BW609" i="4"/>
  <c r="BV275" i="4"/>
  <c r="BV276" i="4"/>
  <c r="BV277" i="4"/>
  <c r="BV278" i="4"/>
  <c r="BV279" i="4"/>
  <c r="BV280" i="4"/>
  <c r="BV281" i="4"/>
  <c r="BV282" i="4"/>
  <c r="BV283" i="4"/>
  <c r="BV284" i="4"/>
  <c r="BV285" i="4"/>
  <c r="BV286" i="4"/>
  <c r="BV287" i="4"/>
  <c r="BV288" i="4"/>
  <c r="BV289" i="4"/>
  <c r="BV290" i="4"/>
  <c r="BU290" i="4" s="1"/>
  <c r="BV291" i="4"/>
  <c r="BU291" i="4" s="1"/>
  <c r="BV292" i="4"/>
  <c r="BU292" i="4" s="1"/>
  <c r="BV293" i="4"/>
  <c r="BU293" i="4" s="1"/>
  <c r="BV294" i="4"/>
  <c r="BU294" i="4" s="1"/>
  <c r="BV295" i="4"/>
  <c r="BV296" i="4"/>
  <c r="BV297" i="4"/>
  <c r="BV298" i="4"/>
  <c r="BV299" i="4"/>
  <c r="BV300" i="4"/>
  <c r="BV301" i="4"/>
  <c r="BV302" i="4"/>
  <c r="BV303" i="4"/>
  <c r="BV304" i="4"/>
  <c r="BV305" i="4"/>
  <c r="BV306" i="4"/>
  <c r="BV307" i="4"/>
  <c r="BV308" i="4"/>
  <c r="BV309" i="4"/>
  <c r="BV310" i="4"/>
  <c r="BU310" i="4" s="1"/>
  <c r="BV311" i="4"/>
  <c r="BU311" i="4" s="1"/>
  <c r="BV312" i="4"/>
  <c r="BU312" i="4" s="1"/>
  <c r="BV313" i="4"/>
  <c r="BU313" i="4" s="1"/>
  <c r="BV314" i="4"/>
  <c r="BU314" i="4" s="1"/>
  <c r="BV315" i="4"/>
  <c r="BV316" i="4"/>
  <c r="BV317" i="4"/>
  <c r="BV318" i="4"/>
  <c r="BV319" i="4"/>
  <c r="BV320" i="4"/>
  <c r="BV321" i="4"/>
  <c r="BV322" i="4"/>
  <c r="BV323" i="4"/>
  <c r="BV324" i="4"/>
  <c r="BV325" i="4"/>
  <c r="BV326" i="4"/>
  <c r="BV327" i="4"/>
  <c r="BV328" i="4"/>
  <c r="BV329" i="4"/>
  <c r="BV330" i="4"/>
  <c r="BU330" i="4" s="1"/>
  <c r="BV331" i="4"/>
  <c r="BU331" i="4" s="1"/>
  <c r="BV332" i="4"/>
  <c r="BU332" i="4" s="1"/>
  <c r="BV333" i="4"/>
  <c r="BU333" i="4" s="1"/>
  <c r="BV334" i="4"/>
  <c r="BU334" i="4" s="1"/>
  <c r="BV335" i="4"/>
  <c r="BV336" i="4"/>
  <c r="BV337" i="4"/>
  <c r="BV338" i="4"/>
  <c r="BV339" i="4"/>
  <c r="BV340" i="4"/>
  <c r="BV341" i="4"/>
  <c r="BV342" i="4"/>
  <c r="BV343" i="4"/>
  <c r="BV344" i="4"/>
  <c r="BV345" i="4"/>
  <c r="BV346" i="4"/>
  <c r="BV347" i="4"/>
  <c r="BV348" i="4"/>
  <c r="BV349" i="4"/>
  <c r="BV350" i="4"/>
  <c r="BU350" i="4" s="1"/>
  <c r="BV351" i="4"/>
  <c r="BU351" i="4" s="1"/>
  <c r="BV352" i="4"/>
  <c r="BU352" i="4" s="1"/>
  <c r="BV353" i="4"/>
  <c r="BU353" i="4" s="1"/>
  <c r="BV354" i="4"/>
  <c r="BU354" i="4" s="1"/>
  <c r="BV355" i="4"/>
  <c r="BV356" i="4"/>
  <c r="BV357" i="4"/>
  <c r="BV358" i="4"/>
  <c r="BV359" i="4"/>
  <c r="BV360" i="4"/>
  <c r="BV361" i="4"/>
  <c r="BV362" i="4"/>
  <c r="BV363" i="4"/>
  <c r="BV364" i="4"/>
  <c r="BV365" i="4"/>
  <c r="BV366" i="4"/>
  <c r="BV367" i="4"/>
  <c r="BV368" i="4"/>
  <c r="BV369" i="4"/>
  <c r="BV370" i="4"/>
  <c r="BU370" i="4" s="1"/>
  <c r="BV371" i="4"/>
  <c r="BU371" i="4" s="1"/>
  <c r="BV372" i="4"/>
  <c r="BU372" i="4" s="1"/>
  <c r="BV373" i="4"/>
  <c r="BU373" i="4" s="1"/>
  <c r="BV374" i="4"/>
  <c r="BU374" i="4" s="1"/>
  <c r="BV375" i="4"/>
  <c r="BV376" i="4"/>
  <c r="BV377" i="4"/>
  <c r="BV378" i="4"/>
  <c r="BV379" i="4"/>
  <c r="BV380" i="4"/>
  <c r="BV381" i="4"/>
  <c r="BV382" i="4"/>
  <c r="BV383" i="4"/>
  <c r="BV384" i="4"/>
  <c r="BV385" i="4"/>
  <c r="BV386" i="4"/>
  <c r="BV387" i="4"/>
  <c r="BV388" i="4"/>
  <c r="BV389" i="4"/>
  <c r="BV390" i="4"/>
  <c r="BU390" i="4" s="1"/>
  <c r="BV391" i="4"/>
  <c r="BU391" i="4" s="1"/>
  <c r="BV392" i="4"/>
  <c r="BU392" i="4" s="1"/>
  <c r="BV393" i="4"/>
  <c r="BU393" i="4" s="1"/>
  <c r="BV394" i="4"/>
  <c r="BU394" i="4" s="1"/>
  <c r="BV395" i="4"/>
  <c r="BV396" i="4"/>
  <c r="BV397" i="4"/>
  <c r="BV398" i="4"/>
  <c r="BV399" i="4"/>
  <c r="BV400" i="4"/>
  <c r="BV401" i="4"/>
  <c r="BV402" i="4"/>
  <c r="BV403" i="4"/>
  <c r="BV404" i="4"/>
  <c r="BV405" i="4"/>
  <c r="BV406" i="4"/>
  <c r="BV407" i="4"/>
  <c r="BV408" i="4"/>
  <c r="BV409" i="4"/>
  <c r="BV410" i="4"/>
  <c r="BU410" i="4" s="1"/>
  <c r="BV411" i="4"/>
  <c r="BU411" i="4" s="1"/>
  <c r="BV412" i="4"/>
  <c r="BU412" i="4" s="1"/>
  <c r="BV413" i="4"/>
  <c r="BU413" i="4" s="1"/>
  <c r="BV414" i="4"/>
  <c r="BU414" i="4" s="1"/>
  <c r="BV415" i="4"/>
  <c r="BV416" i="4"/>
  <c r="BV417" i="4"/>
  <c r="BV418" i="4"/>
  <c r="BV419" i="4"/>
  <c r="BV420" i="4"/>
  <c r="BV421" i="4"/>
  <c r="BV422" i="4"/>
  <c r="BV423" i="4"/>
  <c r="BV424" i="4"/>
  <c r="BV425" i="4"/>
  <c r="BV426" i="4"/>
  <c r="BV427" i="4"/>
  <c r="BV428" i="4"/>
  <c r="BV429" i="4"/>
  <c r="BV430" i="4"/>
  <c r="BU430" i="4" s="1"/>
  <c r="BV431" i="4"/>
  <c r="BU431" i="4" s="1"/>
  <c r="BV432" i="4"/>
  <c r="BU432" i="4" s="1"/>
  <c r="BV433" i="4"/>
  <c r="BU433" i="4" s="1"/>
  <c r="BV434" i="4"/>
  <c r="BU434" i="4" s="1"/>
  <c r="BV435" i="4"/>
  <c r="BV436" i="4"/>
  <c r="BV437" i="4"/>
  <c r="BV438" i="4"/>
  <c r="BV439" i="4"/>
  <c r="BV440" i="4"/>
  <c r="BV441" i="4"/>
  <c r="BV442" i="4"/>
  <c r="BV443" i="4"/>
  <c r="BV444" i="4"/>
  <c r="BV445" i="4"/>
  <c r="BV446" i="4"/>
  <c r="BV447" i="4"/>
  <c r="BV448" i="4"/>
  <c r="BV449" i="4"/>
  <c r="BV450" i="4"/>
  <c r="BU450" i="4" s="1"/>
  <c r="BV451" i="4"/>
  <c r="BU451" i="4" s="1"/>
  <c r="BV452" i="4"/>
  <c r="BU452" i="4" s="1"/>
  <c r="BV453" i="4"/>
  <c r="BU453" i="4" s="1"/>
  <c r="BV454" i="4"/>
  <c r="BU454" i="4" s="1"/>
  <c r="BV455" i="4"/>
  <c r="BV456" i="4"/>
  <c r="BV457" i="4"/>
  <c r="BV458" i="4"/>
  <c r="BV459" i="4"/>
  <c r="BV460" i="4"/>
  <c r="BV461" i="4"/>
  <c r="BV462" i="4"/>
  <c r="BV463" i="4"/>
  <c r="BV464" i="4"/>
  <c r="BV465" i="4"/>
  <c r="BV466" i="4"/>
  <c r="BV467" i="4"/>
  <c r="BV468" i="4"/>
  <c r="BV469" i="4"/>
  <c r="BV470" i="4"/>
  <c r="BU470" i="4" s="1"/>
  <c r="BV471" i="4"/>
  <c r="BU471" i="4" s="1"/>
  <c r="BV472" i="4"/>
  <c r="BU472" i="4" s="1"/>
  <c r="BV473" i="4"/>
  <c r="BU473" i="4" s="1"/>
  <c r="BV474" i="4"/>
  <c r="BU474" i="4" s="1"/>
  <c r="BV475" i="4"/>
  <c r="BV476" i="4"/>
  <c r="BV477" i="4"/>
  <c r="BV478" i="4"/>
  <c r="BV479" i="4"/>
  <c r="BV480" i="4"/>
  <c r="BV481" i="4"/>
  <c r="BV482" i="4"/>
  <c r="BV483" i="4"/>
  <c r="BV484" i="4"/>
  <c r="BV485" i="4"/>
  <c r="BV486" i="4"/>
  <c r="BV487" i="4"/>
  <c r="BV488" i="4"/>
  <c r="BV489" i="4"/>
  <c r="BV490" i="4"/>
  <c r="BU490" i="4" s="1"/>
  <c r="BV491" i="4"/>
  <c r="BU491" i="4" s="1"/>
  <c r="BV492" i="4"/>
  <c r="BU492" i="4" s="1"/>
  <c r="BV493" i="4"/>
  <c r="BU493" i="4" s="1"/>
  <c r="BV494" i="4"/>
  <c r="BU494" i="4" s="1"/>
  <c r="BV495" i="4"/>
  <c r="BV496" i="4"/>
  <c r="BV497" i="4"/>
  <c r="BV498" i="4"/>
  <c r="BV499" i="4"/>
  <c r="BV500" i="4"/>
  <c r="BV501" i="4"/>
  <c r="BV502" i="4"/>
  <c r="BV503" i="4"/>
  <c r="BV504" i="4"/>
  <c r="BV505" i="4"/>
  <c r="BV506" i="4"/>
  <c r="BV507" i="4"/>
  <c r="BV508" i="4"/>
  <c r="BV509" i="4"/>
  <c r="BV510" i="4"/>
  <c r="BU510" i="4" s="1"/>
  <c r="BV511" i="4"/>
  <c r="BU511" i="4" s="1"/>
  <c r="BV512" i="4"/>
  <c r="BU512" i="4" s="1"/>
  <c r="BV513" i="4"/>
  <c r="BU513" i="4" s="1"/>
  <c r="BV514" i="4"/>
  <c r="BU514" i="4" s="1"/>
  <c r="BV515" i="4"/>
  <c r="BV516" i="4"/>
  <c r="BV517" i="4"/>
  <c r="BV518" i="4"/>
  <c r="BV519" i="4"/>
  <c r="BV520" i="4"/>
  <c r="BV521" i="4"/>
  <c r="BV522" i="4"/>
  <c r="BV523" i="4"/>
  <c r="BV524" i="4"/>
  <c r="BV525" i="4"/>
  <c r="BV526" i="4"/>
  <c r="BV527" i="4"/>
  <c r="BV528" i="4"/>
  <c r="BV529" i="4"/>
  <c r="BV530" i="4"/>
  <c r="BU530" i="4" s="1"/>
  <c r="BV531" i="4"/>
  <c r="BU531" i="4" s="1"/>
  <c r="BV532" i="4"/>
  <c r="BU532" i="4" s="1"/>
  <c r="BV533" i="4"/>
  <c r="BU533" i="4" s="1"/>
  <c r="BV534" i="4"/>
  <c r="BU534" i="4" s="1"/>
  <c r="BV535" i="4"/>
  <c r="BV536" i="4"/>
  <c r="BV537" i="4"/>
  <c r="BV538" i="4"/>
  <c r="BV539" i="4"/>
  <c r="BV540" i="4"/>
  <c r="BV541" i="4"/>
  <c r="BV542" i="4"/>
  <c r="BV543" i="4"/>
  <c r="BV544" i="4"/>
  <c r="BV545" i="4"/>
  <c r="BV546" i="4"/>
  <c r="BV547" i="4"/>
  <c r="BV548" i="4"/>
  <c r="BV549" i="4"/>
  <c r="BV550" i="4"/>
  <c r="BU550" i="4" s="1"/>
  <c r="BV551" i="4"/>
  <c r="BU551" i="4" s="1"/>
  <c r="BV552" i="4"/>
  <c r="BU552" i="4" s="1"/>
  <c r="BV553" i="4"/>
  <c r="BU553" i="4" s="1"/>
  <c r="BV554" i="4"/>
  <c r="BU554" i="4" s="1"/>
  <c r="BV555" i="4"/>
  <c r="BV556" i="4"/>
  <c r="BV557" i="4"/>
  <c r="BV558" i="4"/>
  <c r="BV559" i="4"/>
  <c r="BV560" i="4"/>
  <c r="BV561" i="4"/>
  <c r="BV562" i="4"/>
  <c r="BV563" i="4"/>
  <c r="BV564" i="4"/>
  <c r="BV565" i="4"/>
  <c r="BV566" i="4"/>
  <c r="BV567" i="4"/>
  <c r="BV568" i="4"/>
  <c r="BV569" i="4"/>
  <c r="BV570" i="4"/>
  <c r="BU570" i="4" s="1"/>
  <c r="BV571" i="4"/>
  <c r="BU571" i="4" s="1"/>
  <c r="BV572" i="4"/>
  <c r="BU572" i="4" s="1"/>
  <c r="BV573" i="4"/>
  <c r="BU573" i="4" s="1"/>
  <c r="BV574" i="4"/>
  <c r="BU574" i="4" s="1"/>
  <c r="BV575" i="4"/>
  <c r="BV576" i="4"/>
  <c r="BV577" i="4"/>
  <c r="BV578" i="4"/>
  <c r="BV579" i="4"/>
  <c r="BV580" i="4"/>
  <c r="BV581" i="4"/>
  <c r="BV582" i="4"/>
  <c r="BV583" i="4"/>
  <c r="BV584" i="4"/>
  <c r="BV585" i="4"/>
  <c r="BV586" i="4"/>
  <c r="BV587" i="4"/>
  <c r="BV588" i="4"/>
  <c r="BV589" i="4"/>
  <c r="BV590" i="4"/>
  <c r="BU590" i="4" s="1"/>
  <c r="BV591" i="4"/>
  <c r="BU591" i="4" s="1"/>
  <c r="BV592" i="4"/>
  <c r="BU592" i="4" s="1"/>
  <c r="BV593" i="4"/>
  <c r="BU593" i="4" s="1"/>
  <c r="BV594" i="4"/>
  <c r="BU594" i="4" s="1"/>
  <c r="BV595" i="4"/>
  <c r="BV596" i="4"/>
  <c r="BV597" i="4"/>
  <c r="BV598" i="4"/>
  <c r="BV599" i="4"/>
  <c r="BV600" i="4"/>
  <c r="BV601" i="4"/>
  <c r="BV602" i="4"/>
  <c r="BV603" i="4"/>
  <c r="BV604" i="4"/>
  <c r="BV605" i="4"/>
  <c r="BV606" i="4"/>
  <c r="BV607" i="4"/>
  <c r="BV608" i="4"/>
  <c r="BV609" i="4"/>
  <c r="BV610" i="4"/>
  <c r="BU610" i="4" s="1"/>
  <c r="BV611" i="4"/>
  <c r="BU611" i="4" s="1"/>
  <c r="BV612" i="4"/>
  <c r="BU612" i="4" s="1"/>
  <c r="BV613" i="4"/>
  <c r="BU613" i="4" s="1"/>
  <c r="BV614" i="4"/>
  <c r="BU614" i="4" s="1"/>
  <c r="BU275" i="4"/>
  <c r="BU276" i="4"/>
  <c r="BU277" i="4"/>
  <c r="BU278" i="4"/>
  <c r="BU279" i="4"/>
  <c r="BU280" i="4"/>
  <c r="BU281" i="4"/>
  <c r="BU282" i="4"/>
  <c r="BU283" i="4"/>
  <c r="BU284" i="4"/>
  <c r="BU285" i="4"/>
  <c r="BU286" i="4"/>
  <c r="BU287" i="4"/>
  <c r="BU288" i="4"/>
  <c r="BU289" i="4"/>
  <c r="BU295" i="4"/>
  <c r="BU296" i="4"/>
  <c r="BU297" i="4"/>
  <c r="BU298" i="4"/>
  <c r="BU299" i="4"/>
  <c r="BU300" i="4"/>
  <c r="BU301" i="4"/>
  <c r="BU302" i="4"/>
  <c r="BU303" i="4"/>
  <c r="BU304" i="4"/>
  <c r="BU305" i="4"/>
  <c r="BU306" i="4"/>
  <c r="BU307" i="4"/>
  <c r="BU308" i="4"/>
  <c r="BU309" i="4"/>
  <c r="BU315" i="4"/>
  <c r="BU316" i="4"/>
  <c r="BU317" i="4"/>
  <c r="BU318" i="4"/>
  <c r="BU319" i="4"/>
  <c r="BU320" i="4"/>
  <c r="BU321" i="4"/>
  <c r="BU322" i="4"/>
  <c r="BU323" i="4"/>
  <c r="BU324" i="4"/>
  <c r="BU325" i="4"/>
  <c r="BU326" i="4"/>
  <c r="BU327" i="4"/>
  <c r="BU328" i="4"/>
  <c r="BU329" i="4"/>
  <c r="BU335" i="4"/>
  <c r="BU336" i="4"/>
  <c r="BU337" i="4"/>
  <c r="BU338" i="4"/>
  <c r="BU339" i="4"/>
  <c r="BU340" i="4"/>
  <c r="BU341" i="4"/>
  <c r="BU342" i="4"/>
  <c r="BU343" i="4"/>
  <c r="BU344" i="4"/>
  <c r="BU345" i="4"/>
  <c r="BU346" i="4"/>
  <c r="BU347" i="4"/>
  <c r="BU348" i="4"/>
  <c r="BU349" i="4"/>
  <c r="BU355" i="4"/>
  <c r="BU356" i="4"/>
  <c r="BU357" i="4"/>
  <c r="BU358" i="4"/>
  <c r="BU359" i="4"/>
  <c r="BU360" i="4"/>
  <c r="BU361" i="4"/>
  <c r="BU362" i="4"/>
  <c r="BU363" i="4"/>
  <c r="BU364" i="4"/>
  <c r="BU365" i="4"/>
  <c r="BU366" i="4"/>
  <c r="BU367" i="4"/>
  <c r="BU368" i="4"/>
  <c r="BU369" i="4"/>
  <c r="BU375" i="4"/>
  <c r="BU376" i="4"/>
  <c r="BU377" i="4"/>
  <c r="BU378" i="4"/>
  <c r="BU379" i="4"/>
  <c r="BU380" i="4"/>
  <c r="BU381" i="4"/>
  <c r="BU382" i="4"/>
  <c r="BU383" i="4"/>
  <c r="BU384" i="4"/>
  <c r="BU385" i="4"/>
  <c r="BU386" i="4"/>
  <c r="BU387" i="4"/>
  <c r="BU388" i="4"/>
  <c r="BU389" i="4"/>
  <c r="BU395" i="4"/>
  <c r="BU396" i="4"/>
  <c r="BU397" i="4"/>
  <c r="BU398" i="4"/>
  <c r="BU399" i="4"/>
  <c r="BU400" i="4"/>
  <c r="BU401" i="4"/>
  <c r="BU402" i="4"/>
  <c r="BU403" i="4"/>
  <c r="BU404" i="4"/>
  <c r="BU405" i="4"/>
  <c r="BU406" i="4"/>
  <c r="BU407" i="4"/>
  <c r="BU408" i="4"/>
  <c r="BU409" i="4"/>
  <c r="BU415" i="4"/>
  <c r="BU416" i="4"/>
  <c r="BU417" i="4"/>
  <c r="BU418" i="4"/>
  <c r="BU419" i="4"/>
  <c r="BU420" i="4"/>
  <c r="BU421" i="4"/>
  <c r="BU422" i="4"/>
  <c r="BU423" i="4"/>
  <c r="BU424" i="4"/>
  <c r="BU425" i="4"/>
  <c r="BU426" i="4"/>
  <c r="BU427" i="4"/>
  <c r="BU428" i="4"/>
  <c r="BU429" i="4"/>
  <c r="BU435" i="4"/>
  <c r="BU436" i="4"/>
  <c r="BU437" i="4"/>
  <c r="BU438" i="4"/>
  <c r="BU439" i="4"/>
  <c r="BU440" i="4"/>
  <c r="BU441" i="4"/>
  <c r="BU442" i="4"/>
  <c r="BU443" i="4"/>
  <c r="BU444" i="4"/>
  <c r="BU445" i="4"/>
  <c r="BU446" i="4"/>
  <c r="BU447" i="4"/>
  <c r="BU448" i="4"/>
  <c r="BU449" i="4"/>
  <c r="BU455" i="4"/>
  <c r="BU456" i="4"/>
  <c r="BU457" i="4"/>
  <c r="BU458" i="4"/>
  <c r="BU459" i="4"/>
  <c r="BU460" i="4"/>
  <c r="BU461" i="4"/>
  <c r="BU462" i="4"/>
  <c r="BU463" i="4"/>
  <c r="BU464" i="4"/>
  <c r="BU465" i="4"/>
  <c r="BU466" i="4"/>
  <c r="BU467" i="4"/>
  <c r="BU468" i="4"/>
  <c r="BU469" i="4"/>
  <c r="BU475" i="4"/>
  <c r="BU476" i="4"/>
  <c r="BU477" i="4"/>
  <c r="BU478" i="4"/>
  <c r="BU479" i="4"/>
  <c r="BU480" i="4"/>
  <c r="BU481" i="4"/>
  <c r="BU482" i="4"/>
  <c r="BU483" i="4"/>
  <c r="BU484" i="4"/>
  <c r="BU485" i="4"/>
  <c r="BU486" i="4"/>
  <c r="BU487" i="4"/>
  <c r="BU488" i="4"/>
  <c r="BU489" i="4"/>
  <c r="BU495" i="4"/>
  <c r="BU496" i="4"/>
  <c r="BU497" i="4"/>
  <c r="BU498" i="4"/>
  <c r="BU499" i="4"/>
  <c r="BU500" i="4"/>
  <c r="BU501" i="4"/>
  <c r="BU502" i="4"/>
  <c r="BU503" i="4"/>
  <c r="BU504" i="4"/>
  <c r="BU505" i="4"/>
  <c r="BU506" i="4"/>
  <c r="BU507" i="4"/>
  <c r="BU508" i="4"/>
  <c r="BU509" i="4"/>
  <c r="BU515" i="4"/>
  <c r="BU516" i="4"/>
  <c r="BU517" i="4"/>
  <c r="BU518" i="4"/>
  <c r="BU519" i="4"/>
  <c r="BU520" i="4"/>
  <c r="BU521" i="4"/>
  <c r="BU522" i="4"/>
  <c r="BU523" i="4"/>
  <c r="BU524" i="4"/>
  <c r="BU525" i="4"/>
  <c r="BU526" i="4"/>
  <c r="BU527" i="4"/>
  <c r="BU528" i="4"/>
  <c r="BU529" i="4"/>
  <c r="BU535" i="4"/>
  <c r="BU536" i="4"/>
  <c r="BU537" i="4"/>
  <c r="BU538" i="4"/>
  <c r="BU539" i="4"/>
  <c r="BU540" i="4"/>
  <c r="BU541" i="4"/>
  <c r="BU542" i="4"/>
  <c r="BU543" i="4"/>
  <c r="BU544" i="4"/>
  <c r="BU545" i="4"/>
  <c r="BU546" i="4"/>
  <c r="BU547" i="4"/>
  <c r="BU548" i="4"/>
  <c r="BU549" i="4"/>
  <c r="BU555" i="4"/>
  <c r="BU556" i="4"/>
  <c r="BU557" i="4"/>
  <c r="BU558" i="4"/>
  <c r="BU559" i="4"/>
  <c r="BU560" i="4"/>
  <c r="BU561" i="4"/>
  <c r="BU562" i="4"/>
  <c r="BU563" i="4"/>
  <c r="BU564" i="4"/>
  <c r="BU565" i="4"/>
  <c r="BU566" i="4"/>
  <c r="BU567" i="4"/>
  <c r="BU568" i="4"/>
  <c r="BU569" i="4"/>
  <c r="BU575" i="4"/>
  <c r="BU576" i="4"/>
  <c r="BU577" i="4"/>
  <c r="BU578" i="4"/>
  <c r="BU579" i="4"/>
  <c r="BU580" i="4"/>
  <c r="BU581" i="4"/>
  <c r="BU582" i="4"/>
  <c r="BU583" i="4"/>
  <c r="BU584" i="4"/>
  <c r="BU585" i="4"/>
  <c r="BU586" i="4"/>
  <c r="BU587" i="4"/>
  <c r="BU588" i="4"/>
  <c r="BU589" i="4"/>
  <c r="BU595" i="4"/>
  <c r="BU596" i="4"/>
  <c r="BU597" i="4"/>
  <c r="BU598" i="4"/>
  <c r="BU599" i="4"/>
  <c r="BU600" i="4"/>
  <c r="BU601" i="4"/>
  <c r="BU602" i="4"/>
  <c r="BU603" i="4"/>
  <c r="BU604" i="4"/>
  <c r="BU605" i="4"/>
  <c r="BU606" i="4"/>
  <c r="BU607" i="4"/>
  <c r="BU608" i="4"/>
  <c r="BU609" i="4"/>
  <c r="BT275" i="4"/>
  <c r="BT276" i="4"/>
  <c r="BT277" i="4"/>
  <c r="BS277" i="4" s="1"/>
  <c r="BT278" i="4"/>
  <c r="BT279" i="4"/>
  <c r="BT280" i="4"/>
  <c r="BS280" i="4" s="1"/>
  <c r="BT281" i="4"/>
  <c r="BT282" i="4"/>
  <c r="BT283" i="4"/>
  <c r="BT284" i="4"/>
  <c r="BT285" i="4"/>
  <c r="BT286" i="4"/>
  <c r="BT287" i="4"/>
  <c r="BT288" i="4"/>
  <c r="BT289" i="4"/>
  <c r="BT290" i="4"/>
  <c r="BS290" i="4" s="1"/>
  <c r="BS292" i="4"/>
  <c r="BS293" i="4"/>
  <c r="BS294" i="4"/>
  <c r="BS297" i="4"/>
  <c r="BS300" i="4"/>
  <c r="BS312" i="4"/>
  <c r="BS313" i="4"/>
  <c r="BS320" i="4"/>
  <c r="BS332" i="4"/>
  <c r="BS333" i="4"/>
  <c r="BS340" i="4"/>
  <c r="BS352" i="4"/>
  <c r="BS353" i="4"/>
  <c r="BS354" i="4"/>
  <c r="BS357" i="4"/>
  <c r="BS360" i="4"/>
  <c r="BS372" i="4"/>
  <c r="BS380" i="4"/>
  <c r="BS392" i="4"/>
  <c r="BS400" i="4"/>
  <c r="BS412" i="4"/>
  <c r="BS413" i="4"/>
  <c r="BS414" i="4"/>
  <c r="BS417" i="4"/>
  <c r="BS420" i="4"/>
  <c r="BS430" i="4"/>
  <c r="BS431" i="4"/>
  <c r="BS432" i="4"/>
  <c r="BS433" i="4"/>
  <c r="BS434" i="4"/>
  <c r="BS440" i="4"/>
  <c r="BS452" i="4"/>
  <c r="BS453" i="4"/>
  <c r="BS454" i="4"/>
  <c r="BS460" i="4"/>
  <c r="BS472" i="4"/>
  <c r="BS473" i="4"/>
  <c r="BS474" i="4"/>
  <c r="BS477" i="4"/>
  <c r="BS480" i="4"/>
  <c r="BS490" i="4"/>
  <c r="BS492" i="4"/>
  <c r="BS493" i="4"/>
  <c r="BS494" i="4"/>
  <c r="BS500" i="4"/>
  <c r="BS512" i="4"/>
  <c r="BS513" i="4"/>
  <c r="BS514" i="4"/>
  <c r="BS520" i="4"/>
  <c r="BS532" i="4"/>
  <c r="BS533" i="4"/>
  <c r="BS534" i="4"/>
  <c r="BS537" i="4"/>
  <c r="BS540" i="4"/>
  <c r="BS552" i="4"/>
  <c r="BS553" i="4"/>
  <c r="BS554" i="4"/>
  <c r="BS557" i="4"/>
  <c r="BS560" i="4"/>
  <c r="BS572" i="4"/>
  <c r="BS573" i="4"/>
  <c r="BS574" i="4"/>
  <c r="BS580" i="4"/>
  <c r="BS592" i="4"/>
  <c r="BS593" i="4"/>
  <c r="BS594" i="4"/>
  <c r="BS597" i="4"/>
  <c r="BS612" i="4"/>
  <c r="BS613" i="4"/>
  <c r="BS614" i="4"/>
  <c r="BS275" i="4"/>
  <c r="BS276" i="4"/>
  <c r="BS278" i="4"/>
  <c r="BS279" i="4"/>
  <c r="BS281" i="4"/>
  <c r="BS282" i="4"/>
  <c r="BS283" i="4"/>
  <c r="BS284" i="4"/>
  <c r="BS285" i="4"/>
  <c r="BS286" i="4"/>
  <c r="BS287" i="4"/>
  <c r="BS288" i="4"/>
  <c r="BS289" i="4"/>
  <c r="BS299" i="4"/>
  <c r="BS301" i="4"/>
  <c r="BS302" i="4"/>
  <c r="BS303" i="4"/>
  <c r="BS315" i="4"/>
  <c r="BS316" i="4"/>
  <c r="BS318" i="4"/>
  <c r="BS319" i="4"/>
  <c r="BS321" i="4"/>
  <c r="BS322" i="4"/>
  <c r="BS323" i="4"/>
  <c r="BS335" i="4"/>
  <c r="BS339" i="4"/>
  <c r="BS341" i="4"/>
  <c r="BS342" i="4"/>
  <c r="BS343" i="4"/>
  <c r="BS344" i="4"/>
  <c r="BS345" i="4"/>
  <c r="BS346" i="4"/>
  <c r="BS347" i="4"/>
  <c r="BS348" i="4"/>
  <c r="BS349" i="4"/>
  <c r="BS355" i="4"/>
  <c r="BS359" i="4"/>
  <c r="BS361" i="4"/>
  <c r="BS362" i="4"/>
  <c r="BS363" i="4"/>
  <c r="BS364" i="4"/>
  <c r="BS375" i="4"/>
  <c r="BS376" i="4"/>
  <c r="BS378" i="4"/>
  <c r="BS379" i="4"/>
  <c r="BS381" i="4"/>
  <c r="BS382" i="4"/>
  <c r="BS383" i="4"/>
  <c r="BS384" i="4"/>
  <c r="BS395" i="4"/>
  <c r="BS396" i="4"/>
  <c r="BS399" i="4"/>
  <c r="BS401" i="4"/>
  <c r="BS402" i="4"/>
  <c r="BS403" i="4"/>
  <c r="BS404" i="4"/>
  <c r="BS405" i="4"/>
  <c r="BS406" i="4"/>
  <c r="BS407" i="4"/>
  <c r="BS408" i="4"/>
  <c r="BS409" i="4"/>
  <c r="BS415" i="4"/>
  <c r="BS416" i="4"/>
  <c r="BS419" i="4"/>
  <c r="BS421" i="4"/>
  <c r="BS422" i="4"/>
  <c r="BS423" i="4"/>
  <c r="BS424" i="4"/>
  <c r="BS425" i="4"/>
  <c r="BS435" i="4"/>
  <c r="BS436" i="4"/>
  <c r="BS439" i="4"/>
  <c r="BS441" i="4"/>
  <c r="BS442" i="4"/>
  <c r="BS443" i="4"/>
  <c r="BS444" i="4"/>
  <c r="BS445" i="4"/>
  <c r="BS455" i="4"/>
  <c r="BS456" i="4"/>
  <c r="BS458" i="4"/>
  <c r="BS459" i="4"/>
  <c r="BS475" i="4"/>
  <c r="BS476" i="4"/>
  <c r="BS478" i="4"/>
  <c r="BS479" i="4"/>
  <c r="BS495" i="4"/>
  <c r="BS499" i="4"/>
  <c r="BS501" i="4"/>
  <c r="BS502" i="4"/>
  <c r="BS503" i="4"/>
  <c r="BS504" i="4"/>
  <c r="BS505" i="4"/>
  <c r="BS506" i="4"/>
  <c r="BS515" i="4"/>
  <c r="BS516" i="4"/>
  <c r="BS519" i="4"/>
  <c r="BS535" i="4"/>
  <c r="BS536" i="4"/>
  <c r="BS538" i="4"/>
  <c r="BS539" i="4"/>
  <c r="BS559" i="4"/>
  <c r="BS561" i="4"/>
  <c r="BS562" i="4"/>
  <c r="BS563" i="4"/>
  <c r="BS564" i="4"/>
  <c r="BS565" i="4"/>
  <c r="BS566" i="4"/>
  <c r="BS567" i="4"/>
  <c r="BS579" i="4"/>
  <c r="BS581" i="4"/>
  <c r="BS595" i="4"/>
  <c r="BS596" i="4"/>
  <c r="BS598" i="4"/>
  <c r="BS599" i="4"/>
  <c r="BS601" i="4"/>
  <c r="BR275" i="4"/>
  <c r="BR276" i="4"/>
  <c r="BR277" i="4"/>
  <c r="BR278" i="4"/>
  <c r="BR279" i="4"/>
  <c r="BR280" i="4"/>
  <c r="BQ280" i="4" s="1"/>
  <c r="BR281" i="4"/>
  <c r="BQ281" i="4" s="1"/>
  <c r="BR282" i="4"/>
  <c r="BQ282" i="4" s="1"/>
  <c r="BR283" i="4"/>
  <c r="BR284" i="4"/>
  <c r="BR285" i="4"/>
  <c r="BR286" i="4"/>
  <c r="BR287" i="4"/>
  <c r="BR288" i="4"/>
  <c r="BR289" i="4"/>
  <c r="BR290" i="4"/>
  <c r="BQ290" i="4" s="1"/>
  <c r="BR291" i="4"/>
  <c r="BQ291" i="4" s="1"/>
  <c r="BR292" i="4"/>
  <c r="BQ292" i="4" s="1"/>
  <c r="BR293" i="4"/>
  <c r="BQ293" i="4" s="1"/>
  <c r="BR294" i="4"/>
  <c r="BQ294" i="4" s="1"/>
  <c r="BR295" i="4"/>
  <c r="BR296" i="4"/>
  <c r="BR297" i="4"/>
  <c r="BR298" i="4"/>
  <c r="BR299" i="4"/>
  <c r="BR300" i="4"/>
  <c r="BQ300" i="4" s="1"/>
  <c r="BR301" i="4"/>
  <c r="BQ301" i="4" s="1"/>
  <c r="BR302" i="4"/>
  <c r="BR303" i="4"/>
  <c r="BR304" i="4"/>
  <c r="BR305" i="4"/>
  <c r="BR306" i="4"/>
  <c r="BR307" i="4"/>
  <c r="BR308" i="4"/>
  <c r="BR309" i="4"/>
  <c r="BR310" i="4"/>
  <c r="BQ310" i="4" s="1"/>
  <c r="BR311" i="4"/>
  <c r="BQ311" i="4" s="1"/>
  <c r="BR312" i="4"/>
  <c r="BQ312" i="4" s="1"/>
  <c r="BR313" i="4"/>
  <c r="BQ313" i="4" s="1"/>
  <c r="BR314" i="4"/>
  <c r="BQ314" i="4" s="1"/>
  <c r="BR315" i="4"/>
  <c r="BR316" i="4"/>
  <c r="BR317" i="4"/>
  <c r="BR318" i="4"/>
  <c r="BR319" i="4"/>
  <c r="BR320" i="4"/>
  <c r="BQ320" i="4" s="1"/>
  <c r="BR321" i="4"/>
  <c r="BQ321" i="4" s="1"/>
  <c r="BR322" i="4"/>
  <c r="BQ322" i="4" s="1"/>
  <c r="BR323" i="4"/>
  <c r="BQ323" i="4" s="1"/>
  <c r="BR324" i="4"/>
  <c r="BQ324" i="4" s="1"/>
  <c r="BR325" i="4"/>
  <c r="BR326" i="4"/>
  <c r="BR327" i="4"/>
  <c r="BR328" i="4"/>
  <c r="BR329" i="4"/>
  <c r="BR330" i="4"/>
  <c r="BQ330" i="4" s="1"/>
  <c r="BR331" i="4"/>
  <c r="BQ331" i="4" s="1"/>
  <c r="BR332" i="4"/>
  <c r="BQ332" i="4" s="1"/>
  <c r="BR333" i="4"/>
  <c r="BQ333" i="4" s="1"/>
  <c r="BR334" i="4"/>
  <c r="BQ334" i="4" s="1"/>
  <c r="BR335" i="4"/>
  <c r="BR336" i="4"/>
  <c r="BR337" i="4"/>
  <c r="BR338" i="4"/>
  <c r="BR339" i="4"/>
  <c r="BR340" i="4"/>
  <c r="BQ340" i="4" s="1"/>
  <c r="BR341" i="4"/>
  <c r="BQ341" i="4" s="1"/>
  <c r="BR342" i="4"/>
  <c r="BR343" i="4"/>
  <c r="BR344" i="4"/>
  <c r="BR345" i="4"/>
  <c r="BR346" i="4"/>
  <c r="BR347" i="4"/>
  <c r="BR348" i="4"/>
  <c r="BR349" i="4"/>
  <c r="BR350" i="4"/>
  <c r="BQ350" i="4" s="1"/>
  <c r="BR351" i="4"/>
  <c r="BQ351" i="4" s="1"/>
  <c r="BR352" i="4"/>
  <c r="BQ352" i="4" s="1"/>
  <c r="BR353" i="4"/>
  <c r="BQ353" i="4" s="1"/>
  <c r="BR354" i="4"/>
  <c r="BQ354" i="4" s="1"/>
  <c r="BR355" i="4"/>
  <c r="BR356" i="4"/>
  <c r="BR357" i="4"/>
  <c r="BR358" i="4"/>
  <c r="BR359" i="4"/>
  <c r="BR360" i="4"/>
  <c r="BQ360" i="4" s="1"/>
  <c r="BR361" i="4"/>
  <c r="BQ361" i="4" s="1"/>
  <c r="BR362" i="4"/>
  <c r="BQ362" i="4" s="1"/>
  <c r="BR363" i="4"/>
  <c r="BR364" i="4"/>
  <c r="BR365" i="4"/>
  <c r="BR366" i="4"/>
  <c r="BR367" i="4"/>
  <c r="BR368" i="4"/>
  <c r="BR369" i="4"/>
  <c r="BR370" i="4"/>
  <c r="BQ370" i="4" s="1"/>
  <c r="BR371" i="4"/>
  <c r="BQ371" i="4" s="1"/>
  <c r="BR372" i="4"/>
  <c r="BQ372" i="4" s="1"/>
  <c r="BR373" i="4"/>
  <c r="BQ373" i="4" s="1"/>
  <c r="BR374" i="4"/>
  <c r="BQ374" i="4" s="1"/>
  <c r="BR375" i="4"/>
  <c r="BR376" i="4"/>
  <c r="BR377" i="4"/>
  <c r="BR378" i="4"/>
  <c r="BR379" i="4"/>
  <c r="BR380" i="4"/>
  <c r="BQ380" i="4" s="1"/>
  <c r="BR381" i="4"/>
  <c r="BQ381" i="4" s="1"/>
  <c r="BR382" i="4"/>
  <c r="BQ382" i="4" s="1"/>
  <c r="BR383" i="4"/>
  <c r="BR384" i="4"/>
  <c r="BR385" i="4"/>
  <c r="BR386" i="4"/>
  <c r="BR387" i="4"/>
  <c r="BR388" i="4"/>
  <c r="BR389" i="4"/>
  <c r="BR390" i="4"/>
  <c r="BQ390" i="4" s="1"/>
  <c r="BR391" i="4"/>
  <c r="BQ391" i="4" s="1"/>
  <c r="BR392" i="4"/>
  <c r="BQ392" i="4" s="1"/>
  <c r="BR393" i="4"/>
  <c r="BQ393" i="4" s="1"/>
  <c r="BR394" i="4"/>
  <c r="BQ394" i="4" s="1"/>
  <c r="BR395" i="4"/>
  <c r="BR396" i="4"/>
  <c r="BR397" i="4"/>
  <c r="BR398" i="4"/>
  <c r="BR399" i="4"/>
  <c r="BR400" i="4"/>
  <c r="BQ400" i="4" s="1"/>
  <c r="BR401" i="4"/>
  <c r="BQ401" i="4" s="1"/>
  <c r="BR402" i="4"/>
  <c r="BR403" i="4"/>
  <c r="BR404" i="4"/>
  <c r="BR405" i="4"/>
  <c r="BR406" i="4"/>
  <c r="BR407" i="4"/>
  <c r="BR408" i="4"/>
  <c r="BR409" i="4"/>
  <c r="BR410" i="4"/>
  <c r="BQ410" i="4" s="1"/>
  <c r="BR411" i="4"/>
  <c r="BQ411" i="4" s="1"/>
  <c r="BR412" i="4"/>
  <c r="BQ412" i="4" s="1"/>
  <c r="BR413" i="4"/>
  <c r="BQ413" i="4" s="1"/>
  <c r="BR414" i="4"/>
  <c r="BQ414" i="4" s="1"/>
  <c r="BR415" i="4"/>
  <c r="BR416" i="4"/>
  <c r="BR417" i="4"/>
  <c r="BR418" i="4"/>
  <c r="BR419" i="4"/>
  <c r="BR420" i="4"/>
  <c r="BQ420" i="4" s="1"/>
  <c r="BR421" i="4"/>
  <c r="BQ421" i="4" s="1"/>
  <c r="BR422" i="4"/>
  <c r="BR423" i="4"/>
  <c r="BR424" i="4"/>
  <c r="BR425" i="4"/>
  <c r="BR426" i="4"/>
  <c r="BR427" i="4"/>
  <c r="BR428" i="4"/>
  <c r="BR429" i="4"/>
  <c r="BR430" i="4"/>
  <c r="BQ430" i="4" s="1"/>
  <c r="BR431" i="4"/>
  <c r="BQ431" i="4" s="1"/>
  <c r="BR432" i="4"/>
  <c r="BQ432" i="4" s="1"/>
  <c r="BR433" i="4"/>
  <c r="BQ433" i="4" s="1"/>
  <c r="BR434" i="4"/>
  <c r="BQ434" i="4" s="1"/>
  <c r="BR435" i="4"/>
  <c r="BR436" i="4"/>
  <c r="BR437" i="4"/>
  <c r="BR438" i="4"/>
  <c r="BR439" i="4"/>
  <c r="BR440" i="4"/>
  <c r="BQ440" i="4" s="1"/>
  <c r="BR441" i="4"/>
  <c r="BQ441" i="4" s="1"/>
  <c r="BR442" i="4"/>
  <c r="BR443" i="4"/>
  <c r="BR444" i="4"/>
  <c r="BR445" i="4"/>
  <c r="BR446" i="4"/>
  <c r="BR447" i="4"/>
  <c r="BR448" i="4"/>
  <c r="BR449" i="4"/>
  <c r="BR450" i="4"/>
  <c r="BQ450" i="4" s="1"/>
  <c r="BR451" i="4"/>
  <c r="BQ451" i="4" s="1"/>
  <c r="BR452" i="4"/>
  <c r="BQ452" i="4" s="1"/>
  <c r="BR453" i="4"/>
  <c r="BQ453" i="4" s="1"/>
  <c r="BR454" i="4"/>
  <c r="BQ454" i="4" s="1"/>
  <c r="BR455" i="4"/>
  <c r="BR456" i="4"/>
  <c r="BR457" i="4"/>
  <c r="BR458" i="4"/>
  <c r="BR459" i="4"/>
  <c r="BR460" i="4"/>
  <c r="BQ460" i="4" s="1"/>
  <c r="BR461" i="4"/>
  <c r="BQ461" i="4" s="1"/>
  <c r="BR462" i="4"/>
  <c r="BR463" i="4"/>
  <c r="BR464" i="4"/>
  <c r="BR465" i="4"/>
  <c r="BR466" i="4"/>
  <c r="BR467" i="4"/>
  <c r="BR468" i="4"/>
  <c r="BR469" i="4"/>
  <c r="BR470" i="4"/>
  <c r="BQ470" i="4" s="1"/>
  <c r="BR471" i="4"/>
  <c r="BQ471" i="4" s="1"/>
  <c r="BR472" i="4"/>
  <c r="BQ472" i="4" s="1"/>
  <c r="BR473" i="4"/>
  <c r="BQ473" i="4" s="1"/>
  <c r="BR474" i="4"/>
  <c r="BQ474" i="4" s="1"/>
  <c r="BR475" i="4"/>
  <c r="BR476" i="4"/>
  <c r="BR477" i="4"/>
  <c r="BR478" i="4"/>
  <c r="BR479" i="4"/>
  <c r="BR480" i="4"/>
  <c r="BQ480" i="4" s="1"/>
  <c r="BR481" i="4"/>
  <c r="BQ481" i="4" s="1"/>
  <c r="BR482" i="4"/>
  <c r="BR483" i="4"/>
  <c r="BR484" i="4"/>
  <c r="BR485" i="4"/>
  <c r="BR486" i="4"/>
  <c r="BR487" i="4"/>
  <c r="BR488" i="4"/>
  <c r="BR489" i="4"/>
  <c r="BR490" i="4"/>
  <c r="BQ490" i="4" s="1"/>
  <c r="BR491" i="4"/>
  <c r="BQ491" i="4" s="1"/>
  <c r="BR492" i="4"/>
  <c r="BQ492" i="4" s="1"/>
  <c r="BR493" i="4"/>
  <c r="BQ493" i="4" s="1"/>
  <c r="BR494" i="4"/>
  <c r="BQ494" i="4" s="1"/>
  <c r="BR495" i="4"/>
  <c r="BR496" i="4"/>
  <c r="BR497" i="4"/>
  <c r="BR498" i="4"/>
  <c r="BR499" i="4"/>
  <c r="BR500" i="4"/>
  <c r="BQ500" i="4" s="1"/>
  <c r="BR501" i="4"/>
  <c r="BQ501" i="4" s="1"/>
  <c r="BR502" i="4"/>
  <c r="BR503" i="4"/>
  <c r="BR504" i="4"/>
  <c r="BR505" i="4"/>
  <c r="BR506" i="4"/>
  <c r="BR507" i="4"/>
  <c r="BR508" i="4"/>
  <c r="BR509" i="4"/>
  <c r="BR510" i="4"/>
  <c r="BQ510" i="4" s="1"/>
  <c r="BR511" i="4"/>
  <c r="BQ511" i="4" s="1"/>
  <c r="BR512" i="4"/>
  <c r="BQ512" i="4" s="1"/>
  <c r="BR513" i="4"/>
  <c r="BQ513" i="4" s="1"/>
  <c r="BR514" i="4"/>
  <c r="BQ514" i="4" s="1"/>
  <c r="BR515" i="4"/>
  <c r="BR516" i="4"/>
  <c r="BR517" i="4"/>
  <c r="BR518" i="4"/>
  <c r="BR519" i="4"/>
  <c r="BR520" i="4"/>
  <c r="BQ520" i="4" s="1"/>
  <c r="BR521" i="4"/>
  <c r="BQ521" i="4" s="1"/>
  <c r="BR522" i="4"/>
  <c r="BR523" i="4"/>
  <c r="BR524" i="4"/>
  <c r="BR525" i="4"/>
  <c r="BR526" i="4"/>
  <c r="BR527" i="4"/>
  <c r="BR528" i="4"/>
  <c r="BR529" i="4"/>
  <c r="BR530" i="4"/>
  <c r="BQ530" i="4" s="1"/>
  <c r="BR531" i="4"/>
  <c r="BQ531" i="4" s="1"/>
  <c r="BR532" i="4"/>
  <c r="BQ532" i="4" s="1"/>
  <c r="BR533" i="4"/>
  <c r="BQ533" i="4" s="1"/>
  <c r="BR534" i="4"/>
  <c r="BQ534" i="4" s="1"/>
  <c r="BR535" i="4"/>
  <c r="BR536" i="4"/>
  <c r="BR537" i="4"/>
  <c r="BR538" i="4"/>
  <c r="BR539" i="4"/>
  <c r="BR540" i="4"/>
  <c r="BQ540" i="4" s="1"/>
  <c r="BR541" i="4"/>
  <c r="BQ541" i="4" s="1"/>
  <c r="BR542" i="4"/>
  <c r="BR543" i="4"/>
  <c r="BR544" i="4"/>
  <c r="BR545" i="4"/>
  <c r="BR546" i="4"/>
  <c r="BR547" i="4"/>
  <c r="BR548" i="4"/>
  <c r="BR549" i="4"/>
  <c r="BR550" i="4"/>
  <c r="BQ550" i="4" s="1"/>
  <c r="BR551" i="4"/>
  <c r="BQ551" i="4" s="1"/>
  <c r="BR552" i="4"/>
  <c r="BQ552" i="4" s="1"/>
  <c r="BR553" i="4"/>
  <c r="BQ553" i="4" s="1"/>
  <c r="BR554" i="4"/>
  <c r="BQ554" i="4" s="1"/>
  <c r="BR555" i="4"/>
  <c r="BR556" i="4"/>
  <c r="BR557" i="4"/>
  <c r="BR558" i="4"/>
  <c r="BR559" i="4"/>
  <c r="BR560" i="4"/>
  <c r="BQ560" i="4" s="1"/>
  <c r="BR561" i="4"/>
  <c r="BQ561" i="4" s="1"/>
  <c r="BR562" i="4"/>
  <c r="BR563" i="4"/>
  <c r="BR564" i="4"/>
  <c r="BR565" i="4"/>
  <c r="BR566" i="4"/>
  <c r="BR567" i="4"/>
  <c r="BR568" i="4"/>
  <c r="BR569" i="4"/>
  <c r="BR570" i="4"/>
  <c r="BQ570" i="4" s="1"/>
  <c r="BR571" i="4"/>
  <c r="BQ571" i="4" s="1"/>
  <c r="BR572" i="4"/>
  <c r="BQ572" i="4" s="1"/>
  <c r="BR573" i="4"/>
  <c r="BQ573" i="4" s="1"/>
  <c r="BR574" i="4"/>
  <c r="BQ574" i="4" s="1"/>
  <c r="BR575" i="4"/>
  <c r="BR576" i="4"/>
  <c r="BR577" i="4"/>
  <c r="BR578" i="4"/>
  <c r="BR579" i="4"/>
  <c r="BR580" i="4"/>
  <c r="BQ580" i="4" s="1"/>
  <c r="BR581" i="4"/>
  <c r="BQ581" i="4" s="1"/>
  <c r="BR582" i="4"/>
  <c r="BR583" i="4"/>
  <c r="BR584" i="4"/>
  <c r="BR585" i="4"/>
  <c r="BR586" i="4"/>
  <c r="BR587" i="4"/>
  <c r="BR588" i="4"/>
  <c r="BR589" i="4"/>
  <c r="BR590" i="4"/>
  <c r="BQ590" i="4" s="1"/>
  <c r="BR591" i="4"/>
  <c r="BQ591" i="4" s="1"/>
  <c r="BR592" i="4"/>
  <c r="BQ592" i="4" s="1"/>
  <c r="BR593" i="4"/>
  <c r="BQ593" i="4" s="1"/>
  <c r="BR594" i="4"/>
  <c r="BQ594" i="4" s="1"/>
  <c r="BR595" i="4"/>
  <c r="BR596" i="4"/>
  <c r="BR597" i="4"/>
  <c r="BR598" i="4"/>
  <c r="BR599" i="4"/>
  <c r="BR600" i="4"/>
  <c r="BQ600" i="4" s="1"/>
  <c r="BR601" i="4"/>
  <c r="BQ601" i="4" s="1"/>
  <c r="BR602" i="4"/>
  <c r="BR603" i="4"/>
  <c r="BQ275" i="4"/>
  <c r="BQ276" i="4"/>
  <c r="BQ277" i="4"/>
  <c r="BQ278" i="4"/>
  <c r="BQ279" i="4"/>
  <c r="BQ283" i="4"/>
  <c r="BQ284" i="4"/>
  <c r="BQ285" i="4"/>
  <c r="BQ286" i="4"/>
  <c r="BQ287" i="4"/>
  <c r="BQ288" i="4"/>
  <c r="BQ289" i="4"/>
  <c r="BQ295" i="4"/>
  <c r="BQ296" i="4"/>
  <c r="BQ297" i="4"/>
  <c r="BQ298" i="4"/>
  <c r="BQ299" i="4"/>
  <c r="BQ302" i="4"/>
  <c r="BQ303" i="4"/>
  <c r="BQ304" i="4"/>
  <c r="BQ305" i="4"/>
  <c r="BQ306" i="4"/>
  <c r="BQ307" i="4"/>
  <c r="BQ308" i="4"/>
  <c r="BQ309" i="4"/>
  <c r="BQ315" i="4"/>
  <c r="BQ316" i="4"/>
  <c r="BQ317" i="4"/>
  <c r="BQ318" i="4"/>
  <c r="BQ319" i="4"/>
  <c r="BQ325" i="4"/>
  <c r="BQ326" i="4"/>
  <c r="BQ327" i="4"/>
  <c r="BQ328" i="4"/>
  <c r="BQ329" i="4"/>
  <c r="BQ335" i="4"/>
  <c r="BQ336" i="4"/>
  <c r="BQ337" i="4"/>
  <c r="BQ338" i="4"/>
  <c r="BQ339" i="4"/>
  <c r="BQ342" i="4"/>
  <c r="BQ343" i="4"/>
  <c r="BQ344" i="4"/>
  <c r="BQ345" i="4"/>
  <c r="BQ346" i="4"/>
  <c r="BQ347" i="4"/>
  <c r="BQ348" i="4"/>
  <c r="BQ349" i="4"/>
  <c r="BQ355" i="4"/>
  <c r="BQ356" i="4"/>
  <c r="BQ357" i="4"/>
  <c r="BQ358" i="4"/>
  <c r="BQ359" i="4"/>
  <c r="BQ363" i="4"/>
  <c r="BQ364" i="4"/>
  <c r="BQ365" i="4"/>
  <c r="BQ366" i="4"/>
  <c r="BQ367" i="4"/>
  <c r="BQ368" i="4"/>
  <c r="BQ369" i="4"/>
  <c r="BQ375" i="4"/>
  <c r="BQ376" i="4"/>
  <c r="BQ377" i="4"/>
  <c r="BQ378" i="4"/>
  <c r="BQ379" i="4"/>
  <c r="BQ383" i="4"/>
  <c r="BQ384" i="4"/>
  <c r="BQ385" i="4"/>
  <c r="BQ386" i="4"/>
  <c r="BQ387" i="4"/>
  <c r="BQ388" i="4"/>
  <c r="BQ389" i="4"/>
  <c r="BQ395" i="4"/>
  <c r="BQ396" i="4"/>
  <c r="BQ397" i="4"/>
  <c r="BQ398" i="4"/>
  <c r="BQ399" i="4"/>
  <c r="BQ402" i="4"/>
  <c r="BQ403" i="4"/>
  <c r="BQ404" i="4"/>
  <c r="BQ405" i="4"/>
  <c r="BQ406" i="4"/>
  <c r="BQ407" i="4"/>
  <c r="BQ408" i="4"/>
  <c r="BQ409" i="4"/>
  <c r="BQ415" i="4"/>
  <c r="BQ416" i="4"/>
  <c r="BQ417" i="4"/>
  <c r="BQ418" i="4"/>
  <c r="BQ419" i="4"/>
  <c r="BQ422" i="4"/>
  <c r="BQ423" i="4"/>
  <c r="BQ424" i="4"/>
  <c r="BQ425" i="4"/>
  <c r="BQ426" i="4"/>
  <c r="BQ427" i="4"/>
  <c r="BQ428" i="4"/>
  <c r="BQ429" i="4"/>
  <c r="BQ435" i="4"/>
  <c r="BQ436" i="4"/>
  <c r="BQ437" i="4"/>
  <c r="BQ438" i="4"/>
  <c r="BQ439" i="4"/>
  <c r="BQ442" i="4"/>
  <c r="BQ443" i="4"/>
  <c r="BQ444" i="4"/>
  <c r="BQ445" i="4"/>
  <c r="BQ446" i="4"/>
  <c r="BQ447" i="4"/>
  <c r="BQ448" i="4"/>
  <c r="BQ449" i="4"/>
  <c r="BQ455" i="4"/>
  <c r="BQ456" i="4"/>
  <c r="BQ457" i="4"/>
  <c r="BQ458" i="4"/>
  <c r="BQ459" i="4"/>
  <c r="BQ462" i="4"/>
  <c r="BQ463" i="4"/>
  <c r="BQ464" i="4"/>
  <c r="BQ465" i="4"/>
  <c r="BQ466" i="4"/>
  <c r="BQ467" i="4"/>
  <c r="BQ468" i="4"/>
  <c r="BQ469" i="4"/>
  <c r="BQ475" i="4"/>
  <c r="BQ476" i="4"/>
  <c r="BQ477" i="4"/>
  <c r="BQ478" i="4"/>
  <c r="BQ479" i="4"/>
  <c r="BQ482" i="4"/>
  <c r="BQ483" i="4"/>
  <c r="BQ484" i="4"/>
  <c r="BQ485" i="4"/>
  <c r="BQ486" i="4"/>
  <c r="BQ487" i="4"/>
  <c r="BQ488" i="4"/>
  <c r="BQ489" i="4"/>
  <c r="BQ495" i="4"/>
  <c r="BQ496" i="4"/>
  <c r="BQ497" i="4"/>
  <c r="BQ498" i="4"/>
  <c r="BQ499" i="4"/>
  <c r="BQ502" i="4"/>
  <c r="BQ503" i="4"/>
  <c r="BQ504" i="4"/>
  <c r="BQ505" i="4"/>
  <c r="BQ506" i="4"/>
  <c r="BQ507" i="4"/>
  <c r="BQ508" i="4"/>
  <c r="BQ509" i="4"/>
  <c r="BQ515" i="4"/>
  <c r="BQ516" i="4"/>
  <c r="BQ517" i="4"/>
  <c r="BQ518" i="4"/>
  <c r="BQ519" i="4"/>
  <c r="BQ522" i="4"/>
  <c r="BQ523" i="4"/>
  <c r="BQ524" i="4"/>
  <c r="BQ525" i="4"/>
  <c r="BQ526" i="4"/>
  <c r="BQ527" i="4"/>
  <c r="BQ528" i="4"/>
  <c r="BQ529" i="4"/>
  <c r="BQ535" i="4"/>
  <c r="BQ536" i="4"/>
  <c r="BQ537" i="4"/>
  <c r="BQ538" i="4"/>
  <c r="BQ539" i="4"/>
  <c r="BQ542" i="4"/>
  <c r="BQ543" i="4"/>
  <c r="BQ544" i="4"/>
  <c r="BQ545" i="4"/>
  <c r="BQ546" i="4"/>
  <c r="BQ547" i="4"/>
  <c r="BQ548" i="4"/>
  <c r="BQ549" i="4"/>
  <c r="BQ555" i="4"/>
  <c r="BQ556" i="4"/>
  <c r="BQ557" i="4"/>
  <c r="BQ558" i="4"/>
  <c r="BQ559" i="4"/>
  <c r="BQ562" i="4"/>
  <c r="BQ563" i="4"/>
  <c r="BQ564" i="4"/>
  <c r="BQ565" i="4"/>
  <c r="BQ566" i="4"/>
  <c r="BQ567" i="4"/>
  <c r="BQ568" i="4"/>
  <c r="BQ569" i="4"/>
  <c r="BQ575" i="4"/>
  <c r="BQ576" i="4"/>
  <c r="BQ577" i="4"/>
  <c r="BQ578" i="4"/>
  <c r="BQ579" i="4"/>
  <c r="BQ582" i="4"/>
  <c r="BQ583" i="4"/>
  <c r="BQ584" i="4"/>
  <c r="BQ585" i="4"/>
  <c r="BQ586" i="4"/>
  <c r="BQ587" i="4"/>
  <c r="BQ588" i="4"/>
  <c r="BQ589" i="4"/>
  <c r="BQ595" i="4"/>
  <c r="BQ596" i="4"/>
  <c r="BQ597" i="4"/>
  <c r="BQ598" i="4"/>
  <c r="BQ599" i="4"/>
  <c r="BQ602" i="4"/>
  <c r="BQ603" i="4"/>
  <c r="BP275" i="4"/>
  <c r="BP276" i="4"/>
  <c r="BP277" i="4"/>
  <c r="BP278" i="4"/>
  <c r="BP279" i="4"/>
  <c r="BP280" i="4"/>
  <c r="BO280" i="4" s="1"/>
  <c r="BP281" i="4"/>
  <c r="BO281" i="4" s="1"/>
  <c r="BP282" i="4"/>
  <c r="BP283" i="4"/>
  <c r="BP284" i="4"/>
  <c r="BP285" i="4"/>
  <c r="BP286" i="4"/>
  <c r="BP287" i="4"/>
  <c r="BP288" i="4"/>
  <c r="BP289" i="4"/>
  <c r="BP290" i="4"/>
  <c r="BO290" i="4" s="1"/>
  <c r="BO291" i="4"/>
  <c r="BO292" i="4"/>
  <c r="BO293" i="4"/>
  <c r="BO294" i="4"/>
  <c r="BO300" i="4"/>
  <c r="BO301" i="4"/>
  <c r="BO302" i="4"/>
  <c r="BO304" i="4"/>
  <c r="BO312" i="4"/>
  <c r="BO313" i="4"/>
  <c r="BO314" i="4"/>
  <c r="BO332" i="4"/>
  <c r="BO333" i="4"/>
  <c r="BO334" i="4"/>
  <c r="BO340" i="4"/>
  <c r="BO352" i="4"/>
  <c r="BO353" i="4"/>
  <c r="BO354" i="4"/>
  <c r="BO360" i="4"/>
  <c r="BO361" i="4"/>
  <c r="BO372" i="4"/>
  <c r="BO373" i="4"/>
  <c r="BO374" i="4"/>
  <c r="BO380" i="4"/>
  <c r="BO381" i="4"/>
  <c r="BO382" i="4"/>
  <c r="BO392" i="4"/>
  <c r="BO393" i="4"/>
  <c r="BO394" i="4"/>
  <c r="BO400" i="4"/>
  <c r="BO401" i="4"/>
  <c r="BO412" i="4"/>
  <c r="BO413" i="4"/>
  <c r="BO414" i="4"/>
  <c r="BO432" i="4"/>
  <c r="BO433" i="4"/>
  <c r="BO434" i="4"/>
  <c r="BO440" i="4"/>
  <c r="BO441" i="4"/>
  <c r="BO452" i="4"/>
  <c r="BO453" i="4"/>
  <c r="BO454" i="4"/>
  <c r="BO460" i="4"/>
  <c r="BO461" i="4"/>
  <c r="BO472" i="4"/>
  <c r="BO473" i="4"/>
  <c r="BO474" i="4"/>
  <c r="BO492" i="4"/>
  <c r="BO493" i="4"/>
  <c r="BO494" i="4"/>
  <c r="BO500" i="4"/>
  <c r="BO501" i="4"/>
  <c r="BO512" i="4"/>
  <c r="BO513" i="4"/>
  <c r="BO514" i="4"/>
  <c r="BO520" i="4"/>
  <c r="BO532" i="4"/>
  <c r="BO533" i="4"/>
  <c r="BO534" i="4"/>
  <c r="BO552" i="4"/>
  <c r="BO553" i="4"/>
  <c r="BO554" i="4"/>
  <c r="BO560" i="4"/>
  <c r="BO561" i="4"/>
  <c r="BO572" i="4"/>
  <c r="BO573" i="4"/>
  <c r="BO574" i="4"/>
  <c r="BO592" i="4"/>
  <c r="BO593" i="4"/>
  <c r="BO594" i="4"/>
  <c r="BO612" i="4"/>
  <c r="BO613" i="4"/>
  <c r="BO614" i="4"/>
  <c r="BO275" i="4"/>
  <c r="BO276" i="4"/>
  <c r="BO277" i="4"/>
  <c r="BO278" i="4"/>
  <c r="BO279" i="4"/>
  <c r="BO282" i="4"/>
  <c r="BO283" i="4"/>
  <c r="BO284" i="4"/>
  <c r="BO285" i="4"/>
  <c r="BO286" i="4"/>
  <c r="BO287" i="4"/>
  <c r="BO288" i="4"/>
  <c r="BO289" i="4"/>
  <c r="BO295" i="4"/>
  <c r="BO296" i="4"/>
  <c r="BO297" i="4"/>
  <c r="BO298" i="4"/>
  <c r="BO299" i="4"/>
  <c r="BO303" i="4"/>
  <c r="BO305" i="4"/>
  <c r="BO306" i="4"/>
  <c r="BO307" i="4"/>
  <c r="BO315" i="4"/>
  <c r="BO316" i="4"/>
  <c r="BO335" i="4"/>
  <c r="BO336" i="4"/>
  <c r="BO337" i="4"/>
  <c r="BO338" i="4"/>
  <c r="BO339" i="4"/>
  <c r="BO375" i="4"/>
  <c r="BO376" i="4"/>
  <c r="BO377" i="4"/>
  <c r="BO378" i="4"/>
  <c r="BO379" i="4"/>
  <c r="BO395" i="4"/>
  <c r="BO396" i="4"/>
  <c r="BO397" i="4"/>
  <c r="BO398" i="4"/>
  <c r="BO399" i="4"/>
  <c r="BO415" i="4"/>
  <c r="BO416" i="4"/>
  <c r="BO417" i="4"/>
  <c r="BO418" i="4"/>
  <c r="BO419" i="4"/>
  <c r="BO435" i="4"/>
  <c r="BO436" i="4"/>
  <c r="BO437" i="4"/>
  <c r="BO438" i="4"/>
  <c r="BO439" i="4"/>
  <c r="BO475" i="4"/>
  <c r="BO476" i="4"/>
  <c r="BO477" i="4"/>
  <c r="BO478" i="4"/>
  <c r="BO479" i="4"/>
  <c r="BO495" i="4"/>
  <c r="BO496" i="4"/>
  <c r="BO497" i="4"/>
  <c r="BO498" i="4"/>
  <c r="BO499" i="4"/>
  <c r="BO526" i="4"/>
  <c r="BO527" i="4"/>
  <c r="BO528" i="4"/>
  <c r="BO529" i="4"/>
  <c r="BO535" i="4"/>
  <c r="BO536" i="4"/>
  <c r="BO537" i="4"/>
  <c r="BO538" i="4"/>
  <c r="BO539" i="4"/>
  <c r="BO555" i="4"/>
  <c r="BO556" i="4"/>
  <c r="BO557" i="4"/>
  <c r="BO558" i="4"/>
  <c r="BO559" i="4"/>
  <c r="BO562" i="4"/>
  <c r="BO563" i="4"/>
  <c r="BO564" i="4"/>
  <c r="BO565" i="4"/>
  <c r="BO566" i="4"/>
  <c r="BO567" i="4"/>
  <c r="BO568" i="4"/>
  <c r="BO569" i="4"/>
  <c r="BO575" i="4"/>
  <c r="BO595" i="4"/>
  <c r="BO596" i="4"/>
  <c r="BO597" i="4"/>
  <c r="BO598" i="4"/>
  <c r="BO599" i="4"/>
  <c r="BO615" i="4"/>
  <c r="BO616" i="4"/>
  <c r="BO617" i="4"/>
  <c r="BO618" i="4"/>
  <c r="BO619" i="4"/>
  <c r="BN275" i="4"/>
  <c r="BN276" i="4"/>
  <c r="BN277" i="4"/>
  <c r="BM277" i="4" s="1"/>
  <c r="BN278" i="4"/>
  <c r="BM278" i="4" s="1"/>
  <c r="BN279" i="4"/>
  <c r="BN280" i="4"/>
  <c r="BN281" i="4"/>
  <c r="BN282" i="4"/>
  <c r="BN283" i="4"/>
  <c r="BN284" i="4"/>
  <c r="BN285" i="4"/>
  <c r="BN286" i="4"/>
  <c r="BN287" i="4"/>
  <c r="BN288" i="4"/>
  <c r="BN289" i="4"/>
  <c r="BN290" i="4"/>
  <c r="BM290" i="4" s="1"/>
  <c r="BN291" i="4"/>
  <c r="BM291" i="4" s="1"/>
  <c r="BN292" i="4"/>
  <c r="BM292" i="4" s="1"/>
  <c r="BN293" i="4"/>
  <c r="BM293" i="4" s="1"/>
  <c r="BN294" i="4"/>
  <c r="BM294" i="4" s="1"/>
  <c r="BN295" i="4"/>
  <c r="BN296" i="4"/>
  <c r="BN297" i="4"/>
  <c r="BM297" i="4" s="1"/>
  <c r="BN298" i="4"/>
  <c r="BM298" i="4" s="1"/>
  <c r="BN299" i="4"/>
  <c r="BN300" i="4"/>
  <c r="BN301" i="4"/>
  <c r="BN302" i="4"/>
  <c r="BN303" i="4"/>
  <c r="BN304" i="4"/>
  <c r="BN305" i="4"/>
  <c r="BN306" i="4"/>
  <c r="BN307" i="4"/>
  <c r="BN308" i="4"/>
  <c r="BN309" i="4"/>
  <c r="BN310" i="4"/>
  <c r="BM310" i="4" s="1"/>
  <c r="BN311" i="4"/>
  <c r="BM311" i="4" s="1"/>
  <c r="BN312" i="4"/>
  <c r="BM312" i="4" s="1"/>
  <c r="BN313" i="4"/>
  <c r="BM313" i="4" s="1"/>
  <c r="BN314" i="4"/>
  <c r="BM314" i="4" s="1"/>
  <c r="BN315" i="4"/>
  <c r="BN316" i="4"/>
  <c r="BN317" i="4"/>
  <c r="BM317" i="4" s="1"/>
  <c r="BN318" i="4"/>
  <c r="BM318" i="4" s="1"/>
  <c r="BN319" i="4"/>
  <c r="BN320" i="4"/>
  <c r="BN321" i="4"/>
  <c r="BN322" i="4"/>
  <c r="BN323" i="4"/>
  <c r="BN324" i="4"/>
  <c r="BN325" i="4"/>
  <c r="BN326" i="4"/>
  <c r="BN327" i="4"/>
  <c r="BN328" i="4"/>
  <c r="BN329" i="4"/>
  <c r="BN330" i="4"/>
  <c r="BM330" i="4" s="1"/>
  <c r="BN331" i="4"/>
  <c r="BM331" i="4" s="1"/>
  <c r="BN332" i="4"/>
  <c r="BM332" i="4" s="1"/>
  <c r="BN333" i="4"/>
  <c r="BM333" i="4" s="1"/>
  <c r="BN334" i="4"/>
  <c r="BM334" i="4" s="1"/>
  <c r="BN335" i="4"/>
  <c r="BN336" i="4"/>
  <c r="BN337" i="4"/>
  <c r="BM337" i="4" s="1"/>
  <c r="BN338" i="4"/>
  <c r="BM338" i="4" s="1"/>
  <c r="BN339" i="4"/>
  <c r="BN340" i="4"/>
  <c r="BN341" i="4"/>
  <c r="BN342" i="4"/>
  <c r="BN343" i="4"/>
  <c r="BN344" i="4"/>
  <c r="BN345" i="4"/>
  <c r="BN346" i="4"/>
  <c r="BN347" i="4"/>
  <c r="BN348" i="4"/>
  <c r="BN349" i="4"/>
  <c r="BN350" i="4"/>
  <c r="BM350" i="4" s="1"/>
  <c r="BN351" i="4"/>
  <c r="BM351" i="4" s="1"/>
  <c r="BN352" i="4"/>
  <c r="BM352" i="4" s="1"/>
  <c r="BN353" i="4"/>
  <c r="BM353" i="4" s="1"/>
  <c r="BN354" i="4"/>
  <c r="BM354" i="4" s="1"/>
  <c r="BN355" i="4"/>
  <c r="BN356" i="4"/>
  <c r="BN357" i="4"/>
  <c r="BM357" i="4" s="1"/>
  <c r="BN358" i="4"/>
  <c r="BM358" i="4" s="1"/>
  <c r="BN359" i="4"/>
  <c r="BN360" i="4"/>
  <c r="BN361" i="4"/>
  <c r="BN362" i="4"/>
  <c r="BN363" i="4"/>
  <c r="BN364" i="4"/>
  <c r="BN365" i="4"/>
  <c r="BN366" i="4"/>
  <c r="BN367" i="4"/>
  <c r="BN368" i="4"/>
  <c r="BN369" i="4"/>
  <c r="BN370" i="4"/>
  <c r="BM370" i="4" s="1"/>
  <c r="BN371" i="4"/>
  <c r="BM371" i="4" s="1"/>
  <c r="BN372" i="4"/>
  <c r="BM372" i="4" s="1"/>
  <c r="BN373" i="4"/>
  <c r="BM373" i="4" s="1"/>
  <c r="BN374" i="4"/>
  <c r="BM374" i="4" s="1"/>
  <c r="BN375" i="4"/>
  <c r="BN376" i="4"/>
  <c r="BN377" i="4"/>
  <c r="BM377" i="4" s="1"/>
  <c r="BN378" i="4"/>
  <c r="BM378" i="4" s="1"/>
  <c r="BN379" i="4"/>
  <c r="BN380" i="4"/>
  <c r="BN381" i="4"/>
  <c r="BN382" i="4"/>
  <c r="BN383" i="4"/>
  <c r="BN384" i="4"/>
  <c r="BN385" i="4"/>
  <c r="BN386" i="4"/>
  <c r="BN387" i="4"/>
  <c r="BN388" i="4"/>
  <c r="BN389" i="4"/>
  <c r="BN390" i="4"/>
  <c r="BM390" i="4" s="1"/>
  <c r="BN391" i="4"/>
  <c r="BM391" i="4" s="1"/>
  <c r="BN392" i="4"/>
  <c r="BM392" i="4" s="1"/>
  <c r="BN393" i="4"/>
  <c r="BM393" i="4" s="1"/>
  <c r="BN394" i="4"/>
  <c r="BM394" i="4" s="1"/>
  <c r="BN395" i="4"/>
  <c r="BN396" i="4"/>
  <c r="BN397" i="4"/>
  <c r="BM397" i="4" s="1"/>
  <c r="BN398" i="4"/>
  <c r="BM398" i="4" s="1"/>
  <c r="BN399" i="4"/>
  <c r="BN400" i="4"/>
  <c r="BN401" i="4"/>
  <c r="BN402" i="4"/>
  <c r="BN403" i="4"/>
  <c r="BN404" i="4"/>
  <c r="BN405" i="4"/>
  <c r="BN406" i="4"/>
  <c r="BN407" i="4"/>
  <c r="BN408" i="4"/>
  <c r="BN409" i="4"/>
  <c r="BN410" i="4"/>
  <c r="BM410" i="4" s="1"/>
  <c r="BN411" i="4"/>
  <c r="BM411" i="4" s="1"/>
  <c r="BN412" i="4"/>
  <c r="BM412" i="4" s="1"/>
  <c r="BN413" i="4"/>
  <c r="BM413" i="4" s="1"/>
  <c r="BN414" i="4"/>
  <c r="BM414" i="4" s="1"/>
  <c r="BN415" i="4"/>
  <c r="BN416" i="4"/>
  <c r="BN417" i="4"/>
  <c r="BM417" i="4" s="1"/>
  <c r="BN418" i="4"/>
  <c r="BM418" i="4" s="1"/>
  <c r="BN419" i="4"/>
  <c r="BN420" i="4"/>
  <c r="BN421" i="4"/>
  <c r="BN422" i="4"/>
  <c r="BN423" i="4"/>
  <c r="BN424" i="4"/>
  <c r="BN425" i="4"/>
  <c r="BN426" i="4"/>
  <c r="BN427" i="4"/>
  <c r="BN428" i="4"/>
  <c r="BN429" i="4"/>
  <c r="BN430" i="4"/>
  <c r="BM430" i="4" s="1"/>
  <c r="BN431" i="4"/>
  <c r="BM431" i="4" s="1"/>
  <c r="BN432" i="4"/>
  <c r="BM432" i="4" s="1"/>
  <c r="BN433" i="4"/>
  <c r="BM433" i="4" s="1"/>
  <c r="BN434" i="4"/>
  <c r="BM434" i="4" s="1"/>
  <c r="BN435" i="4"/>
  <c r="BN436" i="4"/>
  <c r="BN437" i="4"/>
  <c r="BM437" i="4" s="1"/>
  <c r="BN438" i="4"/>
  <c r="BM438" i="4" s="1"/>
  <c r="BN439" i="4"/>
  <c r="BN440" i="4"/>
  <c r="BN441" i="4"/>
  <c r="BN442" i="4"/>
  <c r="BN443" i="4"/>
  <c r="BN444" i="4"/>
  <c r="BN445" i="4"/>
  <c r="BN446" i="4"/>
  <c r="BN447" i="4"/>
  <c r="BN448" i="4"/>
  <c r="BN449" i="4"/>
  <c r="BN450" i="4"/>
  <c r="BM450" i="4" s="1"/>
  <c r="BN451" i="4"/>
  <c r="BM451" i="4" s="1"/>
  <c r="BN452" i="4"/>
  <c r="BM452" i="4" s="1"/>
  <c r="BN453" i="4"/>
  <c r="BM453" i="4" s="1"/>
  <c r="BN454" i="4"/>
  <c r="BM454" i="4" s="1"/>
  <c r="BN455" i="4"/>
  <c r="BN456" i="4"/>
  <c r="BN457" i="4"/>
  <c r="BM457" i="4" s="1"/>
  <c r="BN458" i="4"/>
  <c r="BM458" i="4" s="1"/>
  <c r="BN459" i="4"/>
  <c r="BN460" i="4"/>
  <c r="BN461" i="4"/>
  <c r="BN462" i="4"/>
  <c r="BN463" i="4"/>
  <c r="BN464" i="4"/>
  <c r="BN465" i="4"/>
  <c r="BN466" i="4"/>
  <c r="BN467" i="4"/>
  <c r="BN468" i="4"/>
  <c r="BN469" i="4"/>
  <c r="BN470" i="4"/>
  <c r="BM470" i="4" s="1"/>
  <c r="BN471" i="4"/>
  <c r="BM471" i="4" s="1"/>
  <c r="BN472" i="4"/>
  <c r="BM472" i="4" s="1"/>
  <c r="BN473" i="4"/>
  <c r="BM473" i="4" s="1"/>
  <c r="BN474" i="4"/>
  <c r="BM474" i="4" s="1"/>
  <c r="BN475" i="4"/>
  <c r="BN476" i="4"/>
  <c r="BN477" i="4"/>
  <c r="BM477" i="4" s="1"/>
  <c r="BN478" i="4"/>
  <c r="BM478" i="4" s="1"/>
  <c r="BN479" i="4"/>
  <c r="BN480" i="4"/>
  <c r="BN481" i="4"/>
  <c r="BN482" i="4"/>
  <c r="BN483" i="4"/>
  <c r="BN484" i="4"/>
  <c r="BN485" i="4"/>
  <c r="BN486" i="4"/>
  <c r="BN487" i="4"/>
  <c r="BN488" i="4"/>
  <c r="BN489" i="4"/>
  <c r="BN490" i="4"/>
  <c r="BM490" i="4" s="1"/>
  <c r="BN491" i="4"/>
  <c r="BM491" i="4" s="1"/>
  <c r="BN492" i="4"/>
  <c r="BM492" i="4" s="1"/>
  <c r="BN493" i="4"/>
  <c r="BM493" i="4" s="1"/>
  <c r="BN494" i="4"/>
  <c r="BM494" i="4" s="1"/>
  <c r="BN495" i="4"/>
  <c r="BN496" i="4"/>
  <c r="BN497" i="4"/>
  <c r="BM497" i="4" s="1"/>
  <c r="BN498" i="4"/>
  <c r="BM498" i="4" s="1"/>
  <c r="BN499" i="4"/>
  <c r="BN500" i="4"/>
  <c r="BN501" i="4"/>
  <c r="BN502" i="4"/>
  <c r="BN503" i="4"/>
  <c r="BN504" i="4"/>
  <c r="BN505" i="4"/>
  <c r="BN506" i="4"/>
  <c r="BN507" i="4"/>
  <c r="BN508" i="4"/>
  <c r="BN509" i="4"/>
  <c r="BN510" i="4"/>
  <c r="BM510" i="4" s="1"/>
  <c r="BN511" i="4"/>
  <c r="BM511" i="4" s="1"/>
  <c r="BN512" i="4"/>
  <c r="BM512" i="4" s="1"/>
  <c r="BN513" i="4"/>
  <c r="BM513" i="4" s="1"/>
  <c r="BN514" i="4"/>
  <c r="BM514" i="4" s="1"/>
  <c r="BN515" i="4"/>
  <c r="BN516" i="4"/>
  <c r="BN517" i="4"/>
  <c r="BM517" i="4" s="1"/>
  <c r="BN518" i="4"/>
  <c r="BM518" i="4" s="1"/>
  <c r="BN519" i="4"/>
  <c r="BN520" i="4"/>
  <c r="BN521" i="4"/>
  <c r="BN522" i="4"/>
  <c r="BN523" i="4"/>
  <c r="BN524" i="4"/>
  <c r="BN525" i="4"/>
  <c r="BN526" i="4"/>
  <c r="BN527" i="4"/>
  <c r="BN528" i="4"/>
  <c r="BN529" i="4"/>
  <c r="BN530" i="4"/>
  <c r="BM530" i="4" s="1"/>
  <c r="BN531" i="4"/>
  <c r="BM531" i="4" s="1"/>
  <c r="BN532" i="4"/>
  <c r="BM532" i="4" s="1"/>
  <c r="BN533" i="4"/>
  <c r="BM533" i="4" s="1"/>
  <c r="BN534" i="4"/>
  <c r="BM534" i="4" s="1"/>
  <c r="BN535" i="4"/>
  <c r="BN536" i="4"/>
  <c r="BN537" i="4"/>
  <c r="BM537" i="4" s="1"/>
  <c r="BN538" i="4"/>
  <c r="BM538" i="4" s="1"/>
  <c r="BN539" i="4"/>
  <c r="BN540" i="4"/>
  <c r="BN541" i="4"/>
  <c r="BN542" i="4"/>
  <c r="BN543" i="4"/>
  <c r="BN544" i="4"/>
  <c r="BN545" i="4"/>
  <c r="BN546" i="4"/>
  <c r="BN547" i="4"/>
  <c r="BN548" i="4"/>
  <c r="BN549" i="4"/>
  <c r="BN550" i="4"/>
  <c r="BM550" i="4" s="1"/>
  <c r="BN551" i="4"/>
  <c r="BM551" i="4" s="1"/>
  <c r="BN552" i="4"/>
  <c r="BM552" i="4" s="1"/>
  <c r="BN553" i="4"/>
  <c r="BM553" i="4" s="1"/>
  <c r="BN554" i="4"/>
  <c r="BM554" i="4" s="1"/>
  <c r="BN555" i="4"/>
  <c r="BN556" i="4"/>
  <c r="BN557" i="4"/>
  <c r="BM557" i="4" s="1"/>
  <c r="BN558" i="4"/>
  <c r="BM558" i="4" s="1"/>
  <c r="BN559" i="4"/>
  <c r="BN560" i="4"/>
  <c r="BN561" i="4"/>
  <c r="BN562" i="4"/>
  <c r="BN563" i="4"/>
  <c r="BN564" i="4"/>
  <c r="BN565" i="4"/>
  <c r="BN566" i="4"/>
  <c r="BN567" i="4"/>
  <c r="BN568" i="4"/>
  <c r="BN569" i="4"/>
  <c r="BN570" i="4"/>
  <c r="BM570" i="4" s="1"/>
  <c r="BN571" i="4"/>
  <c r="BM571" i="4" s="1"/>
  <c r="BN572" i="4"/>
  <c r="BM572" i="4" s="1"/>
  <c r="BN573" i="4"/>
  <c r="BM573" i="4" s="1"/>
  <c r="BN574" i="4"/>
  <c r="BM574" i="4" s="1"/>
  <c r="BN575" i="4"/>
  <c r="BN576" i="4"/>
  <c r="BN577" i="4"/>
  <c r="BM577" i="4" s="1"/>
  <c r="BN578" i="4"/>
  <c r="BM578" i="4" s="1"/>
  <c r="BN579" i="4"/>
  <c r="BN580" i="4"/>
  <c r="BN581" i="4"/>
  <c r="BN582" i="4"/>
  <c r="BN583" i="4"/>
  <c r="BN584" i="4"/>
  <c r="BN585" i="4"/>
  <c r="BN586" i="4"/>
  <c r="BN587" i="4"/>
  <c r="BN588" i="4"/>
  <c r="BN589" i="4"/>
  <c r="BN590" i="4"/>
  <c r="BM590" i="4" s="1"/>
  <c r="BN591" i="4"/>
  <c r="BM591" i="4" s="1"/>
  <c r="BN592" i="4"/>
  <c r="BM592" i="4" s="1"/>
  <c r="BN593" i="4"/>
  <c r="BM593" i="4" s="1"/>
  <c r="BN594" i="4"/>
  <c r="BM594" i="4" s="1"/>
  <c r="BN595" i="4"/>
  <c r="BN596" i="4"/>
  <c r="BN597" i="4"/>
  <c r="BM597" i="4" s="1"/>
  <c r="BN598" i="4"/>
  <c r="BM598" i="4" s="1"/>
  <c r="BN599" i="4"/>
  <c r="BN600" i="4"/>
  <c r="BN601" i="4"/>
  <c r="BN602" i="4"/>
  <c r="BN603" i="4"/>
  <c r="BN604" i="4"/>
  <c r="BN605" i="4"/>
  <c r="BN606" i="4"/>
  <c r="BN607" i="4"/>
  <c r="BN608" i="4"/>
  <c r="BN609" i="4"/>
  <c r="BN610" i="4"/>
  <c r="BM610" i="4" s="1"/>
  <c r="BN611" i="4"/>
  <c r="BM611" i="4" s="1"/>
  <c r="BN612" i="4"/>
  <c r="BM612" i="4" s="1"/>
  <c r="BN613" i="4"/>
  <c r="BM613" i="4" s="1"/>
  <c r="BN614" i="4"/>
  <c r="BM614" i="4" s="1"/>
  <c r="BN615" i="4"/>
  <c r="BN616" i="4"/>
  <c r="BN617" i="4"/>
  <c r="BM617" i="4" s="1"/>
  <c r="BN618" i="4"/>
  <c r="BM618" i="4" s="1"/>
  <c r="BN619" i="4"/>
  <c r="BM275" i="4"/>
  <c r="BM276" i="4"/>
  <c r="BM279" i="4"/>
  <c r="BM280" i="4"/>
  <c r="BM281" i="4"/>
  <c r="BM282" i="4"/>
  <c r="BM283" i="4"/>
  <c r="BM284" i="4"/>
  <c r="BM285" i="4"/>
  <c r="BM286" i="4"/>
  <c r="BM287" i="4"/>
  <c r="BM288" i="4"/>
  <c r="BM289" i="4"/>
  <c r="BM295" i="4"/>
  <c r="BM296" i="4"/>
  <c r="BM299" i="4"/>
  <c r="BM300" i="4"/>
  <c r="BM301" i="4"/>
  <c r="BM302" i="4"/>
  <c r="BM303" i="4"/>
  <c r="BM304" i="4"/>
  <c r="BM305" i="4"/>
  <c r="BM306" i="4"/>
  <c r="BM307" i="4"/>
  <c r="BM308" i="4"/>
  <c r="BM309" i="4"/>
  <c r="BM315" i="4"/>
  <c r="BM316" i="4"/>
  <c r="BM319" i="4"/>
  <c r="BM320" i="4"/>
  <c r="BM321" i="4"/>
  <c r="BM322" i="4"/>
  <c r="BM323" i="4"/>
  <c r="BM324" i="4"/>
  <c r="BM325" i="4"/>
  <c r="BM326" i="4"/>
  <c r="BM327" i="4"/>
  <c r="BM328" i="4"/>
  <c r="BM329" i="4"/>
  <c r="BM335" i="4"/>
  <c r="BM336" i="4"/>
  <c r="BM339" i="4"/>
  <c r="BM340" i="4"/>
  <c r="BM341" i="4"/>
  <c r="BM342" i="4"/>
  <c r="BM343" i="4"/>
  <c r="BM344" i="4"/>
  <c r="BM345" i="4"/>
  <c r="BM346" i="4"/>
  <c r="BM347" i="4"/>
  <c r="BM348" i="4"/>
  <c r="BM349" i="4"/>
  <c r="BM355" i="4"/>
  <c r="BM356" i="4"/>
  <c r="BM359" i="4"/>
  <c r="BM360" i="4"/>
  <c r="BM361" i="4"/>
  <c r="BM362" i="4"/>
  <c r="BM363" i="4"/>
  <c r="BM364" i="4"/>
  <c r="BM365" i="4"/>
  <c r="BM366" i="4"/>
  <c r="BM367" i="4"/>
  <c r="BM368" i="4"/>
  <c r="BM369" i="4"/>
  <c r="BM375" i="4"/>
  <c r="BM376" i="4"/>
  <c r="BM379" i="4"/>
  <c r="BM380" i="4"/>
  <c r="BM381" i="4"/>
  <c r="BM382" i="4"/>
  <c r="BM383" i="4"/>
  <c r="BM384" i="4"/>
  <c r="BM385" i="4"/>
  <c r="BM386" i="4"/>
  <c r="BM387" i="4"/>
  <c r="BM388" i="4"/>
  <c r="BM389" i="4"/>
  <c r="BM395" i="4"/>
  <c r="BM396" i="4"/>
  <c r="BM399" i="4"/>
  <c r="BM400" i="4"/>
  <c r="BM401" i="4"/>
  <c r="BM402" i="4"/>
  <c r="BM403" i="4"/>
  <c r="BM404" i="4"/>
  <c r="BM405" i="4"/>
  <c r="BM406" i="4"/>
  <c r="BM407" i="4"/>
  <c r="BM408" i="4"/>
  <c r="BM409" i="4"/>
  <c r="BM415" i="4"/>
  <c r="BM416" i="4"/>
  <c r="BM419" i="4"/>
  <c r="BM420" i="4"/>
  <c r="BM421" i="4"/>
  <c r="BM422" i="4"/>
  <c r="BM423" i="4"/>
  <c r="BM424" i="4"/>
  <c r="BM425" i="4"/>
  <c r="BM426" i="4"/>
  <c r="BM427" i="4"/>
  <c r="BM428" i="4"/>
  <c r="BM429" i="4"/>
  <c r="BM435" i="4"/>
  <c r="BM436" i="4"/>
  <c r="BM439" i="4"/>
  <c r="BM440" i="4"/>
  <c r="BM441" i="4"/>
  <c r="BM442" i="4"/>
  <c r="BM443" i="4"/>
  <c r="BM444" i="4"/>
  <c r="BM445" i="4"/>
  <c r="BM446" i="4"/>
  <c r="BM447" i="4"/>
  <c r="BM448" i="4"/>
  <c r="BM449" i="4"/>
  <c r="BM455" i="4"/>
  <c r="BM456" i="4"/>
  <c r="BM459" i="4"/>
  <c r="BM460" i="4"/>
  <c r="BM461" i="4"/>
  <c r="BM462" i="4"/>
  <c r="BM463" i="4"/>
  <c r="BM464" i="4"/>
  <c r="BM465" i="4"/>
  <c r="BM466" i="4"/>
  <c r="BM467" i="4"/>
  <c r="BM468" i="4"/>
  <c r="BM469" i="4"/>
  <c r="BM475" i="4"/>
  <c r="BM476" i="4"/>
  <c r="BM479" i="4"/>
  <c r="BM480" i="4"/>
  <c r="BM481" i="4"/>
  <c r="BM482" i="4"/>
  <c r="BM483" i="4"/>
  <c r="BM484" i="4"/>
  <c r="BM485" i="4"/>
  <c r="BM486" i="4"/>
  <c r="BM487" i="4"/>
  <c r="BM488" i="4"/>
  <c r="BM489" i="4"/>
  <c r="BM495" i="4"/>
  <c r="BM496" i="4"/>
  <c r="BM499" i="4"/>
  <c r="BM500" i="4"/>
  <c r="BM501" i="4"/>
  <c r="BM502" i="4"/>
  <c r="BM503" i="4"/>
  <c r="BM504" i="4"/>
  <c r="BM505" i="4"/>
  <c r="BM506" i="4"/>
  <c r="BM507" i="4"/>
  <c r="BM508" i="4"/>
  <c r="BM509" i="4"/>
  <c r="BM515" i="4"/>
  <c r="BM516" i="4"/>
  <c r="BM519" i="4"/>
  <c r="BM520" i="4"/>
  <c r="BM521" i="4"/>
  <c r="BM522" i="4"/>
  <c r="BM523" i="4"/>
  <c r="BM524" i="4"/>
  <c r="BM525" i="4"/>
  <c r="BM526" i="4"/>
  <c r="BM527" i="4"/>
  <c r="BM528" i="4"/>
  <c r="BM529" i="4"/>
  <c r="BM535" i="4"/>
  <c r="BM536" i="4"/>
  <c r="BM539" i="4"/>
  <c r="BM540" i="4"/>
  <c r="BM541" i="4"/>
  <c r="BM542" i="4"/>
  <c r="BM543" i="4"/>
  <c r="BM544" i="4"/>
  <c r="BM545" i="4"/>
  <c r="BM546" i="4"/>
  <c r="BM547" i="4"/>
  <c r="BM548" i="4"/>
  <c r="BM549" i="4"/>
  <c r="BM555" i="4"/>
  <c r="BM556" i="4"/>
  <c r="BM559" i="4"/>
  <c r="BM560" i="4"/>
  <c r="BM561" i="4"/>
  <c r="BM562" i="4"/>
  <c r="BM563" i="4"/>
  <c r="BM564" i="4"/>
  <c r="BM565" i="4"/>
  <c r="BM566" i="4"/>
  <c r="BM567" i="4"/>
  <c r="BM568" i="4"/>
  <c r="BM569" i="4"/>
  <c r="BM575" i="4"/>
  <c r="BM576" i="4"/>
  <c r="BM579" i="4"/>
  <c r="BM580" i="4"/>
  <c r="BM581" i="4"/>
  <c r="BM582" i="4"/>
  <c r="BM583" i="4"/>
  <c r="BM584" i="4"/>
  <c r="BM585" i="4"/>
  <c r="BM586" i="4"/>
  <c r="BM587" i="4"/>
  <c r="BM588" i="4"/>
  <c r="BM589" i="4"/>
  <c r="BM595" i="4"/>
  <c r="BM596" i="4"/>
  <c r="BM599" i="4"/>
  <c r="BM600" i="4"/>
  <c r="BM601" i="4"/>
  <c r="BM602" i="4"/>
  <c r="BM603" i="4"/>
  <c r="BM604" i="4"/>
  <c r="BM605" i="4"/>
  <c r="BM606" i="4"/>
  <c r="BM607" i="4"/>
  <c r="BM608" i="4"/>
  <c r="BM609" i="4"/>
  <c r="BM615" i="4"/>
  <c r="BM616" i="4"/>
  <c r="BM619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4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AC410" i="4"/>
  <c r="AC411" i="4"/>
  <c r="AC412" i="4"/>
  <c r="AC413" i="4"/>
  <c r="AC414" i="4"/>
  <c r="AC415" i="4"/>
  <c r="AC416" i="4"/>
  <c r="AC417" i="4"/>
  <c r="AC418" i="4"/>
  <c r="AC419" i="4"/>
  <c r="AC420" i="4"/>
  <c r="AC421" i="4"/>
  <c r="AC422" i="4"/>
  <c r="AC423" i="4"/>
  <c r="AC424" i="4"/>
  <c r="AC425" i="4"/>
  <c r="AC426" i="4"/>
  <c r="AC427" i="4"/>
  <c r="AC428" i="4"/>
  <c r="AC429" i="4"/>
  <c r="AC430" i="4"/>
  <c r="AC431" i="4"/>
  <c r="AC432" i="4"/>
  <c r="AC433" i="4"/>
  <c r="AC434" i="4"/>
  <c r="AC435" i="4"/>
  <c r="AC436" i="4"/>
  <c r="AC437" i="4"/>
  <c r="AC438" i="4"/>
  <c r="AC439" i="4"/>
  <c r="AC440" i="4"/>
  <c r="AC441" i="4"/>
  <c r="AC442" i="4"/>
  <c r="AC443" i="4"/>
  <c r="AC444" i="4"/>
  <c r="AC445" i="4"/>
  <c r="AC446" i="4"/>
  <c r="AC447" i="4"/>
  <c r="AC448" i="4"/>
  <c r="AC449" i="4"/>
  <c r="AC450" i="4"/>
  <c r="AC451" i="4"/>
  <c r="AC452" i="4"/>
  <c r="AC453" i="4"/>
  <c r="AC454" i="4"/>
  <c r="AC455" i="4"/>
  <c r="AC456" i="4"/>
  <c r="AC457" i="4"/>
  <c r="AC458" i="4"/>
  <c r="AC459" i="4"/>
  <c r="AC460" i="4"/>
  <c r="AC461" i="4"/>
  <c r="AC462" i="4"/>
  <c r="AC463" i="4"/>
  <c r="AC464" i="4"/>
  <c r="AC465" i="4"/>
  <c r="AC466" i="4"/>
  <c r="AC467" i="4"/>
  <c r="AC468" i="4"/>
  <c r="AC469" i="4"/>
  <c r="AC470" i="4"/>
  <c r="AC471" i="4"/>
  <c r="AC472" i="4"/>
  <c r="AC473" i="4"/>
  <c r="AC474" i="4"/>
  <c r="AC475" i="4"/>
  <c r="AC476" i="4"/>
  <c r="AC477" i="4"/>
  <c r="AC478" i="4"/>
  <c r="AC479" i="4"/>
  <c r="AC480" i="4"/>
  <c r="AC481" i="4"/>
  <c r="AC482" i="4"/>
  <c r="AC483" i="4"/>
  <c r="AC484" i="4"/>
  <c r="AC485" i="4"/>
  <c r="AC486" i="4"/>
  <c r="AC487" i="4"/>
  <c r="AC488" i="4"/>
  <c r="AC489" i="4"/>
  <c r="AC490" i="4"/>
  <c r="AC491" i="4"/>
  <c r="AC492" i="4"/>
  <c r="AC493" i="4"/>
  <c r="AC494" i="4"/>
  <c r="AC495" i="4"/>
  <c r="AC496" i="4"/>
  <c r="AC497" i="4"/>
  <c r="AC498" i="4"/>
  <c r="AC499" i="4"/>
  <c r="AC500" i="4"/>
  <c r="AC501" i="4"/>
  <c r="AC502" i="4"/>
  <c r="AC503" i="4"/>
  <c r="AC504" i="4"/>
  <c r="AC505" i="4"/>
  <c r="AC506" i="4"/>
  <c r="AC507" i="4"/>
  <c r="AC508" i="4"/>
  <c r="AC509" i="4"/>
  <c r="AC510" i="4"/>
  <c r="AC511" i="4"/>
  <c r="AC512" i="4"/>
  <c r="AC513" i="4"/>
  <c r="AC514" i="4"/>
  <c r="AC515" i="4"/>
  <c r="AC516" i="4"/>
  <c r="AC517" i="4"/>
  <c r="AC518" i="4"/>
  <c r="AC519" i="4"/>
  <c r="AC520" i="4"/>
  <c r="AC521" i="4"/>
  <c r="AC522" i="4"/>
  <c r="AC523" i="4"/>
  <c r="AC524" i="4"/>
  <c r="AC525" i="4"/>
  <c r="AC526" i="4"/>
  <c r="AC527" i="4"/>
  <c r="AC528" i="4"/>
  <c r="AC529" i="4"/>
  <c r="AC530" i="4"/>
  <c r="AC531" i="4"/>
  <c r="AC532" i="4"/>
  <c r="AC533" i="4"/>
  <c r="AC534" i="4"/>
  <c r="AC535" i="4"/>
  <c r="AC536" i="4"/>
  <c r="AC537" i="4"/>
  <c r="AC538" i="4"/>
  <c r="AC539" i="4"/>
  <c r="AC540" i="4"/>
  <c r="AC541" i="4"/>
  <c r="AC542" i="4"/>
  <c r="AC543" i="4"/>
  <c r="AC544" i="4"/>
  <c r="AC545" i="4"/>
  <c r="AC546" i="4"/>
  <c r="AC547" i="4"/>
  <c r="AC548" i="4"/>
  <c r="AC549" i="4"/>
  <c r="AC550" i="4"/>
  <c r="AC551" i="4"/>
  <c r="AC552" i="4"/>
  <c r="AC553" i="4"/>
  <c r="AC554" i="4"/>
  <c r="AC555" i="4"/>
  <c r="AC556" i="4"/>
  <c r="AC557" i="4"/>
  <c r="AC558" i="4"/>
  <c r="AC559" i="4"/>
  <c r="AC560" i="4"/>
  <c r="AC561" i="4"/>
  <c r="AC562" i="4"/>
  <c r="AC563" i="4"/>
  <c r="AC564" i="4"/>
  <c r="AC565" i="4"/>
  <c r="AC566" i="4"/>
  <c r="AC567" i="4"/>
  <c r="AC568" i="4"/>
  <c r="AC569" i="4"/>
  <c r="AC570" i="4"/>
  <c r="AC571" i="4"/>
  <c r="AC572" i="4"/>
  <c r="AC573" i="4"/>
  <c r="AC574" i="4"/>
  <c r="AC575" i="4"/>
  <c r="AC576" i="4"/>
  <c r="AC577" i="4"/>
  <c r="AC578" i="4"/>
  <c r="AC579" i="4"/>
  <c r="AC580" i="4"/>
  <c r="AC581" i="4"/>
  <c r="AC582" i="4"/>
  <c r="AC583" i="4"/>
  <c r="AC584" i="4"/>
  <c r="AC585" i="4"/>
  <c r="AC586" i="4"/>
  <c r="AC587" i="4"/>
  <c r="AC588" i="4"/>
  <c r="AC589" i="4"/>
  <c r="AC590" i="4"/>
  <c r="AC591" i="4"/>
  <c r="AC592" i="4"/>
  <c r="AC593" i="4"/>
  <c r="AC594" i="4"/>
  <c r="AC595" i="4"/>
  <c r="AC596" i="4"/>
  <c r="AC597" i="4"/>
  <c r="AC598" i="4"/>
  <c r="AC599" i="4"/>
  <c r="AC600" i="4"/>
  <c r="AC601" i="4"/>
  <c r="AC602" i="4"/>
  <c r="AC603" i="4"/>
  <c r="AC604" i="4"/>
  <c r="AC605" i="4"/>
  <c r="AC606" i="4"/>
  <c r="AC607" i="4"/>
  <c r="AC608" i="4"/>
  <c r="AC609" i="4"/>
  <c r="AC610" i="4"/>
  <c r="AC611" i="4"/>
  <c r="AC612" i="4"/>
  <c r="AC613" i="4"/>
  <c r="AC614" i="4"/>
  <c r="AC615" i="4"/>
  <c r="AC616" i="4"/>
  <c r="AC617" i="4"/>
  <c r="AC618" i="4"/>
  <c r="AC619" i="4"/>
  <c r="AC274" i="4"/>
  <c r="AB275" i="4"/>
  <c r="AB276" i="4"/>
  <c r="AB277" i="4"/>
  <c r="AB278" i="4"/>
  <c r="AB279" i="4"/>
  <c r="AB280" i="4"/>
  <c r="AB281" i="4"/>
  <c r="AB282" i="4"/>
  <c r="AB283" i="4"/>
  <c r="AB284" i="4"/>
  <c r="AB285" i="4"/>
  <c r="AB286" i="4"/>
  <c r="AB287" i="4"/>
  <c r="AB288" i="4"/>
  <c r="AB289" i="4"/>
  <c r="AB290" i="4"/>
  <c r="AB291" i="4"/>
  <c r="AB292" i="4"/>
  <c r="AB293" i="4"/>
  <c r="AB294" i="4"/>
  <c r="AB295" i="4"/>
  <c r="AB296" i="4"/>
  <c r="AB297" i="4"/>
  <c r="AB298" i="4"/>
  <c r="AB299" i="4"/>
  <c r="AB300" i="4"/>
  <c r="AB301" i="4"/>
  <c r="AB302" i="4"/>
  <c r="AB303" i="4"/>
  <c r="AB304" i="4"/>
  <c r="AB305" i="4"/>
  <c r="AB306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320" i="4"/>
  <c r="AB321" i="4"/>
  <c r="AB322" i="4"/>
  <c r="AB323" i="4"/>
  <c r="AB324" i="4"/>
  <c r="AB325" i="4"/>
  <c r="AB326" i="4"/>
  <c r="AB327" i="4"/>
  <c r="AB328" i="4"/>
  <c r="AB329" i="4"/>
  <c r="AB330" i="4"/>
  <c r="AB331" i="4"/>
  <c r="AB332" i="4"/>
  <c r="AB333" i="4"/>
  <c r="AB334" i="4"/>
  <c r="AB335" i="4"/>
  <c r="AB336" i="4"/>
  <c r="AB337" i="4"/>
  <c r="AB338" i="4"/>
  <c r="AB339" i="4"/>
  <c r="AB340" i="4"/>
  <c r="AB341" i="4"/>
  <c r="AB342" i="4"/>
  <c r="AB343" i="4"/>
  <c r="AB344" i="4"/>
  <c r="AB345" i="4"/>
  <c r="AB346" i="4"/>
  <c r="AB347" i="4"/>
  <c r="AB348" i="4"/>
  <c r="AB349" i="4"/>
  <c r="AB350" i="4"/>
  <c r="AB351" i="4"/>
  <c r="AB352" i="4"/>
  <c r="AB353" i="4"/>
  <c r="AB354" i="4"/>
  <c r="AB355" i="4"/>
  <c r="AB356" i="4"/>
  <c r="AB357" i="4"/>
  <c r="AB358" i="4"/>
  <c r="AB359" i="4"/>
  <c r="AB360" i="4"/>
  <c r="AB361" i="4"/>
  <c r="AB362" i="4"/>
  <c r="AB363" i="4"/>
  <c r="AB364" i="4"/>
  <c r="AB365" i="4"/>
  <c r="AB366" i="4"/>
  <c r="AB367" i="4"/>
  <c r="AB368" i="4"/>
  <c r="AB369" i="4"/>
  <c r="AB370" i="4"/>
  <c r="AB371" i="4"/>
  <c r="AB372" i="4"/>
  <c r="AB373" i="4"/>
  <c r="AB374" i="4"/>
  <c r="AB375" i="4"/>
  <c r="AB376" i="4"/>
  <c r="AB377" i="4"/>
  <c r="AB378" i="4"/>
  <c r="AB379" i="4"/>
  <c r="AB380" i="4"/>
  <c r="AB381" i="4"/>
  <c r="AB382" i="4"/>
  <c r="AB383" i="4"/>
  <c r="AB384" i="4"/>
  <c r="AB385" i="4"/>
  <c r="AB386" i="4"/>
  <c r="AB387" i="4"/>
  <c r="AB388" i="4"/>
  <c r="AB389" i="4"/>
  <c r="AB390" i="4"/>
  <c r="AB391" i="4"/>
  <c r="AB392" i="4"/>
  <c r="AB393" i="4"/>
  <c r="AB394" i="4"/>
  <c r="AB395" i="4"/>
  <c r="AB396" i="4"/>
  <c r="AB397" i="4"/>
  <c r="AB398" i="4"/>
  <c r="AB399" i="4"/>
  <c r="AB400" i="4"/>
  <c r="AB401" i="4"/>
  <c r="AB402" i="4"/>
  <c r="AB403" i="4"/>
  <c r="AB404" i="4"/>
  <c r="AB405" i="4"/>
  <c r="AB406" i="4"/>
  <c r="AB407" i="4"/>
  <c r="AB408" i="4"/>
  <c r="AB409" i="4"/>
  <c r="AB410" i="4"/>
  <c r="AB411" i="4"/>
  <c r="AB412" i="4"/>
  <c r="AB413" i="4"/>
  <c r="AB414" i="4"/>
  <c r="AB415" i="4"/>
  <c r="AB416" i="4"/>
  <c r="AB417" i="4"/>
  <c r="AB418" i="4"/>
  <c r="AB419" i="4"/>
  <c r="AB420" i="4"/>
  <c r="AB421" i="4"/>
  <c r="AB422" i="4"/>
  <c r="AB423" i="4"/>
  <c r="AB424" i="4"/>
  <c r="AB425" i="4"/>
  <c r="AB426" i="4"/>
  <c r="AB427" i="4"/>
  <c r="AB428" i="4"/>
  <c r="AB429" i="4"/>
  <c r="AB430" i="4"/>
  <c r="AB431" i="4"/>
  <c r="AB432" i="4"/>
  <c r="AB433" i="4"/>
  <c r="AB434" i="4"/>
  <c r="AB435" i="4"/>
  <c r="AB436" i="4"/>
  <c r="AB437" i="4"/>
  <c r="AB438" i="4"/>
  <c r="AB439" i="4"/>
  <c r="AB440" i="4"/>
  <c r="AB441" i="4"/>
  <c r="AB442" i="4"/>
  <c r="AB443" i="4"/>
  <c r="AB444" i="4"/>
  <c r="AB445" i="4"/>
  <c r="AB446" i="4"/>
  <c r="AB447" i="4"/>
  <c r="AB448" i="4"/>
  <c r="AB449" i="4"/>
  <c r="AB450" i="4"/>
  <c r="AB451" i="4"/>
  <c r="AB452" i="4"/>
  <c r="AB453" i="4"/>
  <c r="AB454" i="4"/>
  <c r="AB455" i="4"/>
  <c r="AB456" i="4"/>
  <c r="AB457" i="4"/>
  <c r="AB458" i="4"/>
  <c r="AB459" i="4"/>
  <c r="AB460" i="4"/>
  <c r="AB461" i="4"/>
  <c r="AB462" i="4"/>
  <c r="AB463" i="4"/>
  <c r="AB464" i="4"/>
  <c r="AB465" i="4"/>
  <c r="AB466" i="4"/>
  <c r="AB467" i="4"/>
  <c r="AB468" i="4"/>
  <c r="AB469" i="4"/>
  <c r="AB470" i="4"/>
  <c r="AB471" i="4"/>
  <c r="AB472" i="4"/>
  <c r="AB473" i="4"/>
  <c r="AB474" i="4"/>
  <c r="AB475" i="4"/>
  <c r="AB476" i="4"/>
  <c r="AB477" i="4"/>
  <c r="AB478" i="4"/>
  <c r="AB479" i="4"/>
  <c r="AB480" i="4"/>
  <c r="AB481" i="4"/>
  <c r="AB482" i="4"/>
  <c r="AB483" i="4"/>
  <c r="AB484" i="4"/>
  <c r="AB485" i="4"/>
  <c r="AB486" i="4"/>
  <c r="AB487" i="4"/>
  <c r="AB488" i="4"/>
  <c r="AB489" i="4"/>
  <c r="AB490" i="4"/>
  <c r="AB491" i="4"/>
  <c r="AB492" i="4"/>
  <c r="AB493" i="4"/>
  <c r="AB494" i="4"/>
  <c r="AB495" i="4"/>
  <c r="AB496" i="4"/>
  <c r="AB497" i="4"/>
  <c r="AB498" i="4"/>
  <c r="AB499" i="4"/>
  <c r="AB500" i="4"/>
  <c r="AB501" i="4"/>
  <c r="AB502" i="4"/>
  <c r="AB503" i="4"/>
  <c r="AB504" i="4"/>
  <c r="AB505" i="4"/>
  <c r="AB506" i="4"/>
  <c r="AB507" i="4"/>
  <c r="AB508" i="4"/>
  <c r="AB509" i="4"/>
  <c r="AB510" i="4"/>
  <c r="AB511" i="4"/>
  <c r="AB512" i="4"/>
  <c r="AB513" i="4"/>
  <c r="AB514" i="4"/>
  <c r="AB515" i="4"/>
  <c r="AB516" i="4"/>
  <c r="AB517" i="4"/>
  <c r="AB518" i="4"/>
  <c r="AB519" i="4"/>
  <c r="AB520" i="4"/>
  <c r="AB521" i="4"/>
  <c r="AB522" i="4"/>
  <c r="AB523" i="4"/>
  <c r="AB524" i="4"/>
  <c r="AB525" i="4"/>
  <c r="AB526" i="4"/>
  <c r="AB527" i="4"/>
  <c r="AB528" i="4"/>
  <c r="AB529" i="4"/>
  <c r="AB530" i="4"/>
  <c r="AB531" i="4"/>
  <c r="AB532" i="4"/>
  <c r="AB533" i="4"/>
  <c r="AB534" i="4"/>
  <c r="AB535" i="4"/>
  <c r="AB536" i="4"/>
  <c r="AB537" i="4"/>
  <c r="AB538" i="4"/>
  <c r="AB539" i="4"/>
  <c r="AB540" i="4"/>
  <c r="AB541" i="4"/>
  <c r="AB542" i="4"/>
  <c r="AB543" i="4"/>
  <c r="AB544" i="4"/>
  <c r="AB545" i="4"/>
  <c r="AB546" i="4"/>
  <c r="AB547" i="4"/>
  <c r="AB548" i="4"/>
  <c r="AB549" i="4"/>
  <c r="AB550" i="4"/>
  <c r="AB551" i="4"/>
  <c r="AB552" i="4"/>
  <c r="AB553" i="4"/>
  <c r="AB554" i="4"/>
  <c r="AB555" i="4"/>
  <c r="AB556" i="4"/>
  <c r="AB557" i="4"/>
  <c r="AB558" i="4"/>
  <c r="AB559" i="4"/>
  <c r="AB560" i="4"/>
  <c r="AB561" i="4"/>
  <c r="AB562" i="4"/>
  <c r="AB563" i="4"/>
  <c r="AB564" i="4"/>
  <c r="AB565" i="4"/>
  <c r="AB566" i="4"/>
  <c r="AB567" i="4"/>
  <c r="AB568" i="4"/>
  <c r="AB569" i="4"/>
  <c r="AB570" i="4"/>
  <c r="AB571" i="4"/>
  <c r="AB572" i="4"/>
  <c r="AB573" i="4"/>
  <c r="AB574" i="4"/>
  <c r="AB575" i="4"/>
  <c r="AB576" i="4"/>
  <c r="AB577" i="4"/>
  <c r="AB578" i="4"/>
  <c r="AB579" i="4"/>
  <c r="AB580" i="4"/>
  <c r="AB581" i="4"/>
  <c r="AB582" i="4"/>
  <c r="AB583" i="4"/>
  <c r="AB584" i="4"/>
  <c r="AB585" i="4"/>
  <c r="AB586" i="4"/>
  <c r="AB587" i="4"/>
  <c r="AB588" i="4"/>
  <c r="AB589" i="4"/>
  <c r="AB590" i="4"/>
  <c r="AB591" i="4"/>
  <c r="AB592" i="4"/>
  <c r="AB593" i="4"/>
  <c r="AB594" i="4"/>
  <c r="AB595" i="4"/>
  <c r="AB596" i="4"/>
  <c r="AB597" i="4"/>
  <c r="AB598" i="4"/>
  <c r="AB599" i="4"/>
  <c r="AB600" i="4"/>
  <c r="AB601" i="4"/>
  <c r="AB602" i="4"/>
  <c r="AB603" i="4"/>
  <c r="AB604" i="4"/>
  <c r="AB605" i="4"/>
  <c r="AB606" i="4"/>
  <c r="AB607" i="4"/>
  <c r="AB608" i="4"/>
  <c r="AB609" i="4"/>
  <c r="AB610" i="4"/>
  <c r="AB611" i="4"/>
  <c r="AB612" i="4"/>
  <c r="AB613" i="4"/>
  <c r="AB614" i="4"/>
  <c r="AB615" i="4"/>
  <c r="AB616" i="4"/>
  <c r="AB617" i="4"/>
  <c r="AB618" i="4"/>
  <c r="AB619" i="4"/>
  <c r="AB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Q175" i="4"/>
  <c r="Q176" i="4"/>
  <c r="Q177" i="4"/>
  <c r="Q178" i="4"/>
  <c r="BV178" i="4" s="1"/>
  <c r="BZ178" i="4" s="1"/>
  <c r="Q179" i="4"/>
  <c r="BV179" i="4" s="1"/>
  <c r="BZ179" i="4" s="1"/>
  <c r="BY179" i="4" s="1"/>
  <c r="Q180" i="4"/>
  <c r="T180" i="4" s="1"/>
  <c r="Q181" i="4"/>
  <c r="T181" i="4" s="1"/>
  <c r="Q182" i="4"/>
  <c r="BV182" i="4" s="1"/>
  <c r="BZ182" i="4" s="1"/>
  <c r="BY182" i="4" s="1"/>
  <c r="Q183" i="4"/>
  <c r="BV183" i="4" s="1"/>
  <c r="BZ183" i="4" s="1"/>
  <c r="BY183" i="4" s="1"/>
  <c r="Q184" i="4"/>
  <c r="Q185" i="4"/>
  <c r="Q186" i="4"/>
  <c r="Q187" i="4"/>
  <c r="Q188" i="4"/>
  <c r="Q189" i="4"/>
  <c r="BV189" i="4" s="1"/>
  <c r="BZ189" i="4" s="1"/>
  <c r="BY189" i="4" s="1"/>
  <c r="Q190" i="4"/>
  <c r="BV190" i="4" s="1"/>
  <c r="BZ190" i="4" s="1"/>
  <c r="Q191" i="4"/>
  <c r="Q192" i="4"/>
  <c r="Q193" i="4"/>
  <c r="BV193" i="4" s="1"/>
  <c r="Q194" i="4"/>
  <c r="BV194" i="4" s="1"/>
  <c r="Q195" i="4"/>
  <c r="Q196" i="4"/>
  <c r="Q197" i="4"/>
  <c r="Q198" i="4"/>
  <c r="BV198" i="4" s="1"/>
  <c r="BZ198" i="4" s="1"/>
  <c r="BY198" i="4" s="1"/>
  <c r="Q199" i="4"/>
  <c r="BV199" i="4" s="1"/>
  <c r="BZ199" i="4" s="1"/>
  <c r="BY199" i="4" s="1"/>
  <c r="Q200" i="4"/>
  <c r="Q201" i="4"/>
  <c r="T201" i="4" s="1"/>
  <c r="Q202" i="4"/>
  <c r="Q203" i="4"/>
  <c r="Q204" i="4"/>
  <c r="Q205" i="4"/>
  <c r="Q206" i="4"/>
  <c r="Q207" i="4"/>
  <c r="Q208" i="4"/>
  <c r="Q209" i="4"/>
  <c r="BV209" i="4" s="1"/>
  <c r="BU209" i="4" s="1"/>
  <c r="Q210" i="4"/>
  <c r="BV210" i="4" s="1"/>
  <c r="BZ210" i="4" s="1"/>
  <c r="BY210" i="4" s="1"/>
  <c r="Q211" i="4"/>
  <c r="Q212" i="4"/>
  <c r="Q213" i="4"/>
  <c r="Q214" i="4"/>
  <c r="BV214" i="4" s="1"/>
  <c r="Q215" i="4"/>
  <c r="Q216" i="4"/>
  <c r="Q217" i="4"/>
  <c r="Q218" i="4"/>
  <c r="BV218" i="4" s="1"/>
  <c r="BU218" i="4" s="1"/>
  <c r="Q219" i="4"/>
  <c r="BV219" i="4" s="1"/>
  <c r="Q220" i="4"/>
  <c r="Q221" i="4"/>
  <c r="Q222" i="4"/>
  <c r="BV222" i="4" s="1"/>
  <c r="Q223" i="4"/>
  <c r="BV223" i="4" s="1"/>
  <c r="Q224" i="4"/>
  <c r="Q225" i="4"/>
  <c r="Q226" i="4"/>
  <c r="Q227" i="4"/>
  <c r="Q228" i="4"/>
  <c r="BX228" i="4" s="1"/>
  <c r="BW228" i="4" s="1"/>
  <c r="Q229" i="4"/>
  <c r="BV229" i="4" s="1"/>
  <c r="BU229" i="4" s="1"/>
  <c r="Q230" i="4"/>
  <c r="BV230" i="4" s="1"/>
  <c r="BU230" i="4" s="1"/>
  <c r="Q231" i="4"/>
  <c r="Q232" i="4"/>
  <c r="T232" i="4" s="1"/>
  <c r="Q233" i="4"/>
  <c r="Q234" i="4"/>
  <c r="Q235" i="4"/>
  <c r="Q236" i="4"/>
  <c r="Q237" i="4"/>
  <c r="Q238" i="4"/>
  <c r="BV238" i="4" s="1"/>
  <c r="BU238" i="4" s="1"/>
  <c r="Q239" i="4"/>
  <c r="BV239" i="4" s="1"/>
  <c r="Q240" i="4"/>
  <c r="Q241" i="4"/>
  <c r="Q242" i="4"/>
  <c r="Q243" i="4"/>
  <c r="Q244" i="4"/>
  <c r="Q245" i="4"/>
  <c r="Q246" i="4"/>
  <c r="Q247" i="4"/>
  <c r="Q248" i="4"/>
  <c r="BX248" i="4" s="1"/>
  <c r="BW248" i="4" s="1"/>
  <c r="Q249" i="4"/>
  <c r="BV249" i="4" s="1"/>
  <c r="BZ249" i="4" s="1"/>
  <c r="BY249" i="4" s="1"/>
  <c r="Q250" i="4"/>
  <c r="BV250" i="4" s="1"/>
  <c r="BU250" i="4" s="1"/>
  <c r="Q251" i="4"/>
  <c r="Q252" i="4"/>
  <c r="T252" i="4" s="1"/>
  <c r="Q253" i="4"/>
  <c r="BV253" i="4" s="1"/>
  <c r="Q254" i="4"/>
  <c r="BV254" i="4" s="1"/>
  <c r="Q255" i="4"/>
  <c r="Q256" i="4"/>
  <c r="Q257" i="4"/>
  <c r="Q258" i="4"/>
  <c r="BV258" i="4" s="1"/>
  <c r="BU258" i="4" s="1"/>
  <c r="Q259" i="4"/>
  <c r="BV259" i="4" s="1"/>
  <c r="BZ259" i="4" s="1"/>
  <c r="BY259" i="4" s="1"/>
  <c r="Q260" i="4"/>
  <c r="Q261" i="4"/>
  <c r="Q262" i="4"/>
  <c r="Q263" i="4"/>
  <c r="Q264" i="4"/>
  <c r="Q265" i="4"/>
  <c r="Q266" i="4"/>
  <c r="Q267" i="4"/>
  <c r="Q268" i="4"/>
  <c r="T268" i="4" s="1"/>
  <c r="Q269" i="4"/>
  <c r="BV269" i="4" s="1"/>
  <c r="BZ269" i="4" s="1"/>
  <c r="BY269" i="4" s="1"/>
  <c r="Q270" i="4"/>
  <c r="BV270" i="4" s="1"/>
  <c r="BU270" i="4" s="1"/>
  <c r="Q271" i="4"/>
  <c r="Q272" i="4"/>
  <c r="Q273" i="4"/>
  <c r="Q274" i="4"/>
  <c r="BV169" i="4"/>
  <c r="BV170" i="4"/>
  <c r="BV171" i="4"/>
  <c r="BV172" i="4"/>
  <c r="BU172" i="4" s="1"/>
  <c r="BV173" i="4"/>
  <c r="BU173" i="4" s="1"/>
  <c r="BV174" i="4"/>
  <c r="BU174" i="4" s="1"/>
  <c r="BV175" i="4"/>
  <c r="BU175" i="4" s="1"/>
  <c r="BV176" i="4"/>
  <c r="BU176" i="4" s="1"/>
  <c r="BV177" i="4"/>
  <c r="BU177" i="4" s="1"/>
  <c r="BV184" i="4"/>
  <c r="BZ184" i="4" s="1"/>
  <c r="BY184" i="4" s="1"/>
  <c r="BV185" i="4"/>
  <c r="BZ185" i="4" s="1"/>
  <c r="BY185" i="4" s="1"/>
  <c r="BV186" i="4"/>
  <c r="BZ186" i="4" s="1"/>
  <c r="BY186" i="4" s="1"/>
  <c r="BV187" i="4"/>
  <c r="BZ187" i="4" s="1"/>
  <c r="BY187" i="4" s="1"/>
  <c r="BV188" i="4"/>
  <c r="BZ188" i="4" s="1"/>
  <c r="BY188" i="4" s="1"/>
  <c r="BV195" i="4"/>
  <c r="BZ195" i="4" s="1"/>
  <c r="BY195" i="4" s="1"/>
  <c r="BV196" i="4"/>
  <c r="BU196" i="4" s="1"/>
  <c r="BV197" i="4"/>
  <c r="BV204" i="4"/>
  <c r="BU204" i="4" s="1"/>
  <c r="BV205" i="4"/>
  <c r="BU205" i="4" s="1"/>
  <c r="BV206" i="4"/>
  <c r="BU206" i="4" s="1"/>
  <c r="BV207" i="4"/>
  <c r="BU207" i="4" s="1"/>
  <c r="BV208" i="4"/>
  <c r="BU208" i="4" s="1"/>
  <c r="BV215" i="4"/>
  <c r="BU215" i="4" s="1"/>
  <c r="BV216" i="4"/>
  <c r="BU216" i="4" s="1"/>
  <c r="BV217" i="4"/>
  <c r="BU217" i="4" s="1"/>
  <c r="BV224" i="4"/>
  <c r="BZ224" i="4" s="1"/>
  <c r="BY224" i="4" s="1"/>
  <c r="BV225" i="4"/>
  <c r="BZ225" i="4" s="1"/>
  <c r="BY225" i="4" s="1"/>
  <c r="BV226" i="4"/>
  <c r="BZ226" i="4" s="1"/>
  <c r="BY226" i="4" s="1"/>
  <c r="BV227" i="4"/>
  <c r="BZ227" i="4" s="1"/>
  <c r="BY227" i="4" s="1"/>
  <c r="BV228" i="4"/>
  <c r="BZ228" i="4" s="1"/>
  <c r="BY228" i="4" s="1"/>
  <c r="BV235" i="4"/>
  <c r="BU235" i="4" s="1"/>
  <c r="BV236" i="4"/>
  <c r="BU236" i="4" s="1"/>
  <c r="BV237" i="4"/>
  <c r="BU237" i="4" s="1"/>
  <c r="BV244" i="4"/>
  <c r="BZ244" i="4" s="1"/>
  <c r="BY244" i="4" s="1"/>
  <c r="BV245" i="4"/>
  <c r="BZ245" i="4" s="1"/>
  <c r="BY245" i="4" s="1"/>
  <c r="BV246" i="4"/>
  <c r="BZ246" i="4" s="1"/>
  <c r="BY246" i="4" s="1"/>
  <c r="BV247" i="4"/>
  <c r="BZ247" i="4" s="1"/>
  <c r="BY247" i="4" s="1"/>
  <c r="BV255" i="4"/>
  <c r="BV256" i="4"/>
  <c r="BV257" i="4"/>
  <c r="BV262" i="4"/>
  <c r="BZ262" i="4" s="1"/>
  <c r="BY262" i="4" s="1"/>
  <c r="BV263" i="4"/>
  <c r="BZ263" i="4" s="1"/>
  <c r="BY263" i="4" s="1"/>
  <c r="BV264" i="4"/>
  <c r="BZ264" i="4" s="1"/>
  <c r="BY264" i="4" s="1"/>
  <c r="BV265" i="4"/>
  <c r="BZ265" i="4" s="1"/>
  <c r="BY265" i="4" s="1"/>
  <c r="BV266" i="4"/>
  <c r="BZ266" i="4" s="1"/>
  <c r="BY266" i="4" s="1"/>
  <c r="BV267" i="4"/>
  <c r="BZ267" i="4" s="1"/>
  <c r="BY267" i="4" s="1"/>
  <c r="BV268" i="4"/>
  <c r="BZ268" i="4" s="1"/>
  <c r="BY268" i="4" s="1"/>
  <c r="CH175" i="4"/>
  <c r="CH176" i="4"/>
  <c r="CH177" i="4"/>
  <c r="CH178" i="4"/>
  <c r="CH179" i="4"/>
  <c r="CH180" i="4"/>
  <c r="CH181" i="4"/>
  <c r="CH182" i="4"/>
  <c r="CH183" i="4"/>
  <c r="CH184" i="4"/>
  <c r="CH185" i="4"/>
  <c r="CH186" i="4"/>
  <c r="CH187" i="4"/>
  <c r="CH188" i="4"/>
  <c r="CH189" i="4"/>
  <c r="CH190" i="4"/>
  <c r="CH191" i="4"/>
  <c r="CH192" i="4"/>
  <c r="CH193" i="4"/>
  <c r="CH194" i="4"/>
  <c r="CH195" i="4"/>
  <c r="CH196" i="4"/>
  <c r="CH197" i="4"/>
  <c r="CG197" i="4" s="1"/>
  <c r="CH198" i="4"/>
  <c r="CG198" i="4" s="1"/>
  <c r="CH199" i="4"/>
  <c r="CH200" i="4"/>
  <c r="CH201" i="4"/>
  <c r="CG201" i="4" s="1"/>
  <c r="CH202" i="4"/>
  <c r="CH203" i="4"/>
  <c r="CG203" i="4" s="1"/>
  <c r="CH204" i="4"/>
  <c r="CH205" i="4"/>
  <c r="CG205" i="4" s="1"/>
  <c r="CH206" i="4"/>
  <c r="CH207" i="4"/>
  <c r="CG207" i="4" s="1"/>
  <c r="CH208" i="4"/>
  <c r="CH209" i="4"/>
  <c r="CH210" i="4"/>
  <c r="CG210" i="4" s="1"/>
  <c r="CH211" i="4"/>
  <c r="CH212" i="4"/>
  <c r="CG212" i="4" s="1"/>
  <c r="CH213" i="4"/>
  <c r="CH214" i="4"/>
  <c r="CG214" i="4" s="1"/>
  <c r="CH215" i="4"/>
  <c r="CH216" i="4"/>
  <c r="CH217" i="4"/>
  <c r="CH218" i="4"/>
  <c r="CH219" i="4"/>
  <c r="CH220" i="4"/>
  <c r="CH221" i="4"/>
  <c r="CH222" i="4"/>
  <c r="CH223" i="4"/>
  <c r="CH224" i="4"/>
  <c r="CH225" i="4"/>
  <c r="CH226" i="4"/>
  <c r="CH227" i="4"/>
  <c r="CH228" i="4"/>
  <c r="CH229" i="4"/>
  <c r="CH230" i="4"/>
  <c r="CH231" i="4"/>
  <c r="CH232" i="4"/>
  <c r="CH233" i="4"/>
  <c r="CH234" i="4"/>
  <c r="CH235" i="4"/>
  <c r="CH236" i="4"/>
  <c r="CH237" i="4"/>
  <c r="CH238" i="4"/>
  <c r="CH239" i="4"/>
  <c r="CH240" i="4"/>
  <c r="CH241" i="4"/>
  <c r="CH242" i="4"/>
  <c r="CH243" i="4"/>
  <c r="CH244" i="4"/>
  <c r="CH245" i="4"/>
  <c r="CH246" i="4"/>
  <c r="CH247" i="4"/>
  <c r="CH248" i="4"/>
  <c r="CH249" i="4"/>
  <c r="CH250" i="4"/>
  <c r="CH251" i="4"/>
  <c r="CH252" i="4"/>
  <c r="CH253" i="4"/>
  <c r="CH254" i="4"/>
  <c r="CH255" i="4"/>
  <c r="CH256" i="4"/>
  <c r="CH257" i="4"/>
  <c r="CH258" i="4"/>
  <c r="CH259" i="4"/>
  <c r="CH260" i="4"/>
  <c r="CH261" i="4"/>
  <c r="CH262" i="4"/>
  <c r="CH263" i="4"/>
  <c r="CH264" i="4"/>
  <c r="CH265" i="4"/>
  <c r="CH266" i="4"/>
  <c r="CH267" i="4"/>
  <c r="CH268" i="4"/>
  <c r="CH269" i="4"/>
  <c r="CH270" i="4"/>
  <c r="CH271" i="4"/>
  <c r="CH272" i="4"/>
  <c r="CH273" i="4"/>
  <c r="CH274" i="4"/>
  <c r="CG175" i="4"/>
  <c r="CG176" i="4"/>
  <c r="CG177" i="4"/>
  <c r="CG178" i="4"/>
  <c r="CG179" i="4"/>
  <c r="CG180" i="4"/>
  <c r="CG181" i="4"/>
  <c r="CG182" i="4"/>
  <c r="CG183" i="4"/>
  <c r="CG184" i="4"/>
  <c r="CG185" i="4"/>
  <c r="CG186" i="4"/>
  <c r="CG187" i="4"/>
  <c r="CG188" i="4"/>
  <c r="CG189" i="4"/>
  <c r="CG190" i="4"/>
  <c r="CG191" i="4"/>
  <c r="CG192" i="4"/>
  <c r="CG193" i="4"/>
  <c r="CG194" i="4"/>
  <c r="CG195" i="4"/>
  <c r="CG196" i="4"/>
  <c r="CG199" i="4"/>
  <c r="CG200" i="4"/>
  <c r="CG202" i="4"/>
  <c r="CG204" i="4"/>
  <c r="CG206" i="4"/>
  <c r="CG208" i="4"/>
  <c r="CG209" i="4"/>
  <c r="CG211" i="4"/>
  <c r="CG213" i="4"/>
  <c r="CG215" i="4"/>
  <c r="CG216" i="4"/>
  <c r="CG217" i="4"/>
  <c r="CG218" i="4"/>
  <c r="CG219" i="4"/>
  <c r="CG220" i="4"/>
  <c r="CG221" i="4"/>
  <c r="CG222" i="4"/>
  <c r="CG223" i="4"/>
  <c r="CG224" i="4"/>
  <c r="CG225" i="4"/>
  <c r="CG226" i="4"/>
  <c r="CG227" i="4"/>
  <c r="CG228" i="4"/>
  <c r="CG229" i="4"/>
  <c r="CG230" i="4"/>
  <c r="CG231" i="4"/>
  <c r="CG232" i="4"/>
  <c r="CG233" i="4"/>
  <c r="CG234" i="4"/>
  <c r="CG235" i="4"/>
  <c r="CG236" i="4"/>
  <c r="CG237" i="4"/>
  <c r="CG238" i="4"/>
  <c r="CG239" i="4"/>
  <c r="CG240" i="4"/>
  <c r="CG241" i="4"/>
  <c r="CG242" i="4"/>
  <c r="CG243" i="4"/>
  <c r="CG244" i="4"/>
  <c r="CG245" i="4"/>
  <c r="CG246" i="4"/>
  <c r="CG247" i="4"/>
  <c r="CG248" i="4"/>
  <c r="CG249" i="4"/>
  <c r="CG250" i="4"/>
  <c r="CG251" i="4"/>
  <c r="CG252" i="4"/>
  <c r="CG253" i="4"/>
  <c r="CG254" i="4"/>
  <c r="CG255" i="4"/>
  <c r="CG256" i="4"/>
  <c r="CG257" i="4"/>
  <c r="CG258" i="4"/>
  <c r="CG259" i="4"/>
  <c r="CG260" i="4"/>
  <c r="CG261" i="4"/>
  <c r="CG262" i="4"/>
  <c r="CG263" i="4"/>
  <c r="CG264" i="4"/>
  <c r="CG265" i="4"/>
  <c r="CG266" i="4"/>
  <c r="CG267" i="4"/>
  <c r="CG268" i="4"/>
  <c r="CG269" i="4"/>
  <c r="CG270" i="4"/>
  <c r="CG271" i="4"/>
  <c r="CG272" i="4"/>
  <c r="CG273" i="4"/>
  <c r="CG274" i="4"/>
  <c r="CF175" i="4"/>
  <c r="CF176" i="4"/>
  <c r="CF177" i="4"/>
  <c r="CF178" i="4"/>
  <c r="CF179" i="4"/>
  <c r="CF180" i="4"/>
  <c r="CF181" i="4"/>
  <c r="CF182" i="4"/>
  <c r="CF183" i="4"/>
  <c r="CF184" i="4"/>
  <c r="CE184" i="4" s="1"/>
  <c r="CF185" i="4"/>
  <c r="CF186" i="4"/>
  <c r="CF187" i="4"/>
  <c r="CF188" i="4"/>
  <c r="CF189" i="4"/>
  <c r="CF190" i="4"/>
  <c r="CF191" i="4"/>
  <c r="CF192" i="4"/>
  <c r="CF193" i="4"/>
  <c r="CF194" i="4"/>
  <c r="CF195" i="4"/>
  <c r="CF196" i="4"/>
  <c r="CF197" i="4"/>
  <c r="CF198" i="4"/>
  <c r="CF199" i="4"/>
  <c r="CF200" i="4"/>
  <c r="CF201" i="4"/>
  <c r="CF202" i="4"/>
  <c r="CF203" i="4"/>
  <c r="CF204" i="4"/>
  <c r="CE204" i="4" s="1"/>
  <c r="CF205" i="4"/>
  <c r="CF206" i="4"/>
  <c r="CE206" i="4" s="1"/>
  <c r="CF207" i="4"/>
  <c r="CE207" i="4" s="1"/>
  <c r="CF208" i="4"/>
  <c r="CE208" i="4" s="1"/>
  <c r="CF209" i="4"/>
  <c r="CE209" i="4" s="1"/>
  <c r="CF210" i="4"/>
  <c r="CE210" i="4" s="1"/>
  <c r="CF211" i="4"/>
  <c r="CE211" i="4" s="1"/>
  <c r="CF212" i="4"/>
  <c r="CE212" i="4" s="1"/>
  <c r="CF213" i="4"/>
  <c r="CE213" i="4" s="1"/>
  <c r="CF214" i="4"/>
  <c r="CE214" i="4" s="1"/>
  <c r="CF215" i="4"/>
  <c r="CF216" i="4"/>
  <c r="CF217" i="4"/>
  <c r="CF218" i="4"/>
  <c r="CF219" i="4"/>
  <c r="CF220" i="4"/>
  <c r="CF221" i="4"/>
  <c r="CF222" i="4"/>
  <c r="CF223" i="4"/>
  <c r="CF224" i="4"/>
  <c r="CF225" i="4"/>
  <c r="CF226" i="4"/>
  <c r="CE226" i="4" s="1"/>
  <c r="CF227" i="4"/>
  <c r="CF228" i="4"/>
  <c r="CF229" i="4"/>
  <c r="CE229" i="4" s="1"/>
  <c r="CF230" i="4"/>
  <c r="CE230" i="4" s="1"/>
  <c r="CF231" i="4"/>
  <c r="CF232" i="4"/>
  <c r="CF233" i="4"/>
  <c r="CE233" i="4" s="1"/>
  <c r="CF234" i="4"/>
  <c r="CE234" i="4" s="1"/>
  <c r="CF235" i="4"/>
  <c r="CF236" i="4"/>
  <c r="CF237" i="4"/>
  <c r="CF238" i="4"/>
  <c r="CF239" i="4"/>
  <c r="CF240" i="4"/>
  <c r="CF241" i="4"/>
  <c r="CF242" i="4"/>
  <c r="CF243" i="4"/>
  <c r="CF244" i="4"/>
  <c r="CF245" i="4"/>
  <c r="CF246" i="4"/>
  <c r="CE246" i="4" s="1"/>
  <c r="CF247" i="4"/>
  <c r="CF248" i="4"/>
  <c r="CF249" i="4"/>
  <c r="CE249" i="4" s="1"/>
  <c r="CF250" i="4"/>
  <c r="CF251" i="4"/>
  <c r="CE251" i="4" s="1"/>
  <c r="CF252" i="4"/>
  <c r="CF253" i="4"/>
  <c r="CF254" i="4"/>
  <c r="CE254" i="4" s="1"/>
  <c r="CF255" i="4"/>
  <c r="CF256" i="4"/>
  <c r="CF257" i="4"/>
  <c r="CF258" i="4"/>
  <c r="CF259" i="4"/>
  <c r="CF260" i="4"/>
  <c r="CF261" i="4"/>
  <c r="CF262" i="4"/>
  <c r="CF263" i="4"/>
  <c r="CF264" i="4"/>
  <c r="CE264" i="4" s="1"/>
  <c r="CF265" i="4"/>
  <c r="CF266" i="4"/>
  <c r="CF267" i="4"/>
  <c r="CF268" i="4"/>
  <c r="CF269" i="4"/>
  <c r="CE269" i="4" s="1"/>
  <c r="CF270" i="4"/>
  <c r="CF271" i="4"/>
  <c r="CE271" i="4" s="1"/>
  <c r="CF272" i="4"/>
  <c r="CF273" i="4"/>
  <c r="CF274" i="4"/>
  <c r="CE274" i="4" s="1"/>
  <c r="CE175" i="4"/>
  <c r="CE176" i="4"/>
  <c r="CE177" i="4"/>
  <c r="CE178" i="4"/>
  <c r="CE179" i="4"/>
  <c r="CE180" i="4"/>
  <c r="CE181" i="4"/>
  <c r="CE182" i="4"/>
  <c r="CE183" i="4"/>
  <c r="CE185" i="4"/>
  <c r="CE186" i="4"/>
  <c r="CE187" i="4"/>
  <c r="CE188" i="4"/>
  <c r="CE189" i="4"/>
  <c r="CE190" i="4"/>
  <c r="CE191" i="4"/>
  <c r="CE192" i="4"/>
  <c r="CE193" i="4"/>
  <c r="CE194" i="4"/>
  <c r="CE195" i="4"/>
  <c r="CE196" i="4"/>
  <c r="CE197" i="4"/>
  <c r="CE198" i="4"/>
  <c r="CE199" i="4"/>
  <c r="CE200" i="4"/>
  <c r="CE201" i="4"/>
  <c r="CE202" i="4"/>
  <c r="CE203" i="4"/>
  <c r="CE205" i="4"/>
  <c r="CE215" i="4"/>
  <c r="CE216" i="4"/>
  <c r="CE217" i="4"/>
  <c r="CE218" i="4"/>
  <c r="CE219" i="4"/>
  <c r="CE220" i="4"/>
  <c r="CE221" i="4"/>
  <c r="CE222" i="4"/>
  <c r="CE223" i="4"/>
  <c r="CE224" i="4"/>
  <c r="CE225" i="4"/>
  <c r="CE227" i="4"/>
  <c r="CE228" i="4"/>
  <c r="CE231" i="4"/>
  <c r="CE232" i="4"/>
  <c r="CE235" i="4"/>
  <c r="CE236" i="4"/>
  <c r="CE237" i="4"/>
  <c r="CE238" i="4"/>
  <c r="CE239" i="4"/>
  <c r="CE240" i="4"/>
  <c r="CE241" i="4"/>
  <c r="CE242" i="4"/>
  <c r="CE243" i="4"/>
  <c r="CE244" i="4"/>
  <c r="CE245" i="4"/>
  <c r="CE247" i="4"/>
  <c r="CE248" i="4"/>
  <c r="CE250" i="4"/>
  <c r="CE252" i="4"/>
  <c r="CE253" i="4"/>
  <c r="CE255" i="4"/>
  <c r="CE256" i="4"/>
  <c r="CE257" i="4"/>
  <c r="CE258" i="4"/>
  <c r="CE259" i="4"/>
  <c r="CE260" i="4"/>
  <c r="CE261" i="4"/>
  <c r="CE262" i="4"/>
  <c r="CE263" i="4"/>
  <c r="CE265" i="4"/>
  <c r="CE266" i="4"/>
  <c r="CE267" i="4"/>
  <c r="CE268" i="4"/>
  <c r="CE270" i="4"/>
  <c r="CE272" i="4"/>
  <c r="CE273" i="4"/>
  <c r="CD175" i="4"/>
  <c r="CD176" i="4"/>
  <c r="CC176" i="4" s="1"/>
  <c r="CD177" i="4"/>
  <c r="CC177" i="4" s="1"/>
  <c r="CD178" i="4"/>
  <c r="CC178" i="4" s="1"/>
  <c r="CD179" i="4"/>
  <c r="CD180" i="4"/>
  <c r="CD181" i="4"/>
  <c r="CD186" i="4"/>
  <c r="CD187" i="4"/>
  <c r="CD188" i="4"/>
  <c r="CD189" i="4"/>
  <c r="CD195" i="4"/>
  <c r="CD196" i="4"/>
  <c r="CD197" i="4"/>
  <c r="CC197" i="4" s="1"/>
  <c r="CD198" i="4"/>
  <c r="CC198" i="4" s="1"/>
  <c r="CD199" i="4"/>
  <c r="CC199" i="4" s="1"/>
  <c r="CD200" i="4"/>
  <c r="CC200" i="4" s="1"/>
  <c r="CD201" i="4"/>
  <c r="CC201" i="4" s="1"/>
  <c r="CD206" i="4"/>
  <c r="CC206" i="4" s="1"/>
  <c r="CD207" i="4"/>
  <c r="CC207" i="4" s="1"/>
  <c r="CD208" i="4"/>
  <c r="CC208" i="4" s="1"/>
  <c r="CD209" i="4"/>
  <c r="CC209" i="4" s="1"/>
  <c r="CD214" i="4"/>
  <c r="CC214" i="4" s="1"/>
  <c r="CD215" i="4"/>
  <c r="CD216" i="4"/>
  <c r="CD217" i="4"/>
  <c r="CC217" i="4" s="1"/>
  <c r="CD218" i="4"/>
  <c r="CC218" i="4" s="1"/>
  <c r="CD219" i="4"/>
  <c r="CD220" i="4"/>
  <c r="CD221" i="4"/>
  <c r="CD226" i="4"/>
  <c r="CC226" i="4" s="1"/>
  <c r="CD227" i="4"/>
  <c r="CC227" i="4" s="1"/>
  <c r="CD228" i="4"/>
  <c r="CC228" i="4" s="1"/>
  <c r="CD235" i="4"/>
  <c r="CC235" i="4" s="1"/>
  <c r="CD236" i="4"/>
  <c r="CC236" i="4" s="1"/>
  <c r="CD237" i="4"/>
  <c r="CC237" i="4" s="1"/>
  <c r="CD238" i="4"/>
  <c r="CC238" i="4" s="1"/>
  <c r="CD239" i="4"/>
  <c r="CC239" i="4" s="1"/>
  <c r="CD240" i="4"/>
  <c r="CD241" i="4"/>
  <c r="CD246" i="4"/>
  <c r="CD247" i="4"/>
  <c r="CD248" i="4"/>
  <c r="CD255" i="4"/>
  <c r="CC255" i="4" s="1"/>
  <c r="CD256" i="4"/>
  <c r="CC256" i="4" s="1"/>
  <c r="CD257" i="4"/>
  <c r="CC257" i="4" s="1"/>
  <c r="CD258" i="4"/>
  <c r="CC258" i="4" s="1"/>
  <c r="CD259" i="4"/>
  <c r="CC259" i="4" s="1"/>
  <c r="CD260" i="4"/>
  <c r="CD261" i="4"/>
  <c r="CD266" i="4"/>
  <c r="CD267" i="4"/>
  <c r="CD268" i="4"/>
  <c r="CC268" i="4" s="1"/>
  <c r="CD269" i="4"/>
  <c r="CC269" i="4" s="1"/>
  <c r="CC175" i="4"/>
  <c r="CC179" i="4"/>
  <c r="CC180" i="4"/>
  <c r="CC181" i="4"/>
  <c r="CC186" i="4"/>
  <c r="CC187" i="4"/>
  <c r="CC188" i="4"/>
  <c r="CC189" i="4"/>
  <c r="CC195" i="4"/>
  <c r="CC196" i="4"/>
  <c r="CC202" i="4"/>
  <c r="CC203" i="4"/>
  <c r="CC215" i="4"/>
  <c r="CC216" i="4"/>
  <c r="CC219" i="4"/>
  <c r="CC220" i="4"/>
  <c r="CC221" i="4"/>
  <c r="CC222" i="4"/>
  <c r="CC240" i="4"/>
  <c r="CC241" i="4"/>
  <c r="CC242" i="4"/>
  <c r="CC246" i="4"/>
  <c r="CC247" i="4"/>
  <c r="CC248" i="4"/>
  <c r="CC260" i="4"/>
  <c r="CC261" i="4"/>
  <c r="CC262" i="4"/>
  <c r="CC263" i="4"/>
  <c r="CC266" i="4"/>
  <c r="CC267" i="4"/>
  <c r="CB175" i="4"/>
  <c r="CB176" i="4"/>
  <c r="CB177" i="4"/>
  <c r="CB178" i="4"/>
  <c r="CB179" i="4"/>
  <c r="CB180" i="4"/>
  <c r="CB181" i="4"/>
  <c r="CB182" i="4"/>
  <c r="CB183" i="4"/>
  <c r="CB184" i="4"/>
  <c r="CB185" i="4"/>
  <c r="CB186" i="4"/>
  <c r="CB187" i="4"/>
  <c r="CB188" i="4"/>
  <c r="CB189" i="4"/>
  <c r="CB190" i="4"/>
  <c r="CB191" i="4"/>
  <c r="CB192" i="4"/>
  <c r="CB193" i="4"/>
  <c r="CB194" i="4"/>
  <c r="CB195" i="4"/>
  <c r="CB196" i="4"/>
  <c r="CB197" i="4"/>
  <c r="CB198" i="4"/>
  <c r="CB199" i="4"/>
  <c r="CB200" i="4"/>
  <c r="CB201" i="4"/>
  <c r="CB202" i="4"/>
  <c r="CB203" i="4"/>
  <c r="CB204" i="4"/>
  <c r="CB205" i="4"/>
  <c r="CB206" i="4"/>
  <c r="CB207" i="4"/>
  <c r="CB208" i="4"/>
  <c r="CB209" i="4"/>
  <c r="CB210" i="4"/>
  <c r="CB211" i="4"/>
  <c r="CA211" i="4" s="1"/>
  <c r="CB212" i="4"/>
  <c r="CB213" i="4"/>
  <c r="CB214" i="4"/>
  <c r="CB215" i="4"/>
  <c r="CB216" i="4"/>
  <c r="CB217" i="4"/>
  <c r="CB218" i="4"/>
  <c r="CB219" i="4"/>
  <c r="CB220" i="4"/>
  <c r="CB221" i="4"/>
  <c r="CB222" i="4"/>
  <c r="CB223" i="4"/>
  <c r="CB224" i="4"/>
  <c r="CB225" i="4"/>
  <c r="CB226" i="4"/>
  <c r="CB227" i="4"/>
  <c r="CB228" i="4"/>
  <c r="CB229" i="4"/>
  <c r="CB230" i="4"/>
  <c r="CB231" i="4"/>
  <c r="CB232" i="4"/>
  <c r="CB233" i="4"/>
  <c r="CB234" i="4"/>
  <c r="CB235" i="4"/>
  <c r="CB236" i="4"/>
  <c r="CB237" i="4"/>
  <c r="CB238" i="4"/>
  <c r="CB239" i="4"/>
  <c r="CB240" i="4"/>
  <c r="CB241" i="4"/>
  <c r="CB242" i="4"/>
  <c r="CB243" i="4"/>
  <c r="CB244" i="4"/>
  <c r="CB245" i="4"/>
  <c r="CB246" i="4"/>
  <c r="CB247" i="4"/>
  <c r="CB248" i="4"/>
  <c r="CB249" i="4"/>
  <c r="CB250" i="4"/>
  <c r="CB251" i="4"/>
  <c r="CB252" i="4"/>
  <c r="CB253" i="4"/>
  <c r="CB254" i="4"/>
  <c r="CB255" i="4"/>
  <c r="CB256" i="4"/>
  <c r="CB257" i="4"/>
  <c r="CB258" i="4"/>
  <c r="CB259" i="4"/>
  <c r="CB260" i="4"/>
  <c r="CB261" i="4"/>
  <c r="CB262" i="4"/>
  <c r="CB263" i="4"/>
  <c r="CB264" i="4"/>
  <c r="CB265" i="4"/>
  <c r="CB266" i="4"/>
  <c r="CB267" i="4"/>
  <c r="CB268" i="4"/>
  <c r="CB269" i="4"/>
  <c r="CB270" i="4"/>
  <c r="CA270" i="4" s="1"/>
  <c r="CB271" i="4"/>
  <c r="CB272" i="4"/>
  <c r="CB273" i="4"/>
  <c r="CB274" i="4"/>
  <c r="CA175" i="4"/>
  <c r="CA176" i="4"/>
  <c r="CA177" i="4"/>
  <c r="CA178" i="4"/>
  <c r="CA179" i="4"/>
  <c r="CA180" i="4"/>
  <c r="CA181" i="4"/>
  <c r="CA182" i="4"/>
  <c r="CA183" i="4"/>
  <c r="CA184" i="4"/>
  <c r="CA185" i="4"/>
  <c r="CA186" i="4"/>
  <c r="CA187" i="4"/>
  <c r="CA188" i="4"/>
  <c r="CA189" i="4"/>
  <c r="CA190" i="4"/>
  <c r="CA191" i="4"/>
  <c r="CA192" i="4"/>
  <c r="CA193" i="4"/>
  <c r="CA194" i="4"/>
  <c r="CA195" i="4"/>
  <c r="CA196" i="4"/>
  <c r="CA197" i="4"/>
  <c r="CA198" i="4"/>
  <c r="CA199" i="4"/>
  <c r="CA200" i="4"/>
  <c r="CA201" i="4"/>
  <c r="CA202" i="4"/>
  <c r="CA203" i="4"/>
  <c r="CA204" i="4"/>
  <c r="CA205" i="4"/>
  <c r="CA206" i="4"/>
  <c r="CA207" i="4"/>
  <c r="CA208" i="4"/>
  <c r="CA209" i="4"/>
  <c r="CA210" i="4"/>
  <c r="CA212" i="4"/>
  <c r="CA213" i="4"/>
  <c r="CA214" i="4"/>
  <c r="CA215" i="4"/>
  <c r="CA216" i="4"/>
  <c r="CA217" i="4"/>
  <c r="CA218" i="4"/>
  <c r="CA219" i="4"/>
  <c r="CA220" i="4"/>
  <c r="CA221" i="4"/>
  <c r="CA222" i="4"/>
  <c r="CA223" i="4"/>
  <c r="CA224" i="4"/>
  <c r="CA225" i="4"/>
  <c r="CA226" i="4"/>
  <c r="CA227" i="4"/>
  <c r="CA228" i="4"/>
  <c r="CA229" i="4"/>
  <c r="CA230" i="4"/>
  <c r="CA231" i="4"/>
  <c r="CA232" i="4"/>
  <c r="CA233" i="4"/>
  <c r="CA234" i="4"/>
  <c r="CA235" i="4"/>
  <c r="CA236" i="4"/>
  <c r="CA237" i="4"/>
  <c r="CA238" i="4"/>
  <c r="CA239" i="4"/>
  <c r="CA240" i="4"/>
  <c r="CA241" i="4"/>
  <c r="CA242" i="4"/>
  <c r="CA243" i="4"/>
  <c r="CA244" i="4"/>
  <c r="CA245" i="4"/>
  <c r="CA246" i="4"/>
  <c r="CA247" i="4"/>
  <c r="CA248" i="4"/>
  <c r="CA249" i="4"/>
  <c r="CA250" i="4"/>
  <c r="CA251" i="4"/>
  <c r="CA252" i="4"/>
  <c r="CA253" i="4"/>
  <c r="CA254" i="4"/>
  <c r="CA255" i="4"/>
  <c r="CA256" i="4"/>
  <c r="CA257" i="4"/>
  <c r="CA258" i="4"/>
  <c r="CA259" i="4"/>
  <c r="CA260" i="4"/>
  <c r="CA261" i="4"/>
  <c r="CA262" i="4"/>
  <c r="CA263" i="4"/>
  <c r="CA264" i="4"/>
  <c r="CA265" i="4"/>
  <c r="CA266" i="4"/>
  <c r="CA267" i="4"/>
  <c r="CA268" i="4"/>
  <c r="CA269" i="4"/>
  <c r="CA271" i="4"/>
  <c r="CA272" i="4"/>
  <c r="CA273" i="4"/>
  <c r="CA274" i="4"/>
  <c r="BZ175" i="4"/>
  <c r="BY175" i="4" s="1"/>
  <c r="BZ176" i="4"/>
  <c r="BY176" i="4" s="1"/>
  <c r="BZ177" i="4"/>
  <c r="BY177" i="4" s="1"/>
  <c r="BZ197" i="4"/>
  <c r="BY197" i="4" s="1"/>
  <c r="BZ215" i="4"/>
  <c r="BY215" i="4" s="1"/>
  <c r="BZ216" i="4"/>
  <c r="BY216" i="4" s="1"/>
  <c r="BZ237" i="4"/>
  <c r="BY237" i="4" s="1"/>
  <c r="BZ238" i="4"/>
  <c r="BY238" i="4" s="1"/>
  <c r="BZ250" i="4"/>
  <c r="BY250" i="4" s="1"/>
  <c r="BZ255" i="4"/>
  <c r="BY255" i="4" s="1"/>
  <c r="BZ256" i="4"/>
  <c r="BY256" i="4" s="1"/>
  <c r="BZ257" i="4"/>
  <c r="BY257" i="4" s="1"/>
  <c r="BY178" i="4"/>
  <c r="BY190" i="4"/>
  <c r="BX175" i="4"/>
  <c r="BX176" i="4"/>
  <c r="BX177" i="4"/>
  <c r="BX178" i="4"/>
  <c r="BX184" i="4"/>
  <c r="BX185" i="4"/>
  <c r="BX186" i="4"/>
  <c r="BX187" i="4"/>
  <c r="BX188" i="4"/>
  <c r="BX189" i="4"/>
  <c r="BX190" i="4"/>
  <c r="BX195" i="4"/>
  <c r="BX196" i="4"/>
  <c r="BX197" i="4"/>
  <c r="BX198" i="4"/>
  <c r="BX204" i="4"/>
  <c r="BW204" i="4" s="1"/>
  <c r="BX205" i="4"/>
  <c r="BW205" i="4" s="1"/>
  <c r="BX206" i="4"/>
  <c r="BW206" i="4" s="1"/>
  <c r="BX207" i="4"/>
  <c r="BW207" i="4" s="1"/>
  <c r="BX208" i="4"/>
  <c r="BW208" i="4" s="1"/>
  <c r="BX209" i="4"/>
  <c r="BW209" i="4" s="1"/>
  <c r="BX210" i="4"/>
  <c r="BW210" i="4" s="1"/>
  <c r="BX215" i="4"/>
  <c r="BX216" i="4"/>
  <c r="BX217" i="4"/>
  <c r="BW217" i="4" s="1"/>
  <c r="BX218" i="4"/>
  <c r="BW218" i="4" s="1"/>
  <c r="BX219" i="4"/>
  <c r="BW219" i="4" s="1"/>
  <c r="BX224" i="4"/>
  <c r="BW224" i="4" s="1"/>
  <c r="BX225" i="4"/>
  <c r="BW225" i="4" s="1"/>
  <c r="BX226" i="4"/>
  <c r="BW226" i="4" s="1"/>
  <c r="BX227" i="4"/>
  <c r="BW227" i="4" s="1"/>
  <c r="BX235" i="4"/>
  <c r="BW235" i="4" s="1"/>
  <c r="BX236" i="4"/>
  <c r="BW236" i="4" s="1"/>
  <c r="BX237" i="4"/>
  <c r="BX238" i="4"/>
  <c r="BX239" i="4"/>
  <c r="BX244" i="4"/>
  <c r="BW244" i="4" s="1"/>
  <c r="BX245" i="4"/>
  <c r="BW245" i="4" s="1"/>
  <c r="BX246" i="4"/>
  <c r="BW246" i="4" s="1"/>
  <c r="BX247" i="4"/>
  <c r="BW247" i="4" s="1"/>
  <c r="BX255" i="4"/>
  <c r="BX256" i="4"/>
  <c r="BW256" i="4" s="1"/>
  <c r="BX257" i="4"/>
  <c r="BW257" i="4" s="1"/>
  <c r="BX258" i="4"/>
  <c r="BW258" i="4" s="1"/>
  <c r="BX259" i="4"/>
  <c r="BW259" i="4" s="1"/>
  <c r="BX264" i="4"/>
  <c r="BX265" i="4"/>
  <c r="BX266" i="4"/>
  <c r="BX267" i="4"/>
  <c r="BW267" i="4" s="1"/>
  <c r="BX268" i="4"/>
  <c r="BW268" i="4" s="1"/>
  <c r="BX269" i="4"/>
  <c r="BW269" i="4" s="1"/>
  <c r="BX270" i="4"/>
  <c r="BW175" i="4"/>
  <c r="BW176" i="4"/>
  <c r="BW177" i="4"/>
  <c r="BW178" i="4"/>
  <c r="BW184" i="4"/>
  <c r="BW185" i="4"/>
  <c r="BW186" i="4"/>
  <c r="BW187" i="4"/>
  <c r="BW188" i="4"/>
  <c r="BW189" i="4"/>
  <c r="BW190" i="4"/>
  <c r="BW195" i="4"/>
  <c r="BW196" i="4"/>
  <c r="BW197" i="4"/>
  <c r="BW198" i="4"/>
  <c r="BW215" i="4"/>
  <c r="BW216" i="4"/>
  <c r="BW237" i="4"/>
  <c r="BW238" i="4"/>
  <c r="BW239" i="4"/>
  <c r="BW255" i="4"/>
  <c r="BW264" i="4"/>
  <c r="BW265" i="4"/>
  <c r="BW266" i="4"/>
  <c r="BW270" i="4"/>
  <c r="BU199" i="4"/>
  <c r="BU178" i="4"/>
  <c r="BU190" i="4"/>
  <c r="BU195" i="4"/>
  <c r="BU197" i="4"/>
  <c r="BU255" i="4"/>
  <c r="BU256" i="4"/>
  <c r="BU257" i="4"/>
  <c r="BT175" i="4"/>
  <c r="BT176" i="4"/>
  <c r="BT177" i="4"/>
  <c r="BT178" i="4"/>
  <c r="BT179" i="4"/>
  <c r="BT180" i="4"/>
  <c r="BT181" i="4"/>
  <c r="BT182" i="4"/>
  <c r="BT183" i="4"/>
  <c r="BT184" i="4"/>
  <c r="BT185" i="4"/>
  <c r="BT186" i="4"/>
  <c r="BT187" i="4"/>
  <c r="BT188" i="4"/>
  <c r="BT189" i="4"/>
  <c r="BT190" i="4"/>
  <c r="BT191" i="4"/>
  <c r="BT192" i="4"/>
  <c r="BT193" i="4"/>
  <c r="BT194" i="4"/>
  <c r="BT195" i="4"/>
  <c r="BT196" i="4"/>
  <c r="BT197" i="4"/>
  <c r="BT198" i="4"/>
  <c r="BT199" i="4"/>
  <c r="BT200" i="4"/>
  <c r="BT201" i="4"/>
  <c r="BT202" i="4"/>
  <c r="BT203" i="4"/>
  <c r="BT204" i="4"/>
  <c r="BT205" i="4"/>
  <c r="BT206" i="4"/>
  <c r="BT207" i="4"/>
  <c r="BS207" i="4" s="1"/>
  <c r="BT208" i="4"/>
  <c r="BT209" i="4"/>
  <c r="BT210" i="4"/>
  <c r="BT211" i="4"/>
  <c r="BT212" i="4"/>
  <c r="BT213" i="4"/>
  <c r="BT214" i="4"/>
  <c r="BT215" i="4"/>
  <c r="BT216" i="4"/>
  <c r="BT217" i="4"/>
  <c r="BT218" i="4"/>
  <c r="BT219" i="4"/>
  <c r="BS219" i="4" s="1"/>
  <c r="BT220" i="4"/>
  <c r="BS220" i="4" s="1"/>
  <c r="BT221" i="4"/>
  <c r="BT222" i="4"/>
  <c r="BT223" i="4"/>
  <c r="BT224" i="4"/>
  <c r="BT225" i="4"/>
  <c r="BT226" i="4"/>
  <c r="BT227" i="4"/>
  <c r="BT228" i="4"/>
  <c r="BT229" i="4"/>
  <c r="BT230" i="4"/>
  <c r="BS230" i="4" s="1"/>
  <c r="BT231" i="4"/>
  <c r="BS231" i="4" s="1"/>
  <c r="BT232" i="4"/>
  <c r="BS232" i="4" s="1"/>
  <c r="BT233" i="4"/>
  <c r="BS233" i="4" s="1"/>
  <c r="BT234" i="4"/>
  <c r="BT235" i="4"/>
  <c r="BT236" i="4"/>
  <c r="BT237" i="4"/>
  <c r="BT238" i="4"/>
  <c r="BT239" i="4"/>
  <c r="BS239" i="4" s="1"/>
  <c r="BT240" i="4"/>
  <c r="BT241" i="4"/>
  <c r="BT242" i="4"/>
  <c r="BT243" i="4"/>
  <c r="BT244" i="4"/>
  <c r="BT245" i="4"/>
  <c r="BT246" i="4"/>
  <c r="BT247" i="4"/>
  <c r="BT248" i="4"/>
  <c r="BT249" i="4"/>
  <c r="BT250" i="4"/>
  <c r="BS250" i="4" s="1"/>
  <c r="BT251" i="4"/>
  <c r="BT252" i="4"/>
  <c r="BS252" i="4" s="1"/>
  <c r="BT253" i="4"/>
  <c r="BS253" i="4" s="1"/>
  <c r="BT254" i="4"/>
  <c r="BT255" i="4"/>
  <c r="BT256" i="4"/>
  <c r="BT257" i="4"/>
  <c r="BT258" i="4"/>
  <c r="BT259" i="4"/>
  <c r="BT260" i="4"/>
  <c r="BT261" i="4"/>
  <c r="BT262" i="4"/>
  <c r="BT263" i="4"/>
  <c r="BT264" i="4"/>
  <c r="BT265" i="4"/>
  <c r="BT266" i="4"/>
  <c r="BT267" i="4"/>
  <c r="BT268" i="4"/>
  <c r="BT269" i="4"/>
  <c r="BT270" i="4"/>
  <c r="BT271" i="4"/>
  <c r="BT272" i="4"/>
  <c r="BS272" i="4" s="1"/>
  <c r="BT273" i="4"/>
  <c r="BS273" i="4" s="1"/>
  <c r="BT274" i="4"/>
  <c r="BS274" i="4" s="1"/>
  <c r="BS175" i="4"/>
  <c r="BS176" i="4"/>
  <c r="BS177" i="4"/>
  <c r="BS178" i="4"/>
  <c r="BS179" i="4"/>
  <c r="BS180" i="4"/>
  <c r="BS181" i="4"/>
  <c r="BS182" i="4"/>
  <c r="BS183" i="4"/>
  <c r="BS184" i="4"/>
  <c r="BS185" i="4"/>
  <c r="BS186" i="4"/>
  <c r="BS187" i="4"/>
  <c r="BS188" i="4"/>
  <c r="BS189" i="4"/>
  <c r="BS190" i="4"/>
  <c r="BS191" i="4"/>
  <c r="BS192" i="4"/>
  <c r="BS193" i="4"/>
  <c r="BS194" i="4"/>
  <c r="BS195" i="4"/>
  <c r="BS196" i="4"/>
  <c r="BS197" i="4"/>
  <c r="BS198" i="4"/>
  <c r="BS199" i="4"/>
  <c r="BS200" i="4"/>
  <c r="BS201" i="4"/>
  <c r="BS202" i="4"/>
  <c r="BS203" i="4"/>
  <c r="BS204" i="4"/>
  <c r="BS205" i="4"/>
  <c r="BS206" i="4"/>
  <c r="BS208" i="4"/>
  <c r="BS209" i="4"/>
  <c r="BS210" i="4"/>
  <c r="BS211" i="4"/>
  <c r="BS212" i="4"/>
  <c r="BS213" i="4"/>
  <c r="BS214" i="4"/>
  <c r="BS215" i="4"/>
  <c r="BS216" i="4"/>
  <c r="BS217" i="4"/>
  <c r="BS218" i="4"/>
  <c r="BS221" i="4"/>
  <c r="BS222" i="4"/>
  <c r="BS223" i="4"/>
  <c r="BS224" i="4"/>
  <c r="BS225" i="4"/>
  <c r="BS226" i="4"/>
  <c r="BS227" i="4"/>
  <c r="BS228" i="4"/>
  <c r="BS229" i="4"/>
  <c r="BS234" i="4"/>
  <c r="BS235" i="4"/>
  <c r="BS236" i="4"/>
  <c r="BS237" i="4"/>
  <c r="BS238" i="4"/>
  <c r="BS240" i="4"/>
  <c r="BS241" i="4"/>
  <c r="BS242" i="4"/>
  <c r="BS243" i="4"/>
  <c r="BS244" i="4"/>
  <c r="BS245" i="4"/>
  <c r="BS246" i="4"/>
  <c r="BS247" i="4"/>
  <c r="BS248" i="4"/>
  <c r="BS249" i="4"/>
  <c r="BS251" i="4"/>
  <c r="BS254" i="4"/>
  <c r="BS255" i="4"/>
  <c r="BS256" i="4"/>
  <c r="BS257" i="4"/>
  <c r="BS258" i="4"/>
  <c r="BS259" i="4"/>
  <c r="BS260" i="4"/>
  <c r="BS261" i="4"/>
  <c r="BS262" i="4"/>
  <c r="BS263" i="4"/>
  <c r="BS264" i="4"/>
  <c r="BS265" i="4"/>
  <c r="BS266" i="4"/>
  <c r="BS267" i="4"/>
  <c r="BS268" i="4"/>
  <c r="BS269" i="4"/>
  <c r="BS270" i="4"/>
  <c r="BS271" i="4"/>
  <c r="BR175" i="4"/>
  <c r="BR176" i="4"/>
  <c r="BR177" i="4"/>
  <c r="BR178" i="4"/>
  <c r="BR179" i="4"/>
  <c r="BR180" i="4"/>
  <c r="BR181" i="4"/>
  <c r="BR182" i="4"/>
  <c r="BR183" i="4"/>
  <c r="BR184" i="4"/>
  <c r="BR185" i="4"/>
  <c r="BR186" i="4"/>
  <c r="BR187" i="4"/>
  <c r="BR188" i="4"/>
  <c r="BR189" i="4"/>
  <c r="BR190" i="4"/>
  <c r="BR191" i="4"/>
  <c r="BR192" i="4"/>
  <c r="BR193" i="4"/>
  <c r="BR194" i="4"/>
  <c r="BR195" i="4"/>
  <c r="BR196" i="4"/>
  <c r="BR197" i="4"/>
  <c r="BR198" i="4"/>
  <c r="BR199" i="4"/>
  <c r="BR200" i="4"/>
  <c r="BR201" i="4"/>
  <c r="BR202" i="4"/>
  <c r="BR203" i="4"/>
  <c r="BR204" i="4"/>
  <c r="BR205" i="4"/>
  <c r="BR206" i="4"/>
  <c r="BR207" i="4"/>
  <c r="BR208" i="4"/>
  <c r="BQ208" i="4" s="1"/>
  <c r="BR209" i="4"/>
  <c r="BQ209" i="4" s="1"/>
  <c r="BR210" i="4"/>
  <c r="BQ210" i="4" s="1"/>
  <c r="BR211" i="4"/>
  <c r="BQ211" i="4" s="1"/>
  <c r="BR212" i="4"/>
  <c r="BQ212" i="4" s="1"/>
  <c r="BR213" i="4"/>
  <c r="BQ213" i="4" s="1"/>
  <c r="BR214" i="4"/>
  <c r="BQ214" i="4" s="1"/>
  <c r="BR215" i="4"/>
  <c r="BR216" i="4"/>
  <c r="BR217" i="4"/>
  <c r="BR218" i="4"/>
  <c r="BR219" i="4"/>
  <c r="BR220" i="4"/>
  <c r="BR221" i="4"/>
  <c r="BR222" i="4"/>
  <c r="BR223" i="4"/>
  <c r="BR224" i="4"/>
  <c r="BR225" i="4"/>
  <c r="BR226" i="4"/>
  <c r="BR227" i="4"/>
  <c r="BR228" i="4"/>
  <c r="BQ228" i="4" s="1"/>
  <c r="BR229" i="4"/>
  <c r="BQ229" i="4" s="1"/>
  <c r="BR230" i="4"/>
  <c r="BQ230" i="4" s="1"/>
  <c r="BR231" i="4"/>
  <c r="BQ231" i="4" s="1"/>
  <c r="BR232" i="4"/>
  <c r="BQ232" i="4" s="1"/>
  <c r="BR233" i="4"/>
  <c r="BQ233" i="4" s="1"/>
  <c r="BR234" i="4"/>
  <c r="BQ234" i="4" s="1"/>
  <c r="BR235" i="4"/>
  <c r="BR236" i="4"/>
  <c r="BR237" i="4"/>
  <c r="BR238" i="4"/>
  <c r="BR239" i="4"/>
  <c r="BR240" i="4"/>
  <c r="BR241" i="4"/>
  <c r="BR242" i="4"/>
  <c r="BR243" i="4"/>
  <c r="BR244" i="4"/>
  <c r="BR245" i="4"/>
  <c r="BR246" i="4"/>
  <c r="BR247" i="4"/>
  <c r="BR248" i="4"/>
  <c r="BR249" i="4"/>
  <c r="BR250" i="4"/>
  <c r="BR251" i="4"/>
  <c r="BR252" i="4"/>
  <c r="BR253" i="4"/>
  <c r="BR254" i="4"/>
  <c r="BR255" i="4"/>
  <c r="BR256" i="4"/>
  <c r="BR257" i="4"/>
  <c r="BR258" i="4"/>
  <c r="BR259" i="4"/>
  <c r="BR260" i="4"/>
  <c r="BR261" i="4"/>
  <c r="BR262" i="4"/>
  <c r="BR263" i="4"/>
  <c r="BR264" i="4"/>
  <c r="BR265" i="4"/>
  <c r="BR266" i="4"/>
  <c r="BR267" i="4"/>
  <c r="BR268" i="4"/>
  <c r="BR269" i="4"/>
  <c r="BR270" i="4"/>
  <c r="BR271" i="4"/>
  <c r="BR272" i="4"/>
  <c r="BR273" i="4"/>
  <c r="BR274" i="4"/>
  <c r="BQ175" i="4"/>
  <c r="BQ176" i="4"/>
  <c r="BQ177" i="4"/>
  <c r="BQ178" i="4"/>
  <c r="BQ179" i="4"/>
  <c r="BQ180" i="4"/>
  <c r="BQ181" i="4"/>
  <c r="BQ182" i="4"/>
  <c r="BQ183" i="4"/>
  <c r="BQ184" i="4"/>
  <c r="BQ185" i="4"/>
  <c r="BQ186" i="4"/>
  <c r="BQ187" i="4"/>
  <c r="BQ188" i="4"/>
  <c r="BQ189" i="4"/>
  <c r="BQ190" i="4"/>
  <c r="BQ191" i="4"/>
  <c r="BQ192" i="4"/>
  <c r="BQ193" i="4"/>
  <c r="BQ194" i="4"/>
  <c r="BQ195" i="4"/>
  <c r="BQ196" i="4"/>
  <c r="BQ197" i="4"/>
  <c r="BQ198" i="4"/>
  <c r="BQ199" i="4"/>
  <c r="BQ200" i="4"/>
  <c r="BQ201" i="4"/>
  <c r="BQ202" i="4"/>
  <c r="BQ203" i="4"/>
  <c r="BQ204" i="4"/>
  <c r="BQ205" i="4"/>
  <c r="BQ206" i="4"/>
  <c r="BQ207" i="4"/>
  <c r="BQ215" i="4"/>
  <c r="BQ216" i="4"/>
  <c r="BQ217" i="4"/>
  <c r="BQ218" i="4"/>
  <c r="BQ219" i="4"/>
  <c r="BQ220" i="4"/>
  <c r="BQ221" i="4"/>
  <c r="BQ222" i="4"/>
  <c r="BQ223" i="4"/>
  <c r="BQ224" i="4"/>
  <c r="BQ225" i="4"/>
  <c r="BQ226" i="4"/>
  <c r="BQ227" i="4"/>
  <c r="BQ235" i="4"/>
  <c r="BQ236" i="4"/>
  <c r="BQ237" i="4"/>
  <c r="BQ238" i="4"/>
  <c r="BQ239" i="4"/>
  <c r="BQ240" i="4"/>
  <c r="BQ241" i="4"/>
  <c r="BQ242" i="4"/>
  <c r="BQ243" i="4"/>
  <c r="BQ244" i="4"/>
  <c r="BQ245" i="4"/>
  <c r="BQ246" i="4"/>
  <c r="BQ247" i="4"/>
  <c r="BQ248" i="4"/>
  <c r="BQ249" i="4"/>
  <c r="BQ250" i="4"/>
  <c r="BQ251" i="4"/>
  <c r="BQ252" i="4"/>
  <c r="BQ253" i="4"/>
  <c r="BQ254" i="4"/>
  <c r="BQ255" i="4"/>
  <c r="BQ256" i="4"/>
  <c r="BQ257" i="4"/>
  <c r="BQ258" i="4"/>
  <c r="BQ259" i="4"/>
  <c r="BQ260" i="4"/>
  <c r="BQ261" i="4"/>
  <c r="BQ262" i="4"/>
  <c r="BQ263" i="4"/>
  <c r="BQ264" i="4"/>
  <c r="BQ265" i="4"/>
  <c r="BQ266" i="4"/>
  <c r="BQ267" i="4"/>
  <c r="BQ268" i="4"/>
  <c r="BQ269" i="4"/>
  <c r="BQ270" i="4"/>
  <c r="BQ271" i="4"/>
  <c r="BQ272" i="4"/>
  <c r="BQ273" i="4"/>
  <c r="BQ274" i="4"/>
  <c r="BP175" i="4"/>
  <c r="BP176" i="4"/>
  <c r="BP177" i="4"/>
  <c r="BP178" i="4"/>
  <c r="BP179" i="4"/>
  <c r="BP180" i="4"/>
  <c r="BP181" i="4"/>
  <c r="BP182" i="4"/>
  <c r="BP183" i="4"/>
  <c r="BP184" i="4"/>
  <c r="BP185" i="4"/>
  <c r="BP186" i="4"/>
  <c r="BP187" i="4"/>
  <c r="BP188" i="4"/>
  <c r="BP189" i="4"/>
  <c r="BP190" i="4"/>
  <c r="BP191" i="4"/>
  <c r="BP192" i="4"/>
  <c r="BP193" i="4"/>
  <c r="BP194" i="4"/>
  <c r="BP195" i="4"/>
  <c r="BP196" i="4"/>
  <c r="BP197" i="4"/>
  <c r="BP198" i="4"/>
  <c r="BP199" i="4"/>
  <c r="BP200" i="4"/>
  <c r="BP201" i="4"/>
  <c r="BP202" i="4"/>
  <c r="BP203" i="4"/>
  <c r="BP204" i="4"/>
  <c r="BP205" i="4"/>
  <c r="BP206" i="4"/>
  <c r="BP207" i="4"/>
  <c r="BP208" i="4"/>
  <c r="BP209" i="4"/>
  <c r="BP210" i="4"/>
  <c r="BP211" i="4"/>
  <c r="BP212" i="4"/>
  <c r="BP213" i="4"/>
  <c r="BP214" i="4"/>
  <c r="BP215" i="4"/>
  <c r="BP216" i="4"/>
  <c r="BP217" i="4"/>
  <c r="BP218" i="4"/>
  <c r="BP219" i="4"/>
  <c r="BP220" i="4"/>
  <c r="BP221" i="4"/>
  <c r="BP222" i="4"/>
  <c r="BP223" i="4"/>
  <c r="BP224" i="4"/>
  <c r="BP225" i="4"/>
  <c r="BP226" i="4"/>
  <c r="BP227" i="4"/>
  <c r="BP228" i="4"/>
  <c r="BP229" i="4"/>
  <c r="BP230" i="4"/>
  <c r="BP231" i="4"/>
  <c r="BP232" i="4"/>
  <c r="BP233" i="4"/>
  <c r="BP234" i="4"/>
  <c r="BP235" i="4"/>
  <c r="BP236" i="4"/>
  <c r="BP237" i="4"/>
  <c r="BP238" i="4"/>
  <c r="BP239" i="4"/>
  <c r="BP240" i="4"/>
  <c r="BP241" i="4"/>
  <c r="BP242" i="4"/>
  <c r="BP243" i="4"/>
  <c r="BP244" i="4"/>
  <c r="BP245" i="4"/>
  <c r="BP246" i="4"/>
  <c r="BP247" i="4"/>
  <c r="BP248" i="4"/>
  <c r="BP249" i="4"/>
  <c r="BP250" i="4"/>
  <c r="BP251" i="4"/>
  <c r="BP252" i="4"/>
  <c r="BP253" i="4"/>
  <c r="BP254" i="4"/>
  <c r="BP255" i="4"/>
  <c r="BP256" i="4"/>
  <c r="BP257" i="4"/>
  <c r="BP258" i="4"/>
  <c r="BP259" i="4"/>
  <c r="BP260" i="4"/>
  <c r="BP261" i="4"/>
  <c r="BP262" i="4"/>
  <c r="BP263" i="4"/>
  <c r="BP264" i="4"/>
  <c r="BP265" i="4"/>
  <c r="BP266" i="4"/>
  <c r="BP267" i="4"/>
  <c r="BP268" i="4"/>
  <c r="BP269" i="4"/>
  <c r="BP270" i="4"/>
  <c r="BP271" i="4"/>
  <c r="BP272" i="4"/>
  <c r="BP273" i="4"/>
  <c r="BO175" i="4"/>
  <c r="BO176" i="4"/>
  <c r="BO177" i="4"/>
  <c r="BO178" i="4"/>
  <c r="BO179" i="4"/>
  <c r="BO180" i="4"/>
  <c r="BO181" i="4"/>
  <c r="BO182" i="4"/>
  <c r="BO183" i="4"/>
  <c r="BO184" i="4"/>
  <c r="BO185" i="4"/>
  <c r="BO186" i="4"/>
  <c r="BO187" i="4"/>
  <c r="BO188" i="4"/>
  <c r="BO189" i="4"/>
  <c r="BO190" i="4"/>
  <c r="BO191" i="4"/>
  <c r="BO192" i="4"/>
  <c r="BO193" i="4"/>
  <c r="BO194" i="4"/>
  <c r="BO195" i="4"/>
  <c r="BO196" i="4"/>
  <c r="BO197" i="4"/>
  <c r="BO198" i="4"/>
  <c r="BO199" i="4"/>
  <c r="BO200" i="4"/>
  <c r="BO201" i="4"/>
  <c r="BO202" i="4"/>
  <c r="BO203" i="4"/>
  <c r="BO204" i="4"/>
  <c r="BO205" i="4"/>
  <c r="BO206" i="4"/>
  <c r="BO207" i="4"/>
  <c r="BO208" i="4"/>
  <c r="BO209" i="4"/>
  <c r="BO210" i="4"/>
  <c r="BO211" i="4"/>
  <c r="BO212" i="4"/>
  <c r="BO213" i="4"/>
  <c r="BO214" i="4"/>
  <c r="BO215" i="4"/>
  <c r="BO216" i="4"/>
  <c r="BO217" i="4"/>
  <c r="BO218" i="4"/>
  <c r="BO219" i="4"/>
  <c r="BO220" i="4"/>
  <c r="BO221" i="4"/>
  <c r="BO222" i="4"/>
  <c r="BO223" i="4"/>
  <c r="BO224" i="4"/>
  <c r="BO225" i="4"/>
  <c r="BO226" i="4"/>
  <c r="BO227" i="4"/>
  <c r="BO228" i="4"/>
  <c r="BO229" i="4"/>
  <c r="BO230" i="4"/>
  <c r="BO231" i="4"/>
  <c r="BO232" i="4"/>
  <c r="BO233" i="4"/>
  <c r="BO234" i="4"/>
  <c r="BO235" i="4"/>
  <c r="BO236" i="4"/>
  <c r="BO237" i="4"/>
  <c r="BO238" i="4"/>
  <c r="BO239" i="4"/>
  <c r="BO240" i="4"/>
  <c r="BO241" i="4"/>
  <c r="BO242" i="4"/>
  <c r="BO243" i="4"/>
  <c r="BO244" i="4"/>
  <c r="BO245" i="4"/>
  <c r="BO246" i="4"/>
  <c r="BO247" i="4"/>
  <c r="BO248" i="4"/>
  <c r="BO249" i="4"/>
  <c r="BO250" i="4"/>
  <c r="BO251" i="4"/>
  <c r="BO252" i="4"/>
  <c r="BO253" i="4"/>
  <c r="BO254" i="4"/>
  <c r="BO255" i="4"/>
  <c r="BO256" i="4"/>
  <c r="BO257" i="4"/>
  <c r="BO258" i="4"/>
  <c r="BO259" i="4"/>
  <c r="BO260" i="4"/>
  <c r="BO261" i="4"/>
  <c r="BO262" i="4"/>
  <c r="BO263" i="4"/>
  <c r="BO264" i="4"/>
  <c r="BO265" i="4"/>
  <c r="BO266" i="4"/>
  <c r="BO267" i="4"/>
  <c r="BO268" i="4"/>
  <c r="BO269" i="4"/>
  <c r="BO270" i="4"/>
  <c r="BO271" i="4"/>
  <c r="BO272" i="4"/>
  <c r="BO273" i="4"/>
  <c r="BN175" i="4"/>
  <c r="BN176" i="4"/>
  <c r="BN177" i="4"/>
  <c r="BN178" i="4"/>
  <c r="BN179" i="4"/>
  <c r="BN180" i="4"/>
  <c r="BN181" i="4"/>
  <c r="BN182" i="4"/>
  <c r="BN183" i="4"/>
  <c r="BN184" i="4"/>
  <c r="BN185" i="4"/>
  <c r="BN186" i="4"/>
  <c r="BN187" i="4"/>
  <c r="BN188" i="4"/>
  <c r="BN189" i="4"/>
  <c r="BN190" i="4"/>
  <c r="BN191" i="4"/>
  <c r="BN192" i="4"/>
  <c r="BN193" i="4"/>
  <c r="BN194" i="4"/>
  <c r="BN195" i="4"/>
  <c r="BN196" i="4"/>
  <c r="BN197" i="4"/>
  <c r="BN198" i="4"/>
  <c r="BN199" i="4"/>
  <c r="BN200" i="4"/>
  <c r="BN201" i="4"/>
  <c r="BN202" i="4"/>
  <c r="BN203" i="4"/>
  <c r="BN204" i="4"/>
  <c r="BN205" i="4"/>
  <c r="BN206" i="4"/>
  <c r="BN207" i="4"/>
  <c r="BN208" i="4"/>
  <c r="BN209" i="4"/>
  <c r="BN210" i="4"/>
  <c r="BN211" i="4"/>
  <c r="BN212" i="4"/>
  <c r="BN213" i="4"/>
  <c r="BN214" i="4"/>
  <c r="BN215" i="4"/>
  <c r="BN216" i="4"/>
  <c r="BN217" i="4"/>
  <c r="BN218" i="4"/>
  <c r="BN219" i="4"/>
  <c r="BN220" i="4"/>
  <c r="BN221" i="4"/>
  <c r="BN222" i="4"/>
  <c r="BN223" i="4"/>
  <c r="BN224" i="4"/>
  <c r="BN225" i="4"/>
  <c r="BN226" i="4"/>
  <c r="BN227" i="4"/>
  <c r="BN228" i="4"/>
  <c r="BN229" i="4"/>
  <c r="BN230" i="4"/>
  <c r="BN231" i="4"/>
  <c r="BN232" i="4"/>
  <c r="BN233" i="4"/>
  <c r="BN234" i="4"/>
  <c r="BN235" i="4"/>
  <c r="BN236" i="4"/>
  <c r="BN237" i="4"/>
  <c r="BN238" i="4"/>
  <c r="BN239" i="4"/>
  <c r="BN240" i="4"/>
  <c r="BN241" i="4"/>
  <c r="BN242" i="4"/>
  <c r="BN243" i="4"/>
  <c r="BN244" i="4"/>
  <c r="BN245" i="4"/>
  <c r="BN246" i="4"/>
  <c r="BN247" i="4"/>
  <c r="BN248" i="4"/>
  <c r="BN249" i="4"/>
  <c r="BN250" i="4"/>
  <c r="BN251" i="4"/>
  <c r="BN252" i="4"/>
  <c r="BN253" i="4"/>
  <c r="BN254" i="4"/>
  <c r="BN255" i="4"/>
  <c r="BN256" i="4"/>
  <c r="BN257" i="4"/>
  <c r="BN258" i="4"/>
  <c r="BN259" i="4"/>
  <c r="BN260" i="4"/>
  <c r="BN261" i="4"/>
  <c r="BN262" i="4"/>
  <c r="BN263" i="4"/>
  <c r="BN264" i="4"/>
  <c r="BN265" i="4"/>
  <c r="BN266" i="4"/>
  <c r="BN267" i="4"/>
  <c r="BN268" i="4"/>
  <c r="BN269" i="4"/>
  <c r="BN270" i="4"/>
  <c r="BN271" i="4"/>
  <c r="BN272" i="4"/>
  <c r="BN273" i="4"/>
  <c r="BN274" i="4"/>
  <c r="BM175" i="4"/>
  <c r="BM176" i="4"/>
  <c r="BM177" i="4"/>
  <c r="BM178" i="4"/>
  <c r="BM179" i="4"/>
  <c r="BM180" i="4"/>
  <c r="BM181" i="4"/>
  <c r="BM182" i="4"/>
  <c r="BM183" i="4"/>
  <c r="BM184" i="4"/>
  <c r="BM185" i="4"/>
  <c r="BM186" i="4"/>
  <c r="BM187" i="4"/>
  <c r="BM188" i="4"/>
  <c r="BM189" i="4"/>
  <c r="BM190" i="4"/>
  <c r="BM191" i="4"/>
  <c r="BM192" i="4"/>
  <c r="BM193" i="4"/>
  <c r="BM194" i="4"/>
  <c r="BM195" i="4"/>
  <c r="BM196" i="4"/>
  <c r="BM197" i="4"/>
  <c r="BM198" i="4"/>
  <c r="BM199" i="4"/>
  <c r="BM200" i="4"/>
  <c r="BM201" i="4"/>
  <c r="BM202" i="4"/>
  <c r="BM203" i="4"/>
  <c r="BM204" i="4"/>
  <c r="BM205" i="4"/>
  <c r="BM206" i="4"/>
  <c r="BM207" i="4"/>
  <c r="BM208" i="4"/>
  <c r="BM209" i="4"/>
  <c r="BM210" i="4"/>
  <c r="BM211" i="4"/>
  <c r="BM212" i="4"/>
  <c r="BM213" i="4"/>
  <c r="BM214" i="4"/>
  <c r="BM215" i="4"/>
  <c r="BM216" i="4"/>
  <c r="BM217" i="4"/>
  <c r="BM218" i="4"/>
  <c r="BM219" i="4"/>
  <c r="BM220" i="4"/>
  <c r="BM221" i="4"/>
  <c r="BM222" i="4"/>
  <c r="BM223" i="4"/>
  <c r="BM224" i="4"/>
  <c r="BM225" i="4"/>
  <c r="BM226" i="4"/>
  <c r="BM227" i="4"/>
  <c r="BM228" i="4"/>
  <c r="BM229" i="4"/>
  <c r="BM230" i="4"/>
  <c r="BM231" i="4"/>
  <c r="BM232" i="4"/>
  <c r="BM233" i="4"/>
  <c r="BM234" i="4"/>
  <c r="BM235" i="4"/>
  <c r="BM236" i="4"/>
  <c r="BM237" i="4"/>
  <c r="BM238" i="4"/>
  <c r="BM239" i="4"/>
  <c r="BM240" i="4"/>
  <c r="BM241" i="4"/>
  <c r="BM242" i="4"/>
  <c r="BM243" i="4"/>
  <c r="BM244" i="4"/>
  <c r="BM245" i="4"/>
  <c r="BM246" i="4"/>
  <c r="BM247" i="4"/>
  <c r="BM248" i="4"/>
  <c r="BM249" i="4"/>
  <c r="BM250" i="4"/>
  <c r="BM251" i="4"/>
  <c r="BM252" i="4"/>
  <c r="BM253" i="4"/>
  <c r="BM254" i="4"/>
  <c r="BM255" i="4"/>
  <c r="BM256" i="4"/>
  <c r="BM257" i="4"/>
  <c r="BM258" i="4"/>
  <c r="BM259" i="4"/>
  <c r="BM260" i="4"/>
  <c r="BM261" i="4"/>
  <c r="BM262" i="4"/>
  <c r="BM263" i="4"/>
  <c r="BM264" i="4"/>
  <c r="BM265" i="4"/>
  <c r="BM266" i="4"/>
  <c r="BM267" i="4"/>
  <c r="BM268" i="4"/>
  <c r="BM269" i="4"/>
  <c r="BM270" i="4"/>
  <c r="BM271" i="4"/>
  <c r="BM272" i="4"/>
  <c r="BM273" i="4"/>
  <c r="BM274" i="4"/>
  <c r="AI184" i="4"/>
  <c r="AI185" i="4"/>
  <c r="AI186" i="4"/>
  <c r="AI187" i="4"/>
  <c r="AI188" i="4"/>
  <c r="AI189" i="4"/>
  <c r="AI190" i="4"/>
  <c r="AI191" i="4"/>
  <c r="AI192" i="4"/>
  <c r="AI193" i="4"/>
  <c r="AI194" i="4"/>
  <c r="AI195" i="4"/>
  <c r="AI196" i="4"/>
  <c r="AI197" i="4"/>
  <c r="AI198" i="4"/>
  <c r="AI199" i="4"/>
  <c r="AI200" i="4"/>
  <c r="AI201" i="4"/>
  <c r="AI202" i="4"/>
  <c r="AI203" i="4"/>
  <c r="AI204" i="4"/>
  <c r="AI205" i="4"/>
  <c r="AI206" i="4"/>
  <c r="AI207" i="4"/>
  <c r="AI208" i="4"/>
  <c r="AI209" i="4"/>
  <c r="AI210" i="4"/>
  <c r="AI211" i="4"/>
  <c r="AI212" i="4"/>
  <c r="AI213" i="4"/>
  <c r="AI214" i="4"/>
  <c r="AI215" i="4"/>
  <c r="AI216" i="4"/>
  <c r="AI217" i="4"/>
  <c r="AI218" i="4"/>
  <c r="AI219" i="4"/>
  <c r="AI220" i="4"/>
  <c r="AI221" i="4"/>
  <c r="AI222" i="4"/>
  <c r="AI223" i="4"/>
  <c r="AI224" i="4"/>
  <c r="AI225" i="4"/>
  <c r="AI226" i="4"/>
  <c r="AI227" i="4"/>
  <c r="AI228" i="4"/>
  <c r="AI229" i="4"/>
  <c r="AI230" i="4"/>
  <c r="AI231" i="4"/>
  <c r="AI232" i="4"/>
  <c r="AI233" i="4"/>
  <c r="AI234" i="4"/>
  <c r="AI235" i="4"/>
  <c r="AI236" i="4"/>
  <c r="AI237" i="4"/>
  <c r="AI238" i="4"/>
  <c r="AI239" i="4"/>
  <c r="AI240" i="4"/>
  <c r="AI241" i="4"/>
  <c r="AI242" i="4"/>
  <c r="AI243" i="4"/>
  <c r="AI244" i="4"/>
  <c r="AI245" i="4"/>
  <c r="AI246" i="4"/>
  <c r="AI247" i="4"/>
  <c r="AI248" i="4"/>
  <c r="AI249" i="4"/>
  <c r="AI250" i="4"/>
  <c r="AI251" i="4"/>
  <c r="AI252" i="4"/>
  <c r="AI253" i="4"/>
  <c r="AI254" i="4"/>
  <c r="AI255" i="4"/>
  <c r="AI256" i="4"/>
  <c r="AI257" i="4"/>
  <c r="AI175" i="4"/>
  <c r="AI176" i="4"/>
  <c r="AI177" i="4"/>
  <c r="AI178" i="4"/>
  <c r="AI179" i="4"/>
  <c r="AI180" i="4"/>
  <c r="AI181" i="4"/>
  <c r="AI182" i="4"/>
  <c r="AI183" i="4"/>
  <c r="AI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118" i="4"/>
  <c r="AI119" i="4"/>
  <c r="AI12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I168" i="4"/>
  <c r="AI169" i="4"/>
  <c r="AI170" i="4"/>
  <c r="AI171" i="4"/>
  <c r="AI172" i="4"/>
  <c r="AI173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BP274" i="4"/>
  <c r="BO274" i="4" s="1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23" i="4"/>
  <c r="AB224" i="4"/>
  <c r="AB225" i="4"/>
  <c r="AB226" i="4"/>
  <c r="AB227" i="4"/>
  <c r="AB228" i="4"/>
  <c r="AB229" i="4"/>
  <c r="AB230" i="4"/>
  <c r="AB231" i="4"/>
  <c r="AB232" i="4"/>
  <c r="AB233" i="4"/>
  <c r="AB234" i="4"/>
  <c r="AB235" i="4"/>
  <c r="AB236" i="4"/>
  <c r="AB237" i="4"/>
  <c r="AB238" i="4"/>
  <c r="AB239" i="4"/>
  <c r="AB240" i="4"/>
  <c r="AB241" i="4"/>
  <c r="AB242" i="4"/>
  <c r="AB243" i="4"/>
  <c r="AB244" i="4"/>
  <c r="AB245" i="4"/>
  <c r="AB246" i="4"/>
  <c r="AB247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7" i="4"/>
  <c r="AB268" i="4"/>
  <c r="AB269" i="4"/>
  <c r="AB270" i="4"/>
  <c r="AB271" i="4"/>
  <c r="AB272" i="4"/>
  <c r="AB273" i="4"/>
  <c r="T175" i="4"/>
  <c r="T176" i="4"/>
  <c r="T177" i="4"/>
  <c r="T178" i="4"/>
  <c r="T184" i="4"/>
  <c r="T185" i="4"/>
  <c r="T186" i="4"/>
  <c r="T187" i="4"/>
  <c r="T188" i="4"/>
  <c r="T189" i="4"/>
  <c r="T195" i="4"/>
  <c r="T196" i="4"/>
  <c r="T197" i="4"/>
  <c r="T198" i="4"/>
  <c r="T199" i="4"/>
  <c r="T200" i="4"/>
  <c r="T204" i="4"/>
  <c r="T205" i="4"/>
  <c r="T206" i="4"/>
  <c r="T207" i="4"/>
  <c r="T208" i="4"/>
  <c r="T209" i="4"/>
  <c r="T210" i="4"/>
  <c r="T211" i="4"/>
  <c r="T212" i="4"/>
  <c r="T215" i="4"/>
  <c r="T216" i="4"/>
  <c r="T217" i="4"/>
  <c r="T218" i="4"/>
  <c r="T224" i="4"/>
  <c r="T225" i="4"/>
  <c r="T226" i="4"/>
  <c r="T227" i="4"/>
  <c r="T235" i="4"/>
  <c r="T236" i="4"/>
  <c r="T237" i="4"/>
  <c r="T238" i="4"/>
  <c r="T239" i="4"/>
  <c r="T244" i="4"/>
  <c r="T245" i="4"/>
  <c r="T246" i="4"/>
  <c r="T247" i="4"/>
  <c r="T248" i="4"/>
  <c r="T249" i="4"/>
  <c r="T250" i="4"/>
  <c r="T255" i="4"/>
  <c r="T256" i="4"/>
  <c r="T257" i="4"/>
  <c r="T258" i="4"/>
  <c r="T259" i="4"/>
  <c r="T260" i="4"/>
  <c r="T261" i="4"/>
  <c r="T264" i="4"/>
  <c r="T265" i="4"/>
  <c r="T266" i="4"/>
  <c r="T267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CI3" i="4"/>
  <c r="CI4" i="4"/>
  <c r="CI5" i="4"/>
  <c r="CI6" i="4"/>
  <c r="CI7" i="4"/>
  <c r="CI8" i="4"/>
  <c r="CI9" i="4"/>
  <c r="CI10" i="4"/>
  <c r="CI11" i="4"/>
  <c r="CI12" i="4"/>
  <c r="CI13" i="4"/>
  <c r="CI14" i="4"/>
  <c r="CI15" i="4"/>
  <c r="CI16" i="4"/>
  <c r="CI17" i="4"/>
  <c r="CI18" i="4"/>
  <c r="CI19" i="4"/>
  <c r="CI20" i="4"/>
  <c r="CI21" i="4"/>
  <c r="CI22" i="4"/>
  <c r="CI23" i="4"/>
  <c r="CI24" i="4"/>
  <c r="CI25" i="4"/>
  <c r="CI26" i="4"/>
  <c r="CI27" i="4"/>
  <c r="CI28" i="4"/>
  <c r="CI29" i="4"/>
  <c r="CI30" i="4"/>
  <c r="CI31" i="4"/>
  <c r="CI32" i="4"/>
  <c r="CI33" i="4"/>
  <c r="CI34" i="4"/>
  <c r="CI35" i="4"/>
  <c r="CI36" i="4"/>
  <c r="CI37" i="4"/>
  <c r="CI38" i="4"/>
  <c r="CI39" i="4"/>
  <c r="CI40" i="4"/>
  <c r="CI41" i="4"/>
  <c r="CI42" i="4"/>
  <c r="CI43" i="4"/>
  <c r="CI44" i="4"/>
  <c r="CI45" i="4"/>
  <c r="CI46" i="4"/>
  <c r="CI47" i="4"/>
  <c r="CI48" i="4"/>
  <c r="CI49" i="4"/>
  <c r="CI50" i="4"/>
  <c r="CI51" i="4"/>
  <c r="CI52" i="4"/>
  <c r="CI53" i="4"/>
  <c r="CI54" i="4"/>
  <c r="CI55" i="4"/>
  <c r="CI56" i="4"/>
  <c r="CI57" i="4"/>
  <c r="CI58" i="4"/>
  <c r="CI59" i="4"/>
  <c r="CI60" i="4"/>
  <c r="CI61" i="4"/>
  <c r="CI62" i="4"/>
  <c r="CI63" i="4"/>
  <c r="CI64" i="4"/>
  <c r="CI65" i="4"/>
  <c r="CI66" i="4"/>
  <c r="CI67" i="4"/>
  <c r="CI68" i="4"/>
  <c r="CI69" i="4"/>
  <c r="CI70" i="4"/>
  <c r="CI71" i="4"/>
  <c r="CI72" i="4"/>
  <c r="CI73" i="4"/>
  <c r="CI74" i="4"/>
  <c r="CI75" i="4"/>
  <c r="CI76" i="4"/>
  <c r="CI77" i="4"/>
  <c r="CI78" i="4"/>
  <c r="CI79" i="4"/>
  <c r="CI80" i="4"/>
  <c r="CI81" i="4"/>
  <c r="CI82" i="4"/>
  <c r="CI83" i="4"/>
  <c r="CI84" i="4"/>
  <c r="CI85" i="4"/>
  <c r="CI86" i="4"/>
  <c r="CI87" i="4"/>
  <c r="CI88" i="4"/>
  <c r="CI89" i="4"/>
  <c r="CI90" i="4"/>
  <c r="CI91" i="4"/>
  <c r="CI92" i="4"/>
  <c r="CI93" i="4"/>
  <c r="CI94" i="4"/>
  <c r="CI95" i="4"/>
  <c r="CI96" i="4"/>
  <c r="CI97" i="4"/>
  <c r="CI98" i="4"/>
  <c r="CI99" i="4"/>
  <c r="CI100" i="4"/>
  <c r="CI101" i="4"/>
  <c r="CI102" i="4"/>
  <c r="CI103" i="4"/>
  <c r="CI104" i="4"/>
  <c r="CI105" i="4"/>
  <c r="CI106" i="4"/>
  <c r="CI107" i="4"/>
  <c r="CI108" i="4"/>
  <c r="CI109" i="4"/>
  <c r="CI110" i="4"/>
  <c r="CI111" i="4"/>
  <c r="CI112" i="4"/>
  <c r="CI113" i="4"/>
  <c r="CI114" i="4"/>
  <c r="CI115" i="4"/>
  <c r="CI116" i="4"/>
  <c r="CI117" i="4"/>
  <c r="CI118" i="4"/>
  <c r="CI119" i="4"/>
  <c r="CI120" i="4"/>
  <c r="CI121" i="4"/>
  <c r="CI122" i="4"/>
  <c r="CI123" i="4"/>
  <c r="CI124" i="4"/>
  <c r="CI125" i="4"/>
  <c r="CI126" i="4"/>
  <c r="CI127" i="4"/>
  <c r="CI128" i="4"/>
  <c r="CI129" i="4"/>
  <c r="CI130" i="4"/>
  <c r="CI131" i="4"/>
  <c r="CI132" i="4"/>
  <c r="CI133" i="4"/>
  <c r="CI134" i="4"/>
  <c r="CI135" i="4"/>
  <c r="CI136" i="4"/>
  <c r="CI137" i="4"/>
  <c r="CI138" i="4"/>
  <c r="CI139" i="4"/>
  <c r="CI140" i="4"/>
  <c r="CI141" i="4"/>
  <c r="CI142" i="4"/>
  <c r="CI143" i="4"/>
  <c r="CI144" i="4"/>
  <c r="CI145" i="4"/>
  <c r="CI146" i="4"/>
  <c r="CI147" i="4"/>
  <c r="CI148" i="4"/>
  <c r="CI149" i="4"/>
  <c r="CI150" i="4"/>
  <c r="CI151" i="4"/>
  <c r="CI152" i="4"/>
  <c r="CI153" i="4"/>
  <c r="CI154" i="4"/>
  <c r="CI155" i="4"/>
  <c r="CI156" i="4"/>
  <c r="CI157" i="4"/>
  <c r="CI158" i="4"/>
  <c r="CI159" i="4"/>
  <c r="CI160" i="4"/>
  <c r="CI161" i="4"/>
  <c r="CI162" i="4"/>
  <c r="CI163" i="4"/>
  <c r="CI164" i="4"/>
  <c r="CI165" i="4"/>
  <c r="CI166" i="4"/>
  <c r="CI167" i="4"/>
  <c r="CI168" i="4"/>
  <c r="CI169" i="4"/>
  <c r="CI170" i="4"/>
  <c r="CI171" i="4"/>
  <c r="CI172" i="4"/>
  <c r="CI173" i="4"/>
  <c r="CI174" i="4"/>
  <c r="CI2" i="4"/>
  <c r="CG3" i="4"/>
  <c r="CG4" i="4"/>
  <c r="CG5" i="4"/>
  <c r="CG6" i="4"/>
  <c r="CG7" i="4"/>
  <c r="CG8" i="4"/>
  <c r="CG9" i="4"/>
  <c r="CG10" i="4"/>
  <c r="CG11" i="4"/>
  <c r="CG12" i="4"/>
  <c r="CG13" i="4"/>
  <c r="CG14" i="4"/>
  <c r="CG15" i="4"/>
  <c r="CG16" i="4"/>
  <c r="CG17" i="4"/>
  <c r="CG18" i="4"/>
  <c r="CG19" i="4"/>
  <c r="CG20" i="4"/>
  <c r="CG21" i="4"/>
  <c r="CG22" i="4"/>
  <c r="CG23" i="4"/>
  <c r="CG24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CG38" i="4"/>
  <c r="CG39" i="4"/>
  <c r="CG40" i="4"/>
  <c r="CG41" i="4"/>
  <c r="CG42" i="4"/>
  <c r="CG43" i="4"/>
  <c r="CG44" i="4"/>
  <c r="CG45" i="4"/>
  <c r="CG46" i="4"/>
  <c r="CG47" i="4"/>
  <c r="CG48" i="4"/>
  <c r="CG49" i="4"/>
  <c r="CG50" i="4"/>
  <c r="CG51" i="4"/>
  <c r="CG52" i="4"/>
  <c r="CG53" i="4"/>
  <c r="CG54" i="4"/>
  <c r="CG55" i="4"/>
  <c r="CG56" i="4"/>
  <c r="CG57" i="4"/>
  <c r="CG58" i="4"/>
  <c r="CG59" i="4"/>
  <c r="CG60" i="4"/>
  <c r="CG61" i="4"/>
  <c r="CG62" i="4"/>
  <c r="CG63" i="4"/>
  <c r="CG64" i="4"/>
  <c r="CG65" i="4"/>
  <c r="CG66" i="4"/>
  <c r="CG67" i="4"/>
  <c r="CG68" i="4"/>
  <c r="CG69" i="4"/>
  <c r="CG70" i="4"/>
  <c r="CG71" i="4"/>
  <c r="CG72" i="4"/>
  <c r="CG73" i="4"/>
  <c r="CG74" i="4"/>
  <c r="CG75" i="4"/>
  <c r="CG76" i="4"/>
  <c r="CG77" i="4"/>
  <c r="CG78" i="4"/>
  <c r="CG79" i="4"/>
  <c r="CG80" i="4"/>
  <c r="CG81" i="4"/>
  <c r="CG82" i="4"/>
  <c r="CG83" i="4"/>
  <c r="CG84" i="4"/>
  <c r="CG85" i="4"/>
  <c r="CG86" i="4"/>
  <c r="CG87" i="4"/>
  <c r="CG88" i="4"/>
  <c r="CG89" i="4"/>
  <c r="CG90" i="4"/>
  <c r="CG91" i="4"/>
  <c r="CG92" i="4"/>
  <c r="CG93" i="4"/>
  <c r="CG94" i="4"/>
  <c r="CG95" i="4"/>
  <c r="CG96" i="4"/>
  <c r="CG97" i="4"/>
  <c r="CG98" i="4"/>
  <c r="CG99" i="4"/>
  <c r="CG100" i="4"/>
  <c r="CG101" i="4"/>
  <c r="CG102" i="4"/>
  <c r="CG103" i="4"/>
  <c r="CG104" i="4"/>
  <c r="CG105" i="4"/>
  <c r="CG106" i="4"/>
  <c r="CG107" i="4"/>
  <c r="CG108" i="4"/>
  <c r="CG109" i="4"/>
  <c r="CG110" i="4"/>
  <c r="CG111" i="4"/>
  <c r="CG112" i="4"/>
  <c r="CG113" i="4"/>
  <c r="CG114" i="4"/>
  <c r="CG115" i="4"/>
  <c r="CG116" i="4"/>
  <c r="CG117" i="4"/>
  <c r="CG118" i="4"/>
  <c r="CG119" i="4"/>
  <c r="CG120" i="4"/>
  <c r="CG121" i="4"/>
  <c r="CG122" i="4"/>
  <c r="CG123" i="4"/>
  <c r="CG124" i="4"/>
  <c r="CG125" i="4"/>
  <c r="CG126" i="4"/>
  <c r="CG127" i="4"/>
  <c r="CG128" i="4"/>
  <c r="CG129" i="4"/>
  <c r="CG130" i="4"/>
  <c r="CG131" i="4"/>
  <c r="CG132" i="4"/>
  <c r="CG133" i="4"/>
  <c r="CG134" i="4"/>
  <c r="CG135" i="4"/>
  <c r="CG136" i="4"/>
  <c r="CG137" i="4"/>
  <c r="CG138" i="4"/>
  <c r="CG139" i="4"/>
  <c r="CG140" i="4"/>
  <c r="CG141" i="4"/>
  <c r="CG142" i="4"/>
  <c r="CG143" i="4"/>
  <c r="CG144" i="4"/>
  <c r="CG145" i="4"/>
  <c r="CG146" i="4"/>
  <c r="CG147" i="4"/>
  <c r="CG148" i="4"/>
  <c r="CG149" i="4"/>
  <c r="CG150" i="4"/>
  <c r="CG151" i="4"/>
  <c r="CG152" i="4"/>
  <c r="CG153" i="4"/>
  <c r="CG154" i="4"/>
  <c r="CG155" i="4"/>
  <c r="CG156" i="4"/>
  <c r="CG157" i="4"/>
  <c r="CG158" i="4"/>
  <c r="CG159" i="4"/>
  <c r="CG160" i="4"/>
  <c r="CG161" i="4"/>
  <c r="CG162" i="4"/>
  <c r="CG163" i="4"/>
  <c r="CG164" i="4"/>
  <c r="CG165" i="4"/>
  <c r="CG166" i="4"/>
  <c r="CG167" i="4"/>
  <c r="CG168" i="4"/>
  <c r="CG169" i="4"/>
  <c r="CG170" i="4"/>
  <c r="CG171" i="4"/>
  <c r="CG172" i="4"/>
  <c r="CG173" i="4"/>
  <c r="CG174" i="4"/>
  <c r="CG2" i="4"/>
  <c r="CE3" i="4"/>
  <c r="CE4" i="4"/>
  <c r="CE5" i="4"/>
  <c r="CE6" i="4"/>
  <c r="CE7" i="4"/>
  <c r="CE8" i="4"/>
  <c r="CE9" i="4"/>
  <c r="CE10" i="4"/>
  <c r="CE11" i="4"/>
  <c r="CE12" i="4"/>
  <c r="CE13" i="4"/>
  <c r="CE14" i="4"/>
  <c r="CE15" i="4"/>
  <c r="CE16" i="4"/>
  <c r="CE17" i="4"/>
  <c r="CE18" i="4"/>
  <c r="CE19" i="4"/>
  <c r="CE20" i="4"/>
  <c r="CE21" i="4"/>
  <c r="CE22" i="4"/>
  <c r="CE23" i="4"/>
  <c r="CE24" i="4"/>
  <c r="CE25" i="4"/>
  <c r="CE26" i="4"/>
  <c r="CE27" i="4"/>
  <c r="CE28" i="4"/>
  <c r="CE29" i="4"/>
  <c r="CE30" i="4"/>
  <c r="CE31" i="4"/>
  <c r="CE32" i="4"/>
  <c r="CE33" i="4"/>
  <c r="CE34" i="4"/>
  <c r="CE35" i="4"/>
  <c r="CE36" i="4"/>
  <c r="CE37" i="4"/>
  <c r="CE38" i="4"/>
  <c r="CE39" i="4"/>
  <c r="CE40" i="4"/>
  <c r="CE41" i="4"/>
  <c r="CE42" i="4"/>
  <c r="CE43" i="4"/>
  <c r="CE44" i="4"/>
  <c r="CE45" i="4"/>
  <c r="CE46" i="4"/>
  <c r="CE47" i="4"/>
  <c r="CE48" i="4"/>
  <c r="CE49" i="4"/>
  <c r="CE50" i="4"/>
  <c r="CE51" i="4"/>
  <c r="CE52" i="4"/>
  <c r="CE53" i="4"/>
  <c r="CE54" i="4"/>
  <c r="CE55" i="4"/>
  <c r="CE56" i="4"/>
  <c r="CE57" i="4"/>
  <c r="CE58" i="4"/>
  <c r="CE59" i="4"/>
  <c r="CE60" i="4"/>
  <c r="CE61" i="4"/>
  <c r="CE62" i="4"/>
  <c r="CE63" i="4"/>
  <c r="CE64" i="4"/>
  <c r="CE65" i="4"/>
  <c r="CE66" i="4"/>
  <c r="CE67" i="4"/>
  <c r="CE68" i="4"/>
  <c r="CE69" i="4"/>
  <c r="CE70" i="4"/>
  <c r="CE71" i="4"/>
  <c r="CE72" i="4"/>
  <c r="CE73" i="4"/>
  <c r="CE74" i="4"/>
  <c r="CE75" i="4"/>
  <c r="CE76" i="4"/>
  <c r="CE77" i="4"/>
  <c r="CE78" i="4"/>
  <c r="CE79" i="4"/>
  <c r="CE80" i="4"/>
  <c r="CE81" i="4"/>
  <c r="CE82" i="4"/>
  <c r="CE83" i="4"/>
  <c r="CE84" i="4"/>
  <c r="CE85" i="4"/>
  <c r="CE86" i="4"/>
  <c r="CE87" i="4"/>
  <c r="CE88" i="4"/>
  <c r="CE89" i="4"/>
  <c r="CE90" i="4"/>
  <c r="CE91" i="4"/>
  <c r="CE92" i="4"/>
  <c r="CE93" i="4"/>
  <c r="CE94" i="4"/>
  <c r="CE95" i="4"/>
  <c r="CE96" i="4"/>
  <c r="CE97" i="4"/>
  <c r="CE98" i="4"/>
  <c r="CE99" i="4"/>
  <c r="CE100" i="4"/>
  <c r="CE101" i="4"/>
  <c r="CE102" i="4"/>
  <c r="CE103" i="4"/>
  <c r="CE104" i="4"/>
  <c r="CE105" i="4"/>
  <c r="CE106" i="4"/>
  <c r="CE107" i="4"/>
  <c r="CE108" i="4"/>
  <c r="CE109" i="4"/>
  <c r="CE110" i="4"/>
  <c r="CE111" i="4"/>
  <c r="CE112" i="4"/>
  <c r="CE113" i="4"/>
  <c r="CE114" i="4"/>
  <c r="CE115" i="4"/>
  <c r="CE116" i="4"/>
  <c r="CE117" i="4"/>
  <c r="CE118" i="4"/>
  <c r="CE119" i="4"/>
  <c r="CE120" i="4"/>
  <c r="CE121" i="4"/>
  <c r="CE122" i="4"/>
  <c r="CE123" i="4"/>
  <c r="CE124" i="4"/>
  <c r="CE125" i="4"/>
  <c r="CE126" i="4"/>
  <c r="CE127" i="4"/>
  <c r="CE128" i="4"/>
  <c r="CE129" i="4"/>
  <c r="CE130" i="4"/>
  <c r="CE131" i="4"/>
  <c r="CE132" i="4"/>
  <c r="CE133" i="4"/>
  <c r="CE134" i="4"/>
  <c r="CE135" i="4"/>
  <c r="CE136" i="4"/>
  <c r="CE137" i="4"/>
  <c r="CE138" i="4"/>
  <c r="CE139" i="4"/>
  <c r="CE140" i="4"/>
  <c r="CE141" i="4"/>
  <c r="CE142" i="4"/>
  <c r="CE143" i="4"/>
  <c r="CE144" i="4"/>
  <c r="CE145" i="4"/>
  <c r="CE146" i="4"/>
  <c r="CE147" i="4"/>
  <c r="CE148" i="4"/>
  <c r="CE149" i="4"/>
  <c r="CE150" i="4"/>
  <c r="CE151" i="4"/>
  <c r="CE152" i="4"/>
  <c r="CE153" i="4"/>
  <c r="CE154" i="4"/>
  <c r="CE155" i="4"/>
  <c r="CE156" i="4"/>
  <c r="CE157" i="4"/>
  <c r="CE158" i="4"/>
  <c r="CE159" i="4"/>
  <c r="CE160" i="4"/>
  <c r="CE161" i="4"/>
  <c r="CE162" i="4"/>
  <c r="CE163" i="4"/>
  <c r="CE164" i="4"/>
  <c r="CE165" i="4"/>
  <c r="CE166" i="4"/>
  <c r="CE167" i="4"/>
  <c r="CE168" i="4"/>
  <c r="CE169" i="4"/>
  <c r="CE170" i="4"/>
  <c r="CE171" i="4"/>
  <c r="CE172" i="4"/>
  <c r="CE173" i="4"/>
  <c r="CE174" i="4"/>
  <c r="CE2" i="4"/>
  <c r="CC3" i="4"/>
  <c r="CC4" i="4"/>
  <c r="CC5" i="4"/>
  <c r="CC6" i="4"/>
  <c r="CC7" i="4"/>
  <c r="CC8" i="4"/>
  <c r="CC9" i="4"/>
  <c r="CC10" i="4"/>
  <c r="CC11" i="4"/>
  <c r="CC12" i="4"/>
  <c r="CC13" i="4"/>
  <c r="CC14" i="4"/>
  <c r="CC15" i="4"/>
  <c r="CC16" i="4"/>
  <c r="CC17" i="4"/>
  <c r="CC18" i="4"/>
  <c r="CC19" i="4"/>
  <c r="CC20" i="4"/>
  <c r="CC21" i="4"/>
  <c r="CC22" i="4"/>
  <c r="CC23" i="4"/>
  <c r="CC24" i="4"/>
  <c r="CC25" i="4"/>
  <c r="CC26" i="4"/>
  <c r="CC27" i="4"/>
  <c r="CC28" i="4"/>
  <c r="CC29" i="4"/>
  <c r="CC30" i="4"/>
  <c r="CC31" i="4"/>
  <c r="CC32" i="4"/>
  <c r="CC33" i="4"/>
  <c r="CC34" i="4"/>
  <c r="CC35" i="4"/>
  <c r="CC36" i="4"/>
  <c r="CC37" i="4"/>
  <c r="CC38" i="4"/>
  <c r="CC39" i="4"/>
  <c r="CC40" i="4"/>
  <c r="CC41" i="4"/>
  <c r="CC42" i="4"/>
  <c r="CC43" i="4"/>
  <c r="CC44" i="4"/>
  <c r="CC45" i="4"/>
  <c r="CC46" i="4"/>
  <c r="CC47" i="4"/>
  <c r="CC48" i="4"/>
  <c r="CC49" i="4"/>
  <c r="CC50" i="4"/>
  <c r="CC51" i="4"/>
  <c r="CC52" i="4"/>
  <c r="CC53" i="4"/>
  <c r="CC54" i="4"/>
  <c r="CC55" i="4"/>
  <c r="CC56" i="4"/>
  <c r="CC57" i="4"/>
  <c r="CC58" i="4"/>
  <c r="CC59" i="4"/>
  <c r="CC60" i="4"/>
  <c r="CC61" i="4"/>
  <c r="CC62" i="4"/>
  <c r="CC63" i="4"/>
  <c r="CC64" i="4"/>
  <c r="CC65" i="4"/>
  <c r="CC66" i="4"/>
  <c r="CC67" i="4"/>
  <c r="CC68" i="4"/>
  <c r="CC69" i="4"/>
  <c r="CC70" i="4"/>
  <c r="CC71" i="4"/>
  <c r="CC72" i="4"/>
  <c r="CC73" i="4"/>
  <c r="CC74" i="4"/>
  <c r="CC75" i="4"/>
  <c r="CC76" i="4"/>
  <c r="CC77" i="4"/>
  <c r="CC78" i="4"/>
  <c r="CC79" i="4"/>
  <c r="CC80" i="4"/>
  <c r="CC81" i="4"/>
  <c r="CC82" i="4"/>
  <c r="CC83" i="4"/>
  <c r="CC84" i="4"/>
  <c r="CC85" i="4"/>
  <c r="CC86" i="4"/>
  <c r="CC87" i="4"/>
  <c r="CC88" i="4"/>
  <c r="CC89" i="4"/>
  <c r="CC90" i="4"/>
  <c r="CC91" i="4"/>
  <c r="CC92" i="4"/>
  <c r="CC93" i="4"/>
  <c r="CC94" i="4"/>
  <c r="CC95" i="4"/>
  <c r="CC96" i="4"/>
  <c r="CC97" i="4"/>
  <c r="CC98" i="4"/>
  <c r="CC99" i="4"/>
  <c r="CC100" i="4"/>
  <c r="CC101" i="4"/>
  <c r="CC102" i="4"/>
  <c r="CC103" i="4"/>
  <c r="CC104" i="4"/>
  <c r="CC105" i="4"/>
  <c r="CC106" i="4"/>
  <c r="CC107" i="4"/>
  <c r="CC108" i="4"/>
  <c r="CC109" i="4"/>
  <c r="CC110" i="4"/>
  <c r="CC111" i="4"/>
  <c r="CC112" i="4"/>
  <c r="CC113" i="4"/>
  <c r="CC114" i="4"/>
  <c r="CC115" i="4"/>
  <c r="CC116" i="4"/>
  <c r="CC117" i="4"/>
  <c r="CC118" i="4"/>
  <c r="CC119" i="4"/>
  <c r="CC120" i="4"/>
  <c r="CC121" i="4"/>
  <c r="CC122" i="4"/>
  <c r="CC123" i="4"/>
  <c r="CC124" i="4"/>
  <c r="CC125" i="4"/>
  <c r="CC126" i="4"/>
  <c r="CC127" i="4"/>
  <c r="CC128" i="4"/>
  <c r="CC129" i="4"/>
  <c r="CC130" i="4"/>
  <c r="CC131" i="4"/>
  <c r="CC132" i="4"/>
  <c r="CC133" i="4"/>
  <c r="CC134" i="4"/>
  <c r="CC135" i="4"/>
  <c r="CC136" i="4"/>
  <c r="CC137" i="4"/>
  <c r="CC138" i="4"/>
  <c r="CC139" i="4"/>
  <c r="CC140" i="4"/>
  <c r="CC141" i="4"/>
  <c r="CC142" i="4"/>
  <c r="CC143" i="4"/>
  <c r="CC144" i="4"/>
  <c r="CC145" i="4"/>
  <c r="CC146" i="4"/>
  <c r="CC147" i="4"/>
  <c r="CC148" i="4"/>
  <c r="CC149" i="4"/>
  <c r="CC150" i="4"/>
  <c r="CC151" i="4"/>
  <c r="CC152" i="4"/>
  <c r="CC153" i="4"/>
  <c r="CC154" i="4"/>
  <c r="CC155" i="4"/>
  <c r="CC156" i="4"/>
  <c r="CC157" i="4"/>
  <c r="CC158" i="4"/>
  <c r="CC159" i="4"/>
  <c r="CC160" i="4"/>
  <c r="CC161" i="4"/>
  <c r="CC173" i="4"/>
  <c r="CC174" i="4"/>
  <c r="CC2" i="4"/>
  <c r="CA3" i="4"/>
  <c r="CA4" i="4"/>
  <c r="CA5" i="4"/>
  <c r="CA6" i="4"/>
  <c r="CA7" i="4"/>
  <c r="CA8" i="4"/>
  <c r="CA9" i="4"/>
  <c r="CA10" i="4"/>
  <c r="CA11" i="4"/>
  <c r="CA12" i="4"/>
  <c r="CA13" i="4"/>
  <c r="CA14" i="4"/>
  <c r="CA15" i="4"/>
  <c r="CA16" i="4"/>
  <c r="CA17" i="4"/>
  <c r="CA18" i="4"/>
  <c r="CA19" i="4"/>
  <c r="CA20" i="4"/>
  <c r="CA21" i="4"/>
  <c r="CA22" i="4"/>
  <c r="CA23" i="4"/>
  <c r="CA24" i="4"/>
  <c r="CA25" i="4"/>
  <c r="CA26" i="4"/>
  <c r="CA27" i="4"/>
  <c r="CA28" i="4"/>
  <c r="CA29" i="4"/>
  <c r="CA30" i="4"/>
  <c r="CA31" i="4"/>
  <c r="CA32" i="4"/>
  <c r="CA33" i="4"/>
  <c r="CA34" i="4"/>
  <c r="CA35" i="4"/>
  <c r="CA36" i="4"/>
  <c r="CA37" i="4"/>
  <c r="CA38" i="4"/>
  <c r="CA39" i="4"/>
  <c r="CA40" i="4"/>
  <c r="CA41" i="4"/>
  <c r="CA42" i="4"/>
  <c r="CA43" i="4"/>
  <c r="CA44" i="4"/>
  <c r="CA45" i="4"/>
  <c r="CA46" i="4"/>
  <c r="CA47" i="4"/>
  <c r="CA48" i="4"/>
  <c r="CA49" i="4"/>
  <c r="CA50" i="4"/>
  <c r="CA51" i="4"/>
  <c r="CA52" i="4"/>
  <c r="CA53" i="4"/>
  <c r="CA54" i="4"/>
  <c r="CA55" i="4"/>
  <c r="CA56" i="4"/>
  <c r="CA57" i="4"/>
  <c r="CA58" i="4"/>
  <c r="CA59" i="4"/>
  <c r="CA60" i="4"/>
  <c r="CA61" i="4"/>
  <c r="CA62" i="4"/>
  <c r="CA63" i="4"/>
  <c r="CA64" i="4"/>
  <c r="CA65" i="4"/>
  <c r="CA66" i="4"/>
  <c r="CA67" i="4"/>
  <c r="CA68" i="4"/>
  <c r="CA69" i="4"/>
  <c r="CA70" i="4"/>
  <c r="CA71" i="4"/>
  <c r="CA72" i="4"/>
  <c r="CA73" i="4"/>
  <c r="CA74" i="4"/>
  <c r="CA75" i="4"/>
  <c r="CA76" i="4"/>
  <c r="CA77" i="4"/>
  <c r="CA78" i="4"/>
  <c r="CA79" i="4"/>
  <c r="CA80" i="4"/>
  <c r="CA81" i="4"/>
  <c r="CA82" i="4"/>
  <c r="CA83" i="4"/>
  <c r="CA84" i="4"/>
  <c r="CA85" i="4"/>
  <c r="CA86" i="4"/>
  <c r="CA87" i="4"/>
  <c r="CA88" i="4"/>
  <c r="CA89" i="4"/>
  <c r="CA90" i="4"/>
  <c r="CA91" i="4"/>
  <c r="CA92" i="4"/>
  <c r="CA93" i="4"/>
  <c r="CA94" i="4"/>
  <c r="CA95" i="4"/>
  <c r="CA96" i="4"/>
  <c r="CA97" i="4"/>
  <c r="CA98" i="4"/>
  <c r="CA99" i="4"/>
  <c r="CA100" i="4"/>
  <c r="CA101" i="4"/>
  <c r="CA102" i="4"/>
  <c r="CA103" i="4"/>
  <c r="CA104" i="4"/>
  <c r="CA105" i="4"/>
  <c r="CA106" i="4"/>
  <c r="CA107" i="4"/>
  <c r="CA108" i="4"/>
  <c r="CA109" i="4"/>
  <c r="CA110" i="4"/>
  <c r="CA111" i="4"/>
  <c r="CA112" i="4"/>
  <c r="CA113" i="4"/>
  <c r="CA114" i="4"/>
  <c r="CA115" i="4"/>
  <c r="CA116" i="4"/>
  <c r="CA117" i="4"/>
  <c r="CA118" i="4"/>
  <c r="CA119" i="4"/>
  <c r="CA120" i="4"/>
  <c r="CA121" i="4"/>
  <c r="CA122" i="4"/>
  <c r="CA123" i="4"/>
  <c r="CA124" i="4"/>
  <c r="CA125" i="4"/>
  <c r="CA126" i="4"/>
  <c r="CA127" i="4"/>
  <c r="CA128" i="4"/>
  <c r="CA129" i="4"/>
  <c r="CA130" i="4"/>
  <c r="CA131" i="4"/>
  <c r="CA132" i="4"/>
  <c r="CA133" i="4"/>
  <c r="CA134" i="4"/>
  <c r="CA135" i="4"/>
  <c r="CA136" i="4"/>
  <c r="CA137" i="4"/>
  <c r="CA138" i="4"/>
  <c r="CA139" i="4"/>
  <c r="CA140" i="4"/>
  <c r="CA141" i="4"/>
  <c r="CA142" i="4"/>
  <c r="CA143" i="4"/>
  <c r="CA144" i="4"/>
  <c r="CA145" i="4"/>
  <c r="CA146" i="4"/>
  <c r="CA147" i="4"/>
  <c r="CA148" i="4"/>
  <c r="CA149" i="4"/>
  <c r="CA150" i="4"/>
  <c r="CA151" i="4"/>
  <c r="CA152" i="4"/>
  <c r="CA153" i="4"/>
  <c r="CA154" i="4"/>
  <c r="CA155" i="4"/>
  <c r="CA156" i="4"/>
  <c r="CA157" i="4"/>
  <c r="CA158" i="4"/>
  <c r="CA159" i="4"/>
  <c r="CA160" i="4"/>
  <c r="CA161" i="4"/>
  <c r="CA162" i="4"/>
  <c r="CA163" i="4"/>
  <c r="CA164" i="4"/>
  <c r="CA165" i="4"/>
  <c r="CA166" i="4"/>
  <c r="CA167" i="4"/>
  <c r="CA168" i="4"/>
  <c r="CA169" i="4"/>
  <c r="CA170" i="4"/>
  <c r="CA171" i="4"/>
  <c r="CA172" i="4"/>
  <c r="CA173" i="4"/>
  <c r="CA174" i="4"/>
  <c r="CA2" i="4"/>
  <c r="BY3" i="4"/>
  <c r="BY4" i="4"/>
  <c r="BY5" i="4"/>
  <c r="BY6" i="4"/>
  <c r="BY7" i="4"/>
  <c r="BY8" i="4"/>
  <c r="BY9" i="4"/>
  <c r="BY10" i="4"/>
  <c r="BY11" i="4"/>
  <c r="BY12" i="4"/>
  <c r="BY13" i="4"/>
  <c r="BY14" i="4"/>
  <c r="BY15" i="4"/>
  <c r="BY16" i="4"/>
  <c r="BY17" i="4"/>
  <c r="BY18" i="4"/>
  <c r="BY19" i="4"/>
  <c r="BY20" i="4"/>
  <c r="BY21" i="4"/>
  <c r="BY22" i="4"/>
  <c r="BY23" i="4"/>
  <c r="BY24" i="4"/>
  <c r="BY25" i="4"/>
  <c r="BY26" i="4"/>
  <c r="BY27" i="4"/>
  <c r="BY28" i="4"/>
  <c r="BY29" i="4"/>
  <c r="BY30" i="4"/>
  <c r="BY31" i="4"/>
  <c r="BY32" i="4"/>
  <c r="BY33" i="4"/>
  <c r="BY34" i="4"/>
  <c r="BY35" i="4"/>
  <c r="BY36" i="4"/>
  <c r="BY37" i="4"/>
  <c r="BY38" i="4"/>
  <c r="BY39" i="4"/>
  <c r="BY40" i="4"/>
  <c r="BY41" i="4"/>
  <c r="BY42" i="4"/>
  <c r="BY43" i="4"/>
  <c r="BY44" i="4"/>
  <c r="BY45" i="4"/>
  <c r="BY46" i="4"/>
  <c r="BY47" i="4"/>
  <c r="BY48" i="4"/>
  <c r="BY49" i="4"/>
  <c r="BY50" i="4"/>
  <c r="BY51" i="4"/>
  <c r="BY52" i="4"/>
  <c r="BY53" i="4"/>
  <c r="BY54" i="4"/>
  <c r="BY55" i="4"/>
  <c r="BY56" i="4"/>
  <c r="BY57" i="4"/>
  <c r="BY58" i="4"/>
  <c r="BY59" i="4"/>
  <c r="BY60" i="4"/>
  <c r="BY61" i="4"/>
  <c r="BY62" i="4"/>
  <c r="BY63" i="4"/>
  <c r="BY64" i="4"/>
  <c r="BY65" i="4"/>
  <c r="BY66" i="4"/>
  <c r="BY67" i="4"/>
  <c r="BY68" i="4"/>
  <c r="BY69" i="4"/>
  <c r="BY70" i="4"/>
  <c r="BY71" i="4"/>
  <c r="BY72" i="4"/>
  <c r="BY73" i="4"/>
  <c r="BY74" i="4"/>
  <c r="BY75" i="4"/>
  <c r="BY76" i="4"/>
  <c r="BY77" i="4"/>
  <c r="BY78" i="4"/>
  <c r="BY79" i="4"/>
  <c r="BY80" i="4"/>
  <c r="BY81" i="4"/>
  <c r="BY82" i="4"/>
  <c r="BY83" i="4"/>
  <c r="BY84" i="4"/>
  <c r="BY85" i="4"/>
  <c r="BY86" i="4"/>
  <c r="BY87" i="4"/>
  <c r="BY88" i="4"/>
  <c r="BY89" i="4"/>
  <c r="BY90" i="4"/>
  <c r="BY91" i="4"/>
  <c r="BY92" i="4"/>
  <c r="BY93" i="4"/>
  <c r="BY94" i="4"/>
  <c r="BY95" i="4"/>
  <c r="BY96" i="4"/>
  <c r="BY97" i="4"/>
  <c r="BY98" i="4"/>
  <c r="BY99" i="4"/>
  <c r="BY100" i="4"/>
  <c r="BY101" i="4"/>
  <c r="BY102" i="4"/>
  <c r="BY103" i="4"/>
  <c r="BY104" i="4"/>
  <c r="BY105" i="4"/>
  <c r="BY106" i="4"/>
  <c r="BY107" i="4"/>
  <c r="BY108" i="4"/>
  <c r="BY109" i="4"/>
  <c r="BY110" i="4"/>
  <c r="BY111" i="4"/>
  <c r="BY112" i="4"/>
  <c r="BY113" i="4"/>
  <c r="BY114" i="4"/>
  <c r="BY115" i="4"/>
  <c r="BY116" i="4"/>
  <c r="BY117" i="4"/>
  <c r="BY118" i="4"/>
  <c r="BY119" i="4"/>
  <c r="BY120" i="4"/>
  <c r="BY121" i="4"/>
  <c r="BY122" i="4"/>
  <c r="BY123" i="4"/>
  <c r="BY124" i="4"/>
  <c r="BY125" i="4"/>
  <c r="BY126" i="4"/>
  <c r="BY127" i="4"/>
  <c r="BY128" i="4"/>
  <c r="BY129" i="4"/>
  <c r="BY130" i="4"/>
  <c r="BY131" i="4"/>
  <c r="BY132" i="4"/>
  <c r="BY133" i="4"/>
  <c r="BY134" i="4"/>
  <c r="BY135" i="4"/>
  <c r="BY136" i="4"/>
  <c r="BY137" i="4"/>
  <c r="BY138" i="4"/>
  <c r="BY139" i="4"/>
  <c r="BY140" i="4"/>
  <c r="BY141" i="4"/>
  <c r="BY142" i="4"/>
  <c r="BY143" i="4"/>
  <c r="BY144" i="4"/>
  <c r="BY145" i="4"/>
  <c r="BY146" i="4"/>
  <c r="BY147" i="4"/>
  <c r="BY148" i="4"/>
  <c r="BY149" i="4"/>
  <c r="BY150" i="4"/>
  <c r="BY151" i="4"/>
  <c r="BY152" i="4"/>
  <c r="BY153" i="4"/>
  <c r="BY154" i="4"/>
  <c r="BY155" i="4"/>
  <c r="BY156" i="4"/>
  <c r="BY157" i="4"/>
  <c r="BY158" i="4"/>
  <c r="BY159" i="4"/>
  <c r="BY160" i="4"/>
  <c r="BY161" i="4"/>
  <c r="BY162" i="4"/>
  <c r="BY163" i="4"/>
  <c r="BY164" i="4"/>
  <c r="BY165" i="4"/>
  <c r="BY166" i="4"/>
  <c r="BY167" i="4"/>
  <c r="BY168" i="4"/>
  <c r="BY171" i="4"/>
  <c r="BY2" i="4"/>
  <c r="BW3" i="4"/>
  <c r="BW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23" i="4"/>
  <c r="BW24" i="4"/>
  <c r="BW25" i="4"/>
  <c r="BW26" i="4"/>
  <c r="BW27" i="4"/>
  <c r="BW28" i="4"/>
  <c r="BW29" i="4"/>
  <c r="BW30" i="4"/>
  <c r="BW31" i="4"/>
  <c r="BW32" i="4"/>
  <c r="BW33" i="4"/>
  <c r="BW34" i="4"/>
  <c r="BW35" i="4"/>
  <c r="BW36" i="4"/>
  <c r="BW37" i="4"/>
  <c r="BW38" i="4"/>
  <c r="BW39" i="4"/>
  <c r="BW40" i="4"/>
  <c r="BW41" i="4"/>
  <c r="BW42" i="4"/>
  <c r="BW43" i="4"/>
  <c r="BW44" i="4"/>
  <c r="BW45" i="4"/>
  <c r="BW46" i="4"/>
  <c r="BW47" i="4"/>
  <c r="BW48" i="4"/>
  <c r="BW49" i="4"/>
  <c r="BW50" i="4"/>
  <c r="BW51" i="4"/>
  <c r="BW52" i="4"/>
  <c r="BW53" i="4"/>
  <c r="BW54" i="4"/>
  <c r="BW55" i="4"/>
  <c r="BW56" i="4"/>
  <c r="BW57" i="4"/>
  <c r="BW58" i="4"/>
  <c r="BW59" i="4"/>
  <c r="BW60" i="4"/>
  <c r="BW61" i="4"/>
  <c r="BW62" i="4"/>
  <c r="BW63" i="4"/>
  <c r="BW64" i="4"/>
  <c r="BW65" i="4"/>
  <c r="BW66" i="4"/>
  <c r="BW67" i="4"/>
  <c r="BW68" i="4"/>
  <c r="BW69" i="4"/>
  <c r="BW70" i="4"/>
  <c r="BW71" i="4"/>
  <c r="BW72" i="4"/>
  <c r="BW73" i="4"/>
  <c r="BW74" i="4"/>
  <c r="BW75" i="4"/>
  <c r="BW76" i="4"/>
  <c r="BW77" i="4"/>
  <c r="BW78" i="4"/>
  <c r="BW79" i="4"/>
  <c r="BW80" i="4"/>
  <c r="BW81" i="4"/>
  <c r="BW82" i="4"/>
  <c r="BW83" i="4"/>
  <c r="BW84" i="4"/>
  <c r="BW85" i="4"/>
  <c r="BW86" i="4"/>
  <c r="BW87" i="4"/>
  <c r="BW88" i="4"/>
  <c r="BW89" i="4"/>
  <c r="BW90" i="4"/>
  <c r="BW91" i="4"/>
  <c r="BW92" i="4"/>
  <c r="BW93" i="4"/>
  <c r="BW94" i="4"/>
  <c r="BW95" i="4"/>
  <c r="BW96" i="4"/>
  <c r="BW97" i="4"/>
  <c r="BW98" i="4"/>
  <c r="BW99" i="4"/>
  <c r="BW100" i="4"/>
  <c r="BW101" i="4"/>
  <c r="BW102" i="4"/>
  <c r="BW103" i="4"/>
  <c r="BW104" i="4"/>
  <c r="BW105" i="4"/>
  <c r="BW106" i="4"/>
  <c r="BW107" i="4"/>
  <c r="BW108" i="4"/>
  <c r="BW109" i="4"/>
  <c r="BW110" i="4"/>
  <c r="BW111" i="4"/>
  <c r="BW112" i="4"/>
  <c r="BW113" i="4"/>
  <c r="BW114" i="4"/>
  <c r="BW115" i="4"/>
  <c r="BW116" i="4"/>
  <c r="BW117" i="4"/>
  <c r="BW118" i="4"/>
  <c r="BW119" i="4"/>
  <c r="BW120" i="4"/>
  <c r="BW121" i="4"/>
  <c r="BW122" i="4"/>
  <c r="BW123" i="4"/>
  <c r="BW124" i="4"/>
  <c r="BW125" i="4"/>
  <c r="BW126" i="4"/>
  <c r="BW127" i="4"/>
  <c r="BW128" i="4"/>
  <c r="BW129" i="4"/>
  <c r="BW130" i="4"/>
  <c r="BW131" i="4"/>
  <c r="BW132" i="4"/>
  <c r="BW133" i="4"/>
  <c r="BW134" i="4"/>
  <c r="BW135" i="4"/>
  <c r="BW136" i="4"/>
  <c r="BW137" i="4"/>
  <c r="BW138" i="4"/>
  <c r="BW139" i="4"/>
  <c r="BW140" i="4"/>
  <c r="BW141" i="4"/>
  <c r="BW142" i="4"/>
  <c r="BW143" i="4"/>
  <c r="BW144" i="4"/>
  <c r="BW145" i="4"/>
  <c r="BW146" i="4"/>
  <c r="BW147" i="4"/>
  <c r="BW148" i="4"/>
  <c r="BW149" i="4"/>
  <c r="BW150" i="4"/>
  <c r="BW151" i="4"/>
  <c r="BW152" i="4"/>
  <c r="BW153" i="4"/>
  <c r="BW154" i="4"/>
  <c r="BW155" i="4"/>
  <c r="BW156" i="4"/>
  <c r="BW157" i="4"/>
  <c r="BW158" i="4"/>
  <c r="BW159" i="4"/>
  <c r="BW160" i="4"/>
  <c r="BW161" i="4"/>
  <c r="BW162" i="4"/>
  <c r="BW163" i="4"/>
  <c r="BW164" i="4"/>
  <c r="BW165" i="4"/>
  <c r="BW166" i="4"/>
  <c r="BW167" i="4"/>
  <c r="BW168" i="4"/>
  <c r="BW169" i="4"/>
  <c r="BW170" i="4"/>
  <c r="BW171" i="4"/>
  <c r="BW172" i="4"/>
  <c r="BW173" i="4"/>
  <c r="BW174" i="4"/>
  <c r="BW2" i="4"/>
  <c r="BU3" i="4"/>
  <c r="BU4" i="4"/>
  <c r="BU5" i="4"/>
  <c r="BU6" i="4"/>
  <c r="BU7" i="4"/>
  <c r="BU8" i="4"/>
  <c r="BU9" i="4"/>
  <c r="BU10" i="4"/>
  <c r="BU11" i="4"/>
  <c r="BU12" i="4"/>
  <c r="BU13" i="4"/>
  <c r="BU14" i="4"/>
  <c r="BU15" i="4"/>
  <c r="BU16" i="4"/>
  <c r="BU17" i="4"/>
  <c r="BU18" i="4"/>
  <c r="BU19" i="4"/>
  <c r="BU20" i="4"/>
  <c r="BU21" i="4"/>
  <c r="BU22" i="4"/>
  <c r="BU23" i="4"/>
  <c r="BU24" i="4"/>
  <c r="BU25" i="4"/>
  <c r="BU26" i="4"/>
  <c r="BU27" i="4"/>
  <c r="BU28" i="4"/>
  <c r="BU29" i="4"/>
  <c r="BU30" i="4"/>
  <c r="BU31" i="4"/>
  <c r="BU32" i="4"/>
  <c r="BU33" i="4"/>
  <c r="BU34" i="4"/>
  <c r="BU35" i="4"/>
  <c r="BU36" i="4"/>
  <c r="BU37" i="4"/>
  <c r="BU38" i="4"/>
  <c r="BU39" i="4"/>
  <c r="BU40" i="4"/>
  <c r="BU41" i="4"/>
  <c r="BU42" i="4"/>
  <c r="BU43" i="4"/>
  <c r="BU44" i="4"/>
  <c r="BU45" i="4"/>
  <c r="BU46" i="4"/>
  <c r="BU47" i="4"/>
  <c r="BU48" i="4"/>
  <c r="BU49" i="4"/>
  <c r="BU50" i="4"/>
  <c r="BU51" i="4"/>
  <c r="BU52" i="4"/>
  <c r="BU53" i="4"/>
  <c r="BU54" i="4"/>
  <c r="BU55" i="4"/>
  <c r="BU56" i="4"/>
  <c r="BU57" i="4"/>
  <c r="BU58" i="4"/>
  <c r="BU59" i="4"/>
  <c r="BU60" i="4"/>
  <c r="BU61" i="4"/>
  <c r="BU62" i="4"/>
  <c r="BU63" i="4"/>
  <c r="BU64" i="4"/>
  <c r="BU65" i="4"/>
  <c r="BU66" i="4"/>
  <c r="BU67" i="4"/>
  <c r="BU68" i="4"/>
  <c r="BU69" i="4"/>
  <c r="BU70" i="4"/>
  <c r="BU71" i="4"/>
  <c r="BU72" i="4"/>
  <c r="BU73" i="4"/>
  <c r="BU74" i="4"/>
  <c r="BU75" i="4"/>
  <c r="BU76" i="4"/>
  <c r="BU77" i="4"/>
  <c r="BU78" i="4"/>
  <c r="BU79" i="4"/>
  <c r="BU80" i="4"/>
  <c r="BU81" i="4"/>
  <c r="BU82" i="4"/>
  <c r="BU83" i="4"/>
  <c r="BU84" i="4"/>
  <c r="BU85" i="4"/>
  <c r="BU86" i="4"/>
  <c r="BU87" i="4"/>
  <c r="BU88" i="4"/>
  <c r="BU89" i="4"/>
  <c r="BU90" i="4"/>
  <c r="BU91" i="4"/>
  <c r="BU92" i="4"/>
  <c r="BU93" i="4"/>
  <c r="BU94" i="4"/>
  <c r="BU95" i="4"/>
  <c r="BU96" i="4"/>
  <c r="BU97" i="4"/>
  <c r="BU98" i="4"/>
  <c r="BU99" i="4"/>
  <c r="BU100" i="4"/>
  <c r="BU101" i="4"/>
  <c r="BU102" i="4"/>
  <c r="BU103" i="4"/>
  <c r="BU104" i="4"/>
  <c r="BU105" i="4"/>
  <c r="BU106" i="4"/>
  <c r="BU107" i="4"/>
  <c r="BU108" i="4"/>
  <c r="BU109" i="4"/>
  <c r="BU110" i="4"/>
  <c r="BU111" i="4"/>
  <c r="BU112" i="4"/>
  <c r="BU113" i="4"/>
  <c r="BU114" i="4"/>
  <c r="BU115" i="4"/>
  <c r="BU116" i="4"/>
  <c r="BU117" i="4"/>
  <c r="BU118" i="4"/>
  <c r="BU119" i="4"/>
  <c r="BU120" i="4"/>
  <c r="BU121" i="4"/>
  <c r="BU122" i="4"/>
  <c r="BU123" i="4"/>
  <c r="BU124" i="4"/>
  <c r="BU125" i="4"/>
  <c r="BU126" i="4"/>
  <c r="BU127" i="4"/>
  <c r="BU128" i="4"/>
  <c r="BU129" i="4"/>
  <c r="BU130" i="4"/>
  <c r="BU131" i="4"/>
  <c r="BU132" i="4"/>
  <c r="BU133" i="4"/>
  <c r="BU134" i="4"/>
  <c r="BU135" i="4"/>
  <c r="BU136" i="4"/>
  <c r="BU137" i="4"/>
  <c r="BU138" i="4"/>
  <c r="BU139" i="4"/>
  <c r="BU140" i="4"/>
  <c r="BU141" i="4"/>
  <c r="BU142" i="4"/>
  <c r="BU143" i="4"/>
  <c r="BU144" i="4"/>
  <c r="BU145" i="4"/>
  <c r="BU146" i="4"/>
  <c r="BU147" i="4"/>
  <c r="BU148" i="4"/>
  <c r="BU149" i="4"/>
  <c r="BU150" i="4"/>
  <c r="BU151" i="4"/>
  <c r="BU152" i="4"/>
  <c r="BU153" i="4"/>
  <c r="BU154" i="4"/>
  <c r="BU155" i="4"/>
  <c r="BU156" i="4"/>
  <c r="BU157" i="4"/>
  <c r="BU158" i="4"/>
  <c r="BU159" i="4"/>
  <c r="BU160" i="4"/>
  <c r="BU161" i="4"/>
  <c r="BU162" i="4"/>
  <c r="BU163" i="4"/>
  <c r="BU164" i="4"/>
  <c r="BU165" i="4"/>
  <c r="BU166" i="4"/>
  <c r="BU167" i="4"/>
  <c r="BU168" i="4"/>
  <c r="BU169" i="4"/>
  <c r="BU170" i="4"/>
  <c r="BU171" i="4"/>
  <c r="BU2" i="4"/>
  <c r="BS3" i="4"/>
  <c r="BS4" i="4"/>
  <c r="BS5" i="4"/>
  <c r="BS6" i="4"/>
  <c r="BS7" i="4"/>
  <c r="BS8" i="4"/>
  <c r="BS9" i="4"/>
  <c r="BS10" i="4"/>
  <c r="BS11" i="4"/>
  <c r="BS12" i="4"/>
  <c r="BS13" i="4"/>
  <c r="BS14" i="4"/>
  <c r="BS15" i="4"/>
  <c r="BS16" i="4"/>
  <c r="BS17" i="4"/>
  <c r="BS18" i="4"/>
  <c r="BS19" i="4"/>
  <c r="BS20" i="4"/>
  <c r="BS21" i="4"/>
  <c r="BS22" i="4"/>
  <c r="BS23" i="4"/>
  <c r="BS24" i="4"/>
  <c r="BS25" i="4"/>
  <c r="BS26" i="4"/>
  <c r="BS27" i="4"/>
  <c r="BS28" i="4"/>
  <c r="BS29" i="4"/>
  <c r="BS30" i="4"/>
  <c r="BS31" i="4"/>
  <c r="BS32" i="4"/>
  <c r="BS33" i="4"/>
  <c r="BS34" i="4"/>
  <c r="BS35" i="4"/>
  <c r="BS36" i="4"/>
  <c r="BS37" i="4"/>
  <c r="BS38" i="4"/>
  <c r="BS39" i="4"/>
  <c r="BS40" i="4"/>
  <c r="BS41" i="4"/>
  <c r="BS42" i="4"/>
  <c r="BS43" i="4"/>
  <c r="BS44" i="4"/>
  <c r="BS45" i="4"/>
  <c r="BS46" i="4"/>
  <c r="BS47" i="4"/>
  <c r="BS48" i="4"/>
  <c r="BS49" i="4"/>
  <c r="BS50" i="4"/>
  <c r="BS51" i="4"/>
  <c r="BS52" i="4"/>
  <c r="BS53" i="4"/>
  <c r="BS54" i="4"/>
  <c r="BS55" i="4"/>
  <c r="BS56" i="4"/>
  <c r="BS57" i="4"/>
  <c r="BS58" i="4"/>
  <c r="BS59" i="4"/>
  <c r="BS60" i="4"/>
  <c r="BS61" i="4"/>
  <c r="BS62" i="4"/>
  <c r="BS63" i="4"/>
  <c r="BS64" i="4"/>
  <c r="BS65" i="4"/>
  <c r="BS66" i="4"/>
  <c r="BS67" i="4"/>
  <c r="BS68" i="4"/>
  <c r="BS69" i="4"/>
  <c r="BS70" i="4"/>
  <c r="BS71" i="4"/>
  <c r="BS72" i="4"/>
  <c r="BS73" i="4"/>
  <c r="BS74" i="4"/>
  <c r="BS75" i="4"/>
  <c r="BS76" i="4"/>
  <c r="BS77" i="4"/>
  <c r="BS78" i="4"/>
  <c r="BS79" i="4"/>
  <c r="BS80" i="4"/>
  <c r="BS81" i="4"/>
  <c r="BS82" i="4"/>
  <c r="BS83" i="4"/>
  <c r="BS84" i="4"/>
  <c r="BS85" i="4"/>
  <c r="BS86" i="4"/>
  <c r="BS87" i="4"/>
  <c r="BS88" i="4"/>
  <c r="BS89" i="4"/>
  <c r="BS90" i="4"/>
  <c r="BS91" i="4"/>
  <c r="BS92" i="4"/>
  <c r="BS93" i="4"/>
  <c r="BS94" i="4"/>
  <c r="BS95" i="4"/>
  <c r="BS96" i="4"/>
  <c r="BS97" i="4"/>
  <c r="BS98" i="4"/>
  <c r="BS99" i="4"/>
  <c r="BS100" i="4"/>
  <c r="BS101" i="4"/>
  <c r="BS102" i="4"/>
  <c r="BS103" i="4"/>
  <c r="BS104" i="4"/>
  <c r="BS105" i="4"/>
  <c r="BS106" i="4"/>
  <c r="BS107" i="4"/>
  <c r="BS108" i="4"/>
  <c r="BS109" i="4"/>
  <c r="BS110" i="4"/>
  <c r="BS111" i="4"/>
  <c r="BS112" i="4"/>
  <c r="BS113" i="4"/>
  <c r="BS114" i="4"/>
  <c r="BS115" i="4"/>
  <c r="BS116" i="4"/>
  <c r="BS117" i="4"/>
  <c r="BS118" i="4"/>
  <c r="BS119" i="4"/>
  <c r="BS120" i="4"/>
  <c r="BS121" i="4"/>
  <c r="BS122" i="4"/>
  <c r="BS123" i="4"/>
  <c r="BS124" i="4"/>
  <c r="BS125" i="4"/>
  <c r="BS126" i="4"/>
  <c r="BS127" i="4"/>
  <c r="BS128" i="4"/>
  <c r="BS129" i="4"/>
  <c r="BS130" i="4"/>
  <c r="BS131" i="4"/>
  <c r="BS132" i="4"/>
  <c r="BS133" i="4"/>
  <c r="BS134" i="4"/>
  <c r="BS135" i="4"/>
  <c r="BS136" i="4"/>
  <c r="BS137" i="4"/>
  <c r="BS138" i="4"/>
  <c r="BS139" i="4"/>
  <c r="BS140" i="4"/>
  <c r="BS141" i="4"/>
  <c r="BS142" i="4"/>
  <c r="BS143" i="4"/>
  <c r="BS144" i="4"/>
  <c r="BS145" i="4"/>
  <c r="BS146" i="4"/>
  <c r="BS147" i="4"/>
  <c r="BS148" i="4"/>
  <c r="BS149" i="4"/>
  <c r="BS150" i="4"/>
  <c r="BS151" i="4"/>
  <c r="BS152" i="4"/>
  <c r="BS153" i="4"/>
  <c r="BS154" i="4"/>
  <c r="BS155" i="4"/>
  <c r="BS156" i="4"/>
  <c r="BS157" i="4"/>
  <c r="BS158" i="4"/>
  <c r="BS159" i="4"/>
  <c r="BS160" i="4"/>
  <c r="BS161" i="4"/>
  <c r="BS162" i="4"/>
  <c r="BS163" i="4"/>
  <c r="BS164" i="4"/>
  <c r="BS165" i="4"/>
  <c r="BS166" i="4"/>
  <c r="BS167" i="4"/>
  <c r="BS168" i="4"/>
  <c r="BS169" i="4"/>
  <c r="BS170" i="4"/>
  <c r="BS171" i="4"/>
  <c r="BS172" i="4"/>
  <c r="BS173" i="4"/>
  <c r="BS174" i="4"/>
  <c r="BS2" i="4"/>
  <c r="BQ3" i="4"/>
  <c r="BQ4" i="4"/>
  <c r="BQ5" i="4"/>
  <c r="BQ6" i="4"/>
  <c r="BQ7" i="4"/>
  <c r="BQ8" i="4"/>
  <c r="BQ9" i="4"/>
  <c r="BQ10" i="4"/>
  <c r="BQ11" i="4"/>
  <c r="BQ12" i="4"/>
  <c r="BQ13" i="4"/>
  <c r="BQ14" i="4"/>
  <c r="BQ15" i="4"/>
  <c r="BQ16" i="4"/>
  <c r="BQ17" i="4"/>
  <c r="BQ18" i="4"/>
  <c r="BQ19" i="4"/>
  <c r="BQ20" i="4"/>
  <c r="BQ21" i="4"/>
  <c r="BQ22" i="4"/>
  <c r="BQ23" i="4"/>
  <c r="BQ24" i="4"/>
  <c r="BQ25" i="4"/>
  <c r="BQ26" i="4"/>
  <c r="BQ27" i="4"/>
  <c r="BQ28" i="4"/>
  <c r="BQ29" i="4"/>
  <c r="BQ30" i="4"/>
  <c r="BQ31" i="4"/>
  <c r="BQ32" i="4"/>
  <c r="BQ33" i="4"/>
  <c r="BQ34" i="4"/>
  <c r="BQ35" i="4"/>
  <c r="BQ36" i="4"/>
  <c r="BQ37" i="4"/>
  <c r="BQ38" i="4"/>
  <c r="BQ39" i="4"/>
  <c r="BQ40" i="4"/>
  <c r="BQ41" i="4"/>
  <c r="BQ42" i="4"/>
  <c r="BQ43" i="4"/>
  <c r="BQ44" i="4"/>
  <c r="BQ45" i="4"/>
  <c r="BQ46" i="4"/>
  <c r="BQ47" i="4"/>
  <c r="BQ48" i="4"/>
  <c r="BQ49" i="4"/>
  <c r="BQ50" i="4"/>
  <c r="BQ51" i="4"/>
  <c r="BQ52" i="4"/>
  <c r="BQ53" i="4"/>
  <c r="BQ54" i="4"/>
  <c r="BQ55" i="4"/>
  <c r="BQ56" i="4"/>
  <c r="BQ57" i="4"/>
  <c r="BQ58" i="4"/>
  <c r="BQ59" i="4"/>
  <c r="BQ60" i="4"/>
  <c r="BQ61" i="4"/>
  <c r="BQ62" i="4"/>
  <c r="BQ63" i="4"/>
  <c r="BQ64" i="4"/>
  <c r="BQ65" i="4"/>
  <c r="BQ66" i="4"/>
  <c r="BQ67" i="4"/>
  <c r="BQ68" i="4"/>
  <c r="BQ69" i="4"/>
  <c r="BQ70" i="4"/>
  <c r="BQ71" i="4"/>
  <c r="BQ72" i="4"/>
  <c r="BQ73" i="4"/>
  <c r="BQ74" i="4"/>
  <c r="BQ75" i="4"/>
  <c r="BQ76" i="4"/>
  <c r="BQ77" i="4"/>
  <c r="BQ78" i="4"/>
  <c r="BQ79" i="4"/>
  <c r="BQ80" i="4"/>
  <c r="BQ81" i="4"/>
  <c r="BQ82" i="4"/>
  <c r="BQ83" i="4"/>
  <c r="BQ84" i="4"/>
  <c r="BQ85" i="4"/>
  <c r="BQ86" i="4"/>
  <c r="BQ87" i="4"/>
  <c r="BQ88" i="4"/>
  <c r="BQ89" i="4"/>
  <c r="BQ90" i="4"/>
  <c r="BQ91" i="4"/>
  <c r="BQ92" i="4"/>
  <c r="BQ93" i="4"/>
  <c r="BQ94" i="4"/>
  <c r="BQ95" i="4"/>
  <c r="BQ96" i="4"/>
  <c r="BQ97" i="4"/>
  <c r="BQ98" i="4"/>
  <c r="BQ99" i="4"/>
  <c r="BQ100" i="4"/>
  <c r="BQ101" i="4"/>
  <c r="BQ102" i="4"/>
  <c r="BQ103" i="4"/>
  <c r="BQ104" i="4"/>
  <c r="BQ105" i="4"/>
  <c r="BQ106" i="4"/>
  <c r="BQ107" i="4"/>
  <c r="BQ108" i="4"/>
  <c r="BQ109" i="4"/>
  <c r="BQ110" i="4"/>
  <c r="BQ111" i="4"/>
  <c r="BQ112" i="4"/>
  <c r="BQ113" i="4"/>
  <c r="BQ114" i="4"/>
  <c r="BQ115" i="4"/>
  <c r="BQ116" i="4"/>
  <c r="BQ117" i="4"/>
  <c r="BQ118" i="4"/>
  <c r="BQ119" i="4"/>
  <c r="BQ120" i="4"/>
  <c r="BQ121" i="4"/>
  <c r="BQ122" i="4"/>
  <c r="BQ123" i="4"/>
  <c r="BQ124" i="4"/>
  <c r="BQ125" i="4"/>
  <c r="BQ126" i="4"/>
  <c r="BQ127" i="4"/>
  <c r="BQ128" i="4"/>
  <c r="BQ129" i="4"/>
  <c r="BQ130" i="4"/>
  <c r="BQ131" i="4"/>
  <c r="BQ132" i="4"/>
  <c r="BQ133" i="4"/>
  <c r="BQ134" i="4"/>
  <c r="BQ135" i="4"/>
  <c r="BQ136" i="4"/>
  <c r="BQ137" i="4"/>
  <c r="BQ138" i="4"/>
  <c r="BQ139" i="4"/>
  <c r="BQ140" i="4"/>
  <c r="BQ141" i="4"/>
  <c r="BQ142" i="4"/>
  <c r="BQ143" i="4"/>
  <c r="BQ144" i="4"/>
  <c r="BQ145" i="4"/>
  <c r="BQ146" i="4"/>
  <c r="BQ147" i="4"/>
  <c r="BQ148" i="4"/>
  <c r="BQ149" i="4"/>
  <c r="BQ150" i="4"/>
  <c r="BQ151" i="4"/>
  <c r="BQ152" i="4"/>
  <c r="BQ153" i="4"/>
  <c r="BQ154" i="4"/>
  <c r="BQ155" i="4"/>
  <c r="BQ156" i="4"/>
  <c r="BQ157" i="4"/>
  <c r="BQ158" i="4"/>
  <c r="BQ159" i="4"/>
  <c r="BQ160" i="4"/>
  <c r="BQ161" i="4"/>
  <c r="BQ162" i="4"/>
  <c r="BQ163" i="4"/>
  <c r="BQ164" i="4"/>
  <c r="BQ165" i="4"/>
  <c r="BQ166" i="4"/>
  <c r="BQ167" i="4"/>
  <c r="BQ168" i="4"/>
  <c r="BQ169" i="4"/>
  <c r="BQ170" i="4"/>
  <c r="BQ171" i="4"/>
  <c r="BQ172" i="4"/>
  <c r="BQ173" i="4"/>
  <c r="BQ174" i="4"/>
  <c r="BQ2" i="4"/>
  <c r="BO3" i="4"/>
  <c r="BO4" i="4"/>
  <c r="BO5" i="4"/>
  <c r="BO6" i="4"/>
  <c r="BO7" i="4"/>
  <c r="BO8" i="4"/>
  <c r="BO9" i="4"/>
  <c r="BO10" i="4"/>
  <c r="BO11" i="4"/>
  <c r="BO12" i="4"/>
  <c r="BO13" i="4"/>
  <c r="BO14" i="4"/>
  <c r="BO15" i="4"/>
  <c r="BO16" i="4"/>
  <c r="BO17" i="4"/>
  <c r="BO18" i="4"/>
  <c r="BO19" i="4"/>
  <c r="BO20" i="4"/>
  <c r="BO21" i="4"/>
  <c r="BO22" i="4"/>
  <c r="BO23" i="4"/>
  <c r="BO24" i="4"/>
  <c r="BO25" i="4"/>
  <c r="BO26" i="4"/>
  <c r="BO27" i="4"/>
  <c r="BO28" i="4"/>
  <c r="BO29" i="4"/>
  <c r="BO30" i="4"/>
  <c r="BO31" i="4"/>
  <c r="BO32" i="4"/>
  <c r="BO33" i="4"/>
  <c r="BO34" i="4"/>
  <c r="BO35" i="4"/>
  <c r="BO36" i="4"/>
  <c r="BO37" i="4"/>
  <c r="BO38" i="4"/>
  <c r="BO39" i="4"/>
  <c r="BO40" i="4"/>
  <c r="BO41" i="4"/>
  <c r="BO42" i="4"/>
  <c r="BO43" i="4"/>
  <c r="BO44" i="4"/>
  <c r="BO45" i="4"/>
  <c r="BO46" i="4"/>
  <c r="BO47" i="4"/>
  <c r="BO48" i="4"/>
  <c r="BO49" i="4"/>
  <c r="BO50" i="4"/>
  <c r="BO51" i="4"/>
  <c r="BO52" i="4"/>
  <c r="BO53" i="4"/>
  <c r="BO54" i="4"/>
  <c r="BO55" i="4"/>
  <c r="BO56" i="4"/>
  <c r="BO57" i="4"/>
  <c r="BO58" i="4"/>
  <c r="BO59" i="4"/>
  <c r="BO60" i="4"/>
  <c r="BO61" i="4"/>
  <c r="BO62" i="4"/>
  <c r="BO63" i="4"/>
  <c r="BO64" i="4"/>
  <c r="BO65" i="4"/>
  <c r="BO66" i="4"/>
  <c r="BO67" i="4"/>
  <c r="BO68" i="4"/>
  <c r="BO69" i="4"/>
  <c r="BO70" i="4"/>
  <c r="BO71" i="4"/>
  <c r="BO72" i="4"/>
  <c r="BO73" i="4"/>
  <c r="BO74" i="4"/>
  <c r="BO75" i="4"/>
  <c r="BO76" i="4"/>
  <c r="BO77" i="4"/>
  <c r="BO78" i="4"/>
  <c r="BO79" i="4"/>
  <c r="BO80" i="4"/>
  <c r="BO81" i="4"/>
  <c r="BO82" i="4"/>
  <c r="BO83" i="4"/>
  <c r="BO84" i="4"/>
  <c r="BO85" i="4"/>
  <c r="BO86" i="4"/>
  <c r="BO87" i="4"/>
  <c r="BO88" i="4"/>
  <c r="BO89" i="4"/>
  <c r="BO90" i="4"/>
  <c r="BO91" i="4"/>
  <c r="BO92" i="4"/>
  <c r="BO93" i="4"/>
  <c r="BO94" i="4"/>
  <c r="BO95" i="4"/>
  <c r="BO96" i="4"/>
  <c r="BO97" i="4"/>
  <c r="BO98" i="4"/>
  <c r="BO99" i="4"/>
  <c r="BO100" i="4"/>
  <c r="BO101" i="4"/>
  <c r="BO102" i="4"/>
  <c r="BO103" i="4"/>
  <c r="BO104" i="4"/>
  <c r="BO105" i="4"/>
  <c r="BO106" i="4"/>
  <c r="BO107" i="4"/>
  <c r="BO108" i="4"/>
  <c r="BO109" i="4"/>
  <c r="BO110" i="4"/>
  <c r="BO111" i="4"/>
  <c r="BO112" i="4"/>
  <c r="BO113" i="4"/>
  <c r="BO114" i="4"/>
  <c r="BO115" i="4"/>
  <c r="BO116" i="4"/>
  <c r="BO117" i="4"/>
  <c r="BO118" i="4"/>
  <c r="BO119" i="4"/>
  <c r="BO120" i="4"/>
  <c r="BO121" i="4"/>
  <c r="BO122" i="4"/>
  <c r="BO123" i="4"/>
  <c r="BO124" i="4"/>
  <c r="BO125" i="4"/>
  <c r="BO126" i="4"/>
  <c r="BO127" i="4"/>
  <c r="BO128" i="4"/>
  <c r="BO129" i="4"/>
  <c r="BO130" i="4"/>
  <c r="BO131" i="4"/>
  <c r="BO132" i="4"/>
  <c r="BO133" i="4"/>
  <c r="BO134" i="4"/>
  <c r="BO135" i="4"/>
  <c r="BO136" i="4"/>
  <c r="BO137" i="4"/>
  <c r="BO138" i="4"/>
  <c r="BO139" i="4"/>
  <c r="BO140" i="4"/>
  <c r="BO141" i="4"/>
  <c r="BO142" i="4"/>
  <c r="BO143" i="4"/>
  <c r="BO144" i="4"/>
  <c r="BO145" i="4"/>
  <c r="BO146" i="4"/>
  <c r="BO147" i="4"/>
  <c r="BO148" i="4"/>
  <c r="BO149" i="4"/>
  <c r="BO150" i="4"/>
  <c r="BO151" i="4"/>
  <c r="BO152" i="4"/>
  <c r="BO153" i="4"/>
  <c r="BO154" i="4"/>
  <c r="BO155" i="4"/>
  <c r="BO156" i="4"/>
  <c r="BO157" i="4"/>
  <c r="BO158" i="4"/>
  <c r="BO159" i="4"/>
  <c r="BO160" i="4"/>
  <c r="BO161" i="4"/>
  <c r="BO162" i="4"/>
  <c r="BO163" i="4"/>
  <c r="BO164" i="4"/>
  <c r="BO165" i="4"/>
  <c r="BO166" i="4"/>
  <c r="BO167" i="4"/>
  <c r="BO168" i="4"/>
  <c r="BO169" i="4"/>
  <c r="BO170" i="4"/>
  <c r="BO171" i="4"/>
  <c r="BO172" i="4"/>
  <c r="BO173" i="4"/>
  <c r="BO174" i="4"/>
  <c r="BO2" i="4"/>
  <c r="BM3" i="4"/>
  <c r="BM4" i="4"/>
  <c r="BM5" i="4"/>
  <c r="BM6" i="4"/>
  <c r="BM7" i="4"/>
  <c r="BM8" i="4"/>
  <c r="BM9" i="4"/>
  <c r="BM10" i="4"/>
  <c r="BM11" i="4"/>
  <c r="BM12" i="4"/>
  <c r="BM13" i="4"/>
  <c r="BM14" i="4"/>
  <c r="BM15" i="4"/>
  <c r="BM16" i="4"/>
  <c r="BM17" i="4"/>
  <c r="BM18" i="4"/>
  <c r="BM19" i="4"/>
  <c r="BM20" i="4"/>
  <c r="BM21" i="4"/>
  <c r="BM22" i="4"/>
  <c r="BM23" i="4"/>
  <c r="BM24" i="4"/>
  <c r="BM25" i="4"/>
  <c r="BM26" i="4"/>
  <c r="BM27" i="4"/>
  <c r="BM28" i="4"/>
  <c r="BM29" i="4"/>
  <c r="BM30" i="4"/>
  <c r="BM31" i="4"/>
  <c r="BM32" i="4"/>
  <c r="BM33" i="4"/>
  <c r="BM34" i="4"/>
  <c r="BM35" i="4"/>
  <c r="BM36" i="4"/>
  <c r="BM37" i="4"/>
  <c r="BM38" i="4"/>
  <c r="BM39" i="4"/>
  <c r="BM40" i="4"/>
  <c r="BM41" i="4"/>
  <c r="BM42" i="4"/>
  <c r="BM43" i="4"/>
  <c r="BM44" i="4"/>
  <c r="BM45" i="4"/>
  <c r="BM46" i="4"/>
  <c r="BM47" i="4"/>
  <c r="BM48" i="4"/>
  <c r="BM49" i="4"/>
  <c r="BM50" i="4"/>
  <c r="BM51" i="4"/>
  <c r="BM52" i="4"/>
  <c r="BM53" i="4"/>
  <c r="BM54" i="4"/>
  <c r="BM55" i="4"/>
  <c r="BM56" i="4"/>
  <c r="BM57" i="4"/>
  <c r="BM58" i="4"/>
  <c r="BM59" i="4"/>
  <c r="BM60" i="4"/>
  <c r="BM61" i="4"/>
  <c r="BM62" i="4"/>
  <c r="BM63" i="4"/>
  <c r="BM64" i="4"/>
  <c r="BM65" i="4"/>
  <c r="BM66" i="4"/>
  <c r="BM67" i="4"/>
  <c r="BM68" i="4"/>
  <c r="BM69" i="4"/>
  <c r="BM70" i="4"/>
  <c r="BM71" i="4"/>
  <c r="BM72" i="4"/>
  <c r="BM73" i="4"/>
  <c r="BM74" i="4"/>
  <c r="BM75" i="4"/>
  <c r="BM76" i="4"/>
  <c r="BM77" i="4"/>
  <c r="BM78" i="4"/>
  <c r="BM79" i="4"/>
  <c r="BM80" i="4"/>
  <c r="BM81" i="4"/>
  <c r="BM82" i="4"/>
  <c r="BM83" i="4"/>
  <c r="BM84" i="4"/>
  <c r="BM85" i="4"/>
  <c r="BM86" i="4"/>
  <c r="BM87" i="4"/>
  <c r="BM88" i="4"/>
  <c r="BM89" i="4"/>
  <c r="BM90" i="4"/>
  <c r="BM91" i="4"/>
  <c r="BM92" i="4"/>
  <c r="BM93" i="4"/>
  <c r="BM94" i="4"/>
  <c r="BM95" i="4"/>
  <c r="BM96" i="4"/>
  <c r="BM97" i="4"/>
  <c r="BM98" i="4"/>
  <c r="BM99" i="4"/>
  <c r="BM100" i="4"/>
  <c r="BM101" i="4"/>
  <c r="BM102" i="4"/>
  <c r="BM103" i="4"/>
  <c r="BM104" i="4"/>
  <c r="BM105" i="4"/>
  <c r="BM106" i="4"/>
  <c r="BM107" i="4"/>
  <c r="BM108" i="4"/>
  <c r="BM109" i="4"/>
  <c r="BM110" i="4"/>
  <c r="BM111" i="4"/>
  <c r="BM112" i="4"/>
  <c r="BM113" i="4"/>
  <c r="BM114" i="4"/>
  <c r="BM115" i="4"/>
  <c r="BM116" i="4"/>
  <c r="BM117" i="4"/>
  <c r="BM118" i="4"/>
  <c r="BM119" i="4"/>
  <c r="BM120" i="4"/>
  <c r="BM121" i="4"/>
  <c r="BM122" i="4"/>
  <c r="BM123" i="4"/>
  <c r="BM124" i="4"/>
  <c r="BM125" i="4"/>
  <c r="BM126" i="4"/>
  <c r="BM127" i="4"/>
  <c r="BM128" i="4"/>
  <c r="BM129" i="4"/>
  <c r="BM130" i="4"/>
  <c r="BM131" i="4"/>
  <c r="BM132" i="4"/>
  <c r="BM133" i="4"/>
  <c r="BM134" i="4"/>
  <c r="BM135" i="4"/>
  <c r="BM136" i="4"/>
  <c r="BM137" i="4"/>
  <c r="BM138" i="4"/>
  <c r="BM139" i="4"/>
  <c r="BM140" i="4"/>
  <c r="BM141" i="4"/>
  <c r="BM142" i="4"/>
  <c r="BM143" i="4"/>
  <c r="BM144" i="4"/>
  <c r="BM145" i="4"/>
  <c r="BM146" i="4"/>
  <c r="BM147" i="4"/>
  <c r="BM148" i="4"/>
  <c r="BM149" i="4"/>
  <c r="BM150" i="4"/>
  <c r="BM151" i="4"/>
  <c r="BM152" i="4"/>
  <c r="BM153" i="4"/>
  <c r="BM154" i="4"/>
  <c r="BM155" i="4"/>
  <c r="BM156" i="4"/>
  <c r="BM157" i="4"/>
  <c r="BM158" i="4"/>
  <c r="BM159" i="4"/>
  <c r="BM160" i="4"/>
  <c r="BM161" i="4"/>
  <c r="BM162" i="4"/>
  <c r="BM163" i="4"/>
  <c r="BM164" i="4"/>
  <c r="BM165" i="4"/>
  <c r="BM166" i="4"/>
  <c r="BM167" i="4"/>
  <c r="BM168" i="4"/>
  <c r="BM169" i="4"/>
  <c r="BM170" i="4"/>
  <c r="BM171" i="4"/>
  <c r="BM172" i="4"/>
  <c r="BM173" i="4"/>
  <c r="BM174" i="4"/>
  <c r="BM2" i="4"/>
  <c r="BI3" i="4"/>
  <c r="BI4" i="4"/>
  <c r="BI5" i="4"/>
  <c r="BI6" i="4"/>
  <c r="BI7" i="4"/>
  <c r="BI8" i="4"/>
  <c r="BI9" i="4"/>
  <c r="BI10" i="4"/>
  <c r="BI11" i="4"/>
  <c r="BI12" i="4"/>
  <c r="BI13" i="4"/>
  <c r="BI14" i="4"/>
  <c r="BI15" i="4"/>
  <c r="BI16" i="4"/>
  <c r="BI17" i="4"/>
  <c r="BI18" i="4"/>
  <c r="BI19" i="4"/>
  <c r="BI20" i="4"/>
  <c r="BI21" i="4"/>
  <c r="BI22" i="4"/>
  <c r="BI23" i="4"/>
  <c r="BI24" i="4"/>
  <c r="BI25" i="4"/>
  <c r="BI26" i="4"/>
  <c r="BI27" i="4"/>
  <c r="BI28" i="4"/>
  <c r="BI29" i="4"/>
  <c r="BI30" i="4"/>
  <c r="BI31" i="4"/>
  <c r="BI32" i="4"/>
  <c r="BI33" i="4"/>
  <c r="BI34" i="4"/>
  <c r="BI35" i="4"/>
  <c r="BI36" i="4"/>
  <c r="BI37" i="4"/>
  <c r="BI38" i="4"/>
  <c r="BI39" i="4"/>
  <c r="BI40" i="4"/>
  <c r="BI41" i="4"/>
  <c r="BI42" i="4"/>
  <c r="BI43" i="4"/>
  <c r="BI44" i="4"/>
  <c r="BI45" i="4"/>
  <c r="BI46" i="4"/>
  <c r="BI47" i="4"/>
  <c r="BI48" i="4"/>
  <c r="BI49" i="4"/>
  <c r="BI50" i="4"/>
  <c r="BI51" i="4"/>
  <c r="BI52" i="4"/>
  <c r="BI53" i="4"/>
  <c r="BI54" i="4"/>
  <c r="BI55" i="4"/>
  <c r="BI56" i="4"/>
  <c r="BI57" i="4"/>
  <c r="BI58" i="4"/>
  <c r="BI59" i="4"/>
  <c r="BI60" i="4"/>
  <c r="BI61" i="4"/>
  <c r="BI62" i="4"/>
  <c r="BI63" i="4"/>
  <c r="BI64" i="4"/>
  <c r="BI65" i="4"/>
  <c r="BI66" i="4"/>
  <c r="BI67" i="4"/>
  <c r="BI68" i="4"/>
  <c r="BI69" i="4"/>
  <c r="BI70" i="4"/>
  <c r="BI71" i="4"/>
  <c r="BI72" i="4"/>
  <c r="BI73" i="4"/>
  <c r="BI74" i="4"/>
  <c r="BI75" i="4"/>
  <c r="BI76" i="4"/>
  <c r="BI77" i="4"/>
  <c r="BI78" i="4"/>
  <c r="BI79" i="4"/>
  <c r="BI80" i="4"/>
  <c r="BI81" i="4"/>
  <c r="BI82" i="4"/>
  <c r="BI83" i="4"/>
  <c r="BI84" i="4"/>
  <c r="BI85" i="4"/>
  <c r="BI86" i="4"/>
  <c r="BI87" i="4"/>
  <c r="BI88" i="4"/>
  <c r="BI89" i="4"/>
  <c r="BI90" i="4"/>
  <c r="BI91" i="4"/>
  <c r="BI92" i="4"/>
  <c r="BI93" i="4"/>
  <c r="BI94" i="4"/>
  <c r="BI95" i="4"/>
  <c r="BI96" i="4"/>
  <c r="BI97" i="4"/>
  <c r="BI98" i="4"/>
  <c r="BI99" i="4"/>
  <c r="BI100" i="4"/>
  <c r="BI101" i="4"/>
  <c r="BI102" i="4"/>
  <c r="BI103" i="4"/>
  <c r="BI104" i="4"/>
  <c r="BI105" i="4"/>
  <c r="BI106" i="4"/>
  <c r="BI107" i="4"/>
  <c r="BI108" i="4"/>
  <c r="BI109" i="4"/>
  <c r="BI110" i="4"/>
  <c r="BI111" i="4"/>
  <c r="BI112" i="4"/>
  <c r="BI113" i="4"/>
  <c r="BI114" i="4"/>
  <c r="BI115" i="4"/>
  <c r="BI116" i="4"/>
  <c r="BI117" i="4"/>
  <c r="BI2" i="4"/>
  <c r="AZ3" i="4"/>
  <c r="AZ4" i="4"/>
  <c r="AZ5" i="4"/>
  <c r="AZ6" i="4"/>
  <c r="AZ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Z134" i="4"/>
  <c r="AZ135" i="4"/>
  <c r="AZ136" i="4"/>
  <c r="AZ137" i="4"/>
  <c r="AZ138" i="4"/>
  <c r="AZ139" i="4"/>
  <c r="AZ140" i="4"/>
  <c r="AZ141" i="4"/>
  <c r="AZ142" i="4"/>
  <c r="AZ143" i="4"/>
  <c r="AZ144" i="4"/>
  <c r="AZ145" i="4"/>
  <c r="AZ146" i="4"/>
  <c r="AZ147" i="4"/>
  <c r="AZ148" i="4"/>
  <c r="AZ149" i="4"/>
  <c r="AZ2" i="4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2" i="4"/>
  <c r="AQ3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2" i="4"/>
  <c r="AM3" i="4"/>
  <c r="AM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2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2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2" i="4"/>
  <c r="AE3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2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AR127" i="4"/>
  <c r="S127" i="4"/>
  <c r="CJ127" i="4"/>
  <c r="H127" i="4"/>
  <c r="G127" i="4" s="1"/>
  <c r="AR119" i="4"/>
  <c r="S119" i="4"/>
  <c r="CJ119" i="4"/>
  <c r="H119" i="4"/>
  <c r="G119" i="4" s="1"/>
  <c r="AR117" i="4"/>
  <c r="S123" i="4"/>
  <c r="CJ123" i="4" s="1"/>
  <c r="H123" i="4"/>
  <c r="G123" i="4" s="1"/>
  <c r="S117" i="4"/>
  <c r="CJ117" i="4" s="1"/>
  <c r="H117" i="4"/>
  <c r="G117" i="4" s="1"/>
  <c r="S113" i="4"/>
  <c r="CJ113" i="4" s="1"/>
  <c r="H113" i="4"/>
  <c r="G113" i="4" s="1"/>
  <c r="S110" i="4"/>
  <c r="CJ110" i="4" s="1"/>
  <c r="H110" i="4"/>
  <c r="G110" i="4" s="1"/>
  <c r="Q106" i="4"/>
  <c r="BR3" i="4"/>
  <c r="BR4" i="4"/>
  <c r="BR5" i="4"/>
  <c r="BR6" i="4"/>
  <c r="BR7" i="4"/>
  <c r="BR8" i="4"/>
  <c r="BR9" i="4"/>
  <c r="BR10" i="4"/>
  <c r="BR11" i="4"/>
  <c r="BR12" i="4"/>
  <c r="BR13" i="4"/>
  <c r="BR14" i="4"/>
  <c r="BR15" i="4"/>
  <c r="BR16" i="4"/>
  <c r="BR17" i="4"/>
  <c r="BR18" i="4"/>
  <c r="BR19" i="4"/>
  <c r="BR20" i="4"/>
  <c r="BR21" i="4"/>
  <c r="BR22" i="4"/>
  <c r="BR23" i="4"/>
  <c r="BR24" i="4"/>
  <c r="BR25" i="4"/>
  <c r="BR26" i="4"/>
  <c r="BR27" i="4"/>
  <c r="BR28" i="4"/>
  <c r="BR29" i="4"/>
  <c r="BR30" i="4"/>
  <c r="BR31" i="4"/>
  <c r="BR32" i="4"/>
  <c r="BR33" i="4"/>
  <c r="BR34" i="4"/>
  <c r="BR35" i="4"/>
  <c r="BR36" i="4"/>
  <c r="BR37" i="4"/>
  <c r="BR38" i="4"/>
  <c r="BR39" i="4"/>
  <c r="BR40" i="4"/>
  <c r="BR41" i="4"/>
  <c r="BR42" i="4"/>
  <c r="BR43" i="4"/>
  <c r="BR44" i="4"/>
  <c r="BR45" i="4"/>
  <c r="BR46" i="4"/>
  <c r="BR47" i="4"/>
  <c r="BR48" i="4"/>
  <c r="BR49" i="4"/>
  <c r="BR50" i="4"/>
  <c r="BR51" i="4"/>
  <c r="BR52" i="4"/>
  <c r="BR53" i="4"/>
  <c r="BR54" i="4"/>
  <c r="BR55" i="4"/>
  <c r="BR56" i="4"/>
  <c r="BR57" i="4"/>
  <c r="BR58" i="4"/>
  <c r="BR59" i="4"/>
  <c r="BR60" i="4"/>
  <c r="BR61" i="4"/>
  <c r="BR62" i="4"/>
  <c r="BR63" i="4"/>
  <c r="BR64" i="4"/>
  <c r="BR65" i="4"/>
  <c r="BR66" i="4"/>
  <c r="BR67" i="4"/>
  <c r="BR68" i="4"/>
  <c r="BR69" i="4"/>
  <c r="BR70" i="4"/>
  <c r="BR71" i="4"/>
  <c r="BR72" i="4"/>
  <c r="BR73" i="4"/>
  <c r="BR74" i="4"/>
  <c r="BR75" i="4"/>
  <c r="BR76" i="4"/>
  <c r="BR77" i="4"/>
  <c r="BR78" i="4"/>
  <c r="BR79" i="4"/>
  <c r="BR80" i="4"/>
  <c r="BR81" i="4"/>
  <c r="BR82" i="4"/>
  <c r="BR83" i="4"/>
  <c r="BR84" i="4"/>
  <c r="BR85" i="4"/>
  <c r="BR86" i="4"/>
  <c r="BR87" i="4"/>
  <c r="BR88" i="4"/>
  <c r="BR89" i="4"/>
  <c r="BR90" i="4"/>
  <c r="BR91" i="4"/>
  <c r="BR92" i="4"/>
  <c r="BR93" i="4"/>
  <c r="BR94" i="4"/>
  <c r="BR95" i="4"/>
  <c r="BR96" i="4"/>
  <c r="BR97" i="4"/>
  <c r="BR98" i="4"/>
  <c r="BR99" i="4"/>
  <c r="BR100" i="4"/>
  <c r="BR101" i="4"/>
  <c r="BR102" i="4"/>
  <c r="BR103" i="4"/>
  <c r="BR104" i="4"/>
  <c r="BR105" i="4"/>
  <c r="BR106" i="4"/>
  <c r="BR107" i="4"/>
  <c r="BR108" i="4"/>
  <c r="BR109" i="4"/>
  <c r="BR111" i="4"/>
  <c r="BR112" i="4"/>
  <c r="BR114" i="4"/>
  <c r="BR115" i="4"/>
  <c r="BR116" i="4"/>
  <c r="BR118" i="4"/>
  <c r="BR120" i="4"/>
  <c r="BR121" i="4"/>
  <c r="BR122" i="4"/>
  <c r="BR124" i="4"/>
  <c r="BR125" i="4"/>
  <c r="BR126" i="4"/>
  <c r="BR128" i="4"/>
  <c r="BR129" i="4"/>
  <c r="BR130" i="4"/>
  <c r="BR131" i="4"/>
  <c r="BR132" i="4"/>
  <c r="BR133" i="4"/>
  <c r="BR134" i="4"/>
  <c r="BR135" i="4"/>
  <c r="BR136" i="4"/>
  <c r="BR137" i="4"/>
  <c r="BR138" i="4"/>
  <c r="BR139" i="4"/>
  <c r="BR140" i="4"/>
  <c r="BR141" i="4"/>
  <c r="BR142" i="4"/>
  <c r="BR143" i="4"/>
  <c r="BR144" i="4"/>
  <c r="BR145" i="4"/>
  <c r="BR146" i="4"/>
  <c r="BR147" i="4"/>
  <c r="BR148" i="4"/>
  <c r="BR149" i="4"/>
  <c r="BR150" i="4"/>
  <c r="BR151" i="4"/>
  <c r="BR152" i="4"/>
  <c r="BR153" i="4"/>
  <c r="BR154" i="4"/>
  <c r="BR155" i="4"/>
  <c r="BR156" i="4"/>
  <c r="BR157" i="4"/>
  <c r="BR158" i="4"/>
  <c r="BR159" i="4"/>
  <c r="BR160" i="4"/>
  <c r="BR161" i="4"/>
  <c r="BR162" i="4"/>
  <c r="BR163" i="4"/>
  <c r="BR164" i="4"/>
  <c r="BR165" i="4"/>
  <c r="BR166" i="4"/>
  <c r="BR167" i="4"/>
  <c r="BR168" i="4"/>
  <c r="BR169" i="4"/>
  <c r="BR170" i="4"/>
  <c r="BR171" i="4"/>
  <c r="BR172" i="4"/>
  <c r="BR173" i="4"/>
  <c r="BR174" i="4"/>
  <c r="BR2" i="4"/>
  <c r="Q13" i="4"/>
  <c r="BX13" i="4" s="1"/>
  <c r="Q14" i="4"/>
  <c r="BV14" i="4" s="1"/>
  <c r="BZ14" i="4" s="1"/>
  <c r="Q15" i="4"/>
  <c r="BV15" i="4" s="1"/>
  <c r="BZ15" i="4" s="1"/>
  <c r="Q16" i="4"/>
  <c r="BV16" i="4" s="1"/>
  <c r="BZ16" i="4" s="1"/>
  <c r="Q17" i="4"/>
  <c r="BX17" i="4" s="1"/>
  <c r="Q18" i="4"/>
  <c r="BX18" i="4" s="1"/>
  <c r="Q19" i="4"/>
  <c r="BX19" i="4" s="1"/>
  <c r="Q20" i="4"/>
  <c r="BV20" i="4" s="1"/>
  <c r="BZ20" i="4" s="1"/>
  <c r="Q21" i="4"/>
  <c r="BV21" i="4" s="1"/>
  <c r="BZ21" i="4" s="1"/>
  <c r="Q22" i="4"/>
  <c r="BV22" i="4" s="1"/>
  <c r="BZ22" i="4" s="1"/>
  <c r="Q23" i="4"/>
  <c r="BX23" i="4" s="1"/>
  <c r="Q24" i="4"/>
  <c r="BV24" i="4" s="1"/>
  <c r="BZ24" i="4" s="1"/>
  <c r="Q25" i="4"/>
  <c r="BV25" i="4" s="1"/>
  <c r="BZ25" i="4" s="1"/>
  <c r="Q26" i="4"/>
  <c r="Q27" i="4"/>
  <c r="Q28" i="4"/>
  <c r="Q29" i="4"/>
  <c r="BX29" i="4" s="1"/>
  <c r="Q30" i="4"/>
  <c r="BX30" i="4" s="1"/>
  <c r="Q31" i="4"/>
  <c r="Q32" i="4"/>
  <c r="Q33" i="4"/>
  <c r="BV33" i="4" s="1"/>
  <c r="BZ33" i="4" s="1"/>
  <c r="Q34" i="4"/>
  <c r="BX34" i="4" s="1"/>
  <c r="Q35" i="4"/>
  <c r="BX35" i="4" s="1"/>
  <c r="Q36" i="4"/>
  <c r="BX36" i="4" s="1"/>
  <c r="Q37" i="4"/>
  <c r="BX37" i="4" s="1"/>
  <c r="Q38" i="4"/>
  <c r="BX38" i="4" s="1"/>
  <c r="Q39" i="4"/>
  <c r="Q40" i="4"/>
  <c r="BV40" i="4" s="1"/>
  <c r="BZ40" i="4" s="1"/>
  <c r="Q41" i="4"/>
  <c r="BV41" i="4" s="1"/>
  <c r="BZ41" i="4" s="1"/>
  <c r="Q42" i="4"/>
  <c r="BV42" i="4" s="1"/>
  <c r="BZ42" i="4" s="1"/>
  <c r="Q43" i="4"/>
  <c r="BV43" i="4" s="1"/>
  <c r="BZ43" i="4" s="1"/>
  <c r="Q44" i="4"/>
  <c r="BV44" i="4" s="1"/>
  <c r="BZ44" i="4" s="1"/>
  <c r="Q45" i="4"/>
  <c r="BV45" i="4" s="1"/>
  <c r="BZ45" i="4" s="1"/>
  <c r="Q46" i="4"/>
  <c r="Q47" i="4"/>
  <c r="BV47" i="4" s="1"/>
  <c r="BZ47" i="4" s="1"/>
  <c r="Q48" i="4"/>
  <c r="BV48" i="4" s="1"/>
  <c r="BZ48" i="4" s="1"/>
  <c r="Q49" i="4"/>
  <c r="BX49" i="4" s="1"/>
  <c r="Q50" i="4"/>
  <c r="BX50" i="4" s="1"/>
  <c r="Q51" i="4"/>
  <c r="Q52" i="4"/>
  <c r="Q53" i="4"/>
  <c r="BX53" i="4" s="1"/>
  <c r="Q54" i="4"/>
  <c r="BX54" i="4" s="1"/>
  <c r="Q55" i="4"/>
  <c r="BX55" i="4" s="1"/>
  <c r="Q56" i="4"/>
  <c r="BX56" i="4" s="1"/>
  <c r="Q57" i="4"/>
  <c r="BX57" i="4" s="1"/>
  <c r="Q58" i="4"/>
  <c r="BX58" i="4" s="1"/>
  <c r="Q59" i="4"/>
  <c r="Q60" i="4"/>
  <c r="Q61" i="4"/>
  <c r="Q62" i="4"/>
  <c r="BX62" i="4" s="1"/>
  <c r="Q63" i="4"/>
  <c r="BV63" i="4" s="1"/>
  <c r="BZ63" i="4" s="1"/>
  <c r="Q64" i="4"/>
  <c r="BV64" i="4" s="1"/>
  <c r="BZ64" i="4" s="1"/>
  <c r="Q65" i="4"/>
  <c r="BV65" i="4" s="1"/>
  <c r="BZ65" i="4" s="1"/>
  <c r="Q66" i="4"/>
  <c r="BV66" i="4" s="1"/>
  <c r="BZ66" i="4" s="1"/>
  <c r="Q67" i="4"/>
  <c r="Q68" i="4"/>
  <c r="Q69" i="4"/>
  <c r="BX69" i="4" s="1"/>
  <c r="Q70" i="4"/>
  <c r="Q71" i="4"/>
  <c r="Q72" i="4"/>
  <c r="Q73" i="4"/>
  <c r="BV73" i="4" s="1"/>
  <c r="BZ73" i="4" s="1"/>
  <c r="Q74" i="4"/>
  <c r="BX74" i="4" s="1"/>
  <c r="Q75" i="4"/>
  <c r="BX75" i="4" s="1"/>
  <c r="Q76" i="4"/>
  <c r="BX76" i="4" s="1"/>
  <c r="Q77" i="4"/>
  <c r="BX77" i="4" s="1"/>
  <c r="Q78" i="4"/>
  <c r="BX78" i="4" s="1"/>
  <c r="Q79" i="4"/>
  <c r="Q80" i="4"/>
  <c r="Q81" i="4"/>
  <c r="BV81" i="4" s="1"/>
  <c r="BZ81" i="4" s="1"/>
  <c r="Q82" i="4"/>
  <c r="BV82" i="4" s="1"/>
  <c r="BZ82" i="4" s="1"/>
  <c r="Q83" i="4"/>
  <c r="BX83" i="4" s="1"/>
  <c r="Q84" i="4"/>
  <c r="BV84" i="4" s="1"/>
  <c r="BZ84" i="4" s="1"/>
  <c r="Q85" i="4"/>
  <c r="BV85" i="4" s="1"/>
  <c r="BZ85" i="4" s="1"/>
  <c r="Q86" i="4"/>
  <c r="BV86" i="4" s="1"/>
  <c r="BZ86" i="4" s="1"/>
  <c r="Q87" i="4"/>
  <c r="Q88" i="4"/>
  <c r="Q89" i="4"/>
  <c r="BX89" i="4" s="1"/>
  <c r="Q90" i="4"/>
  <c r="BX90" i="4" s="1"/>
  <c r="Q91" i="4"/>
  <c r="Q92" i="4"/>
  <c r="Q93" i="4"/>
  <c r="BX93" i="4" s="1"/>
  <c r="Q94" i="4"/>
  <c r="BV94" i="4" s="1"/>
  <c r="BZ94" i="4" s="1"/>
  <c r="Q95" i="4"/>
  <c r="BX95" i="4" s="1"/>
  <c r="Q96" i="4"/>
  <c r="BX96" i="4" s="1"/>
  <c r="Q97" i="4"/>
  <c r="BX97" i="4" s="1"/>
  <c r="Q98" i="4"/>
  <c r="BX98" i="4" s="1"/>
  <c r="Q99" i="4"/>
  <c r="Q100" i="4"/>
  <c r="BV100" i="4" s="1"/>
  <c r="BZ100" i="4" s="1"/>
  <c r="Q101" i="4"/>
  <c r="BX101" i="4" s="1"/>
  <c r="Q102" i="4"/>
  <c r="BX102" i="4" s="1"/>
  <c r="Q103" i="4"/>
  <c r="BV103" i="4" s="1"/>
  <c r="BZ103" i="4" s="1"/>
  <c r="Q104" i="4"/>
  <c r="BV104" i="4" s="1"/>
  <c r="BZ104" i="4" s="1"/>
  <c r="Q105" i="4"/>
  <c r="BV105" i="4" s="1"/>
  <c r="BZ105" i="4" s="1"/>
  <c r="Q107" i="4"/>
  <c r="Q108" i="4"/>
  <c r="BV108" i="4" s="1"/>
  <c r="BZ108" i="4" s="1"/>
  <c r="Q109" i="4"/>
  <c r="BX109" i="4" s="1"/>
  <c r="Q111" i="4"/>
  <c r="BX111" i="4" s="1"/>
  <c r="Q112" i="4"/>
  <c r="Q114" i="4"/>
  <c r="Q115" i="4"/>
  <c r="BV115" i="4" s="1"/>
  <c r="BZ115" i="4" s="1"/>
  <c r="Q116" i="4"/>
  <c r="BX116" i="4" s="1"/>
  <c r="Q118" i="4"/>
  <c r="BV118" i="4" s="1"/>
  <c r="BZ118" i="4" s="1"/>
  <c r="Q120" i="4"/>
  <c r="BV120" i="4" s="1"/>
  <c r="BZ120" i="4" s="1"/>
  <c r="Q121" i="4"/>
  <c r="BX121" i="4" s="1"/>
  <c r="Q122" i="4"/>
  <c r="BX122" i="4" s="1"/>
  <c r="Q124" i="4"/>
  <c r="Q125" i="4"/>
  <c r="BV125" i="4" s="1"/>
  <c r="BZ125" i="4" s="1"/>
  <c r="Q126" i="4"/>
  <c r="BX126" i="4" s="1"/>
  <c r="Q128" i="4"/>
  <c r="BX128" i="4" s="1"/>
  <c r="Q129" i="4"/>
  <c r="BV129" i="4" s="1"/>
  <c r="BZ129" i="4" s="1"/>
  <c r="Q130" i="4"/>
  <c r="BV130" i="4" s="1"/>
  <c r="BZ130" i="4" s="1"/>
  <c r="Q131" i="4"/>
  <c r="BV131" i="4" s="1"/>
  <c r="BZ131" i="4" s="1"/>
  <c r="Q132" i="4"/>
  <c r="Q133" i="4"/>
  <c r="BV133" i="4" s="1"/>
  <c r="BZ133" i="4" s="1"/>
  <c r="Q134" i="4"/>
  <c r="BV134" i="4" s="1"/>
  <c r="BZ134" i="4" s="1"/>
  <c r="Q135" i="4"/>
  <c r="BX135" i="4" s="1"/>
  <c r="Q136" i="4"/>
  <c r="BX136" i="4" s="1"/>
  <c r="Q137" i="4"/>
  <c r="Q138" i="4"/>
  <c r="Q139" i="4"/>
  <c r="BX139" i="4" s="1"/>
  <c r="Q140" i="4"/>
  <c r="BV140" i="4" s="1"/>
  <c r="BZ140" i="4" s="1"/>
  <c r="Q141" i="4"/>
  <c r="BV141" i="4" s="1"/>
  <c r="BZ141" i="4" s="1"/>
  <c r="Q142" i="4"/>
  <c r="BX142" i="4" s="1"/>
  <c r="Q143" i="4"/>
  <c r="BX143" i="4" s="1"/>
  <c r="Q144" i="4"/>
  <c r="BX144" i="4" s="1"/>
  <c r="Q145" i="4"/>
  <c r="BX145" i="4" s="1"/>
  <c r="Q146" i="4"/>
  <c r="BX146" i="4" s="1"/>
  <c r="Q147" i="4"/>
  <c r="BX147" i="4" s="1"/>
  <c r="Q148" i="4"/>
  <c r="BV148" i="4" s="1"/>
  <c r="BZ148" i="4" s="1"/>
  <c r="Q149" i="4"/>
  <c r="BX149" i="4" s="1"/>
  <c r="Q150" i="4"/>
  <c r="BV150" i="4" s="1"/>
  <c r="BZ150" i="4" s="1"/>
  <c r="Q151" i="4"/>
  <c r="BV151" i="4" s="1"/>
  <c r="BZ151" i="4" s="1"/>
  <c r="Q152" i="4"/>
  <c r="BV152" i="4" s="1"/>
  <c r="BZ152" i="4" s="1"/>
  <c r="Q153" i="4"/>
  <c r="BV153" i="4" s="1"/>
  <c r="BZ153" i="4" s="1"/>
  <c r="Q154" i="4"/>
  <c r="Q155" i="4"/>
  <c r="BX155" i="4" s="1"/>
  <c r="Q156" i="4"/>
  <c r="BX156" i="4" s="1"/>
  <c r="Q157" i="4"/>
  <c r="Q158" i="4"/>
  <c r="Q159" i="4"/>
  <c r="BV159" i="4" s="1"/>
  <c r="BZ159" i="4" s="1"/>
  <c r="Q160" i="4"/>
  <c r="BV160" i="4" s="1"/>
  <c r="BZ160" i="4" s="1"/>
  <c r="Q161" i="4"/>
  <c r="BV161" i="4" s="1"/>
  <c r="BZ161" i="4" s="1"/>
  <c r="Q162" i="4"/>
  <c r="BV162" i="4" s="1"/>
  <c r="BZ162" i="4" s="1"/>
  <c r="Q163" i="4"/>
  <c r="BX163" i="4" s="1"/>
  <c r="Q164" i="4"/>
  <c r="Q165" i="4"/>
  <c r="BX165" i="4" s="1"/>
  <c r="Q166" i="4"/>
  <c r="BX166" i="4" s="1"/>
  <c r="Q167" i="4"/>
  <c r="BX167" i="4" s="1"/>
  <c r="Q168" i="4"/>
  <c r="BX168" i="4" s="1"/>
  <c r="Q169" i="4"/>
  <c r="BZ169" i="4" s="1"/>
  <c r="BY169" i="4" s="1"/>
  <c r="Q170" i="4"/>
  <c r="BZ170" i="4" s="1"/>
  <c r="BY170" i="4" s="1"/>
  <c r="Q171" i="4"/>
  <c r="BZ171" i="4" s="1"/>
  <c r="Q172" i="4"/>
  <c r="Q173" i="4"/>
  <c r="Q174" i="4"/>
  <c r="Q7" i="4"/>
  <c r="Q8" i="4"/>
  <c r="Q9" i="4"/>
  <c r="BX9" i="4" s="1"/>
  <c r="Q10" i="4"/>
  <c r="BX10" i="4" s="1"/>
  <c r="Q11" i="4"/>
  <c r="BX11" i="4" s="1"/>
  <c r="Q12" i="4"/>
  <c r="BX12" i="4" s="1"/>
  <c r="Q3" i="4"/>
  <c r="BV3" i="4" s="1"/>
  <c r="BZ3" i="4" s="1"/>
  <c r="Q4" i="4"/>
  <c r="BX4" i="4" s="1"/>
  <c r="Q5" i="4"/>
  <c r="BV5" i="4" s="1"/>
  <c r="BZ5" i="4" s="1"/>
  <c r="Q6" i="4"/>
  <c r="BX6" i="4" s="1"/>
  <c r="Q2" i="4"/>
  <c r="BX2" i="4" s="1"/>
  <c r="CH3" i="4"/>
  <c r="CH4" i="4"/>
  <c r="CH5" i="4"/>
  <c r="CH6" i="4"/>
  <c r="CH7" i="4"/>
  <c r="CH8" i="4"/>
  <c r="CH9" i="4"/>
  <c r="CH10" i="4"/>
  <c r="CH11" i="4"/>
  <c r="CH12" i="4"/>
  <c r="CH13" i="4"/>
  <c r="CH14" i="4"/>
  <c r="CH15" i="4"/>
  <c r="CH16" i="4"/>
  <c r="CH17" i="4"/>
  <c r="CH18" i="4"/>
  <c r="CH19" i="4"/>
  <c r="CH20" i="4"/>
  <c r="CH21" i="4"/>
  <c r="CH22" i="4"/>
  <c r="CH23" i="4"/>
  <c r="CH24" i="4"/>
  <c r="CH25" i="4"/>
  <c r="CH26" i="4"/>
  <c r="CH27" i="4"/>
  <c r="CH28" i="4"/>
  <c r="CH29" i="4"/>
  <c r="CH30" i="4"/>
  <c r="CH31" i="4"/>
  <c r="CH32" i="4"/>
  <c r="CH33" i="4"/>
  <c r="CH34" i="4"/>
  <c r="CH35" i="4"/>
  <c r="CH36" i="4"/>
  <c r="CH37" i="4"/>
  <c r="CH38" i="4"/>
  <c r="CH39" i="4"/>
  <c r="CH40" i="4"/>
  <c r="CH41" i="4"/>
  <c r="CH42" i="4"/>
  <c r="CH43" i="4"/>
  <c r="CH44" i="4"/>
  <c r="CH45" i="4"/>
  <c r="CH46" i="4"/>
  <c r="CH47" i="4"/>
  <c r="CH48" i="4"/>
  <c r="CH49" i="4"/>
  <c r="CH50" i="4"/>
  <c r="CH51" i="4"/>
  <c r="CH52" i="4"/>
  <c r="CH53" i="4"/>
  <c r="CH54" i="4"/>
  <c r="CH55" i="4"/>
  <c r="CH56" i="4"/>
  <c r="CH57" i="4"/>
  <c r="CH58" i="4"/>
  <c r="CH59" i="4"/>
  <c r="CH60" i="4"/>
  <c r="CH61" i="4"/>
  <c r="CH62" i="4"/>
  <c r="CH63" i="4"/>
  <c r="CH64" i="4"/>
  <c r="CH65" i="4"/>
  <c r="CH66" i="4"/>
  <c r="CH67" i="4"/>
  <c r="CH68" i="4"/>
  <c r="CH69" i="4"/>
  <c r="CH70" i="4"/>
  <c r="CH71" i="4"/>
  <c r="CH72" i="4"/>
  <c r="CH73" i="4"/>
  <c r="CH74" i="4"/>
  <c r="CH75" i="4"/>
  <c r="CH76" i="4"/>
  <c r="CH77" i="4"/>
  <c r="CH78" i="4"/>
  <c r="CH79" i="4"/>
  <c r="CH80" i="4"/>
  <c r="CH81" i="4"/>
  <c r="CH82" i="4"/>
  <c r="CH83" i="4"/>
  <c r="CH84" i="4"/>
  <c r="CH85" i="4"/>
  <c r="CH86" i="4"/>
  <c r="CH87" i="4"/>
  <c r="CH88" i="4"/>
  <c r="CH89" i="4"/>
  <c r="CH90" i="4"/>
  <c r="CH91" i="4"/>
  <c r="CH92" i="4"/>
  <c r="CH93" i="4"/>
  <c r="CH94" i="4"/>
  <c r="CH95" i="4"/>
  <c r="CH96" i="4"/>
  <c r="CH97" i="4"/>
  <c r="CH98" i="4"/>
  <c r="CH99" i="4"/>
  <c r="CH100" i="4"/>
  <c r="CH101" i="4"/>
  <c r="CH102" i="4"/>
  <c r="CH103" i="4"/>
  <c r="CH104" i="4"/>
  <c r="CH105" i="4"/>
  <c r="CH106" i="4"/>
  <c r="CH107" i="4"/>
  <c r="CH108" i="4"/>
  <c r="CH109" i="4"/>
  <c r="CH111" i="4"/>
  <c r="CH112" i="4"/>
  <c r="CH114" i="4"/>
  <c r="CH115" i="4"/>
  <c r="CH116" i="4"/>
  <c r="CH118" i="4"/>
  <c r="CH120" i="4"/>
  <c r="CH121" i="4"/>
  <c r="CH122" i="4"/>
  <c r="CH124" i="4"/>
  <c r="CH125" i="4"/>
  <c r="CH126" i="4"/>
  <c r="CH128" i="4"/>
  <c r="CH129" i="4"/>
  <c r="CH130" i="4"/>
  <c r="CH131" i="4"/>
  <c r="CH132" i="4"/>
  <c r="CH133" i="4"/>
  <c r="CH134" i="4"/>
  <c r="CH135" i="4"/>
  <c r="CH136" i="4"/>
  <c r="CH137" i="4"/>
  <c r="CH138" i="4"/>
  <c r="CH139" i="4"/>
  <c r="CH140" i="4"/>
  <c r="CH141" i="4"/>
  <c r="CH142" i="4"/>
  <c r="CH143" i="4"/>
  <c r="CH144" i="4"/>
  <c r="CH145" i="4"/>
  <c r="CH146" i="4"/>
  <c r="CH147" i="4"/>
  <c r="CH148" i="4"/>
  <c r="CH149" i="4"/>
  <c r="CH150" i="4"/>
  <c r="CH151" i="4"/>
  <c r="CH152" i="4"/>
  <c r="CH153" i="4"/>
  <c r="CH154" i="4"/>
  <c r="CH155" i="4"/>
  <c r="CH156" i="4"/>
  <c r="CH157" i="4"/>
  <c r="CH158" i="4"/>
  <c r="CH159" i="4"/>
  <c r="CH160" i="4"/>
  <c r="CH161" i="4"/>
  <c r="CH162" i="4"/>
  <c r="CH163" i="4"/>
  <c r="CH164" i="4"/>
  <c r="CH165" i="4"/>
  <c r="CH166" i="4"/>
  <c r="CH167" i="4"/>
  <c r="CH168" i="4"/>
  <c r="CH169" i="4"/>
  <c r="CH170" i="4"/>
  <c r="CH171" i="4"/>
  <c r="CH172" i="4"/>
  <c r="CH173" i="4"/>
  <c r="CH174" i="4"/>
  <c r="CH2" i="4"/>
  <c r="AD3" i="4"/>
  <c r="CD3" i="4" s="1"/>
  <c r="AD4" i="4"/>
  <c r="CD4" i="4" s="1"/>
  <c r="AD5" i="4"/>
  <c r="CD5" i="4" s="1"/>
  <c r="AD6" i="4"/>
  <c r="CD6" i="4" s="1"/>
  <c r="AD7" i="4"/>
  <c r="CD7" i="4" s="1"/>
  <c r="AD8" i="4"/>
  <c r="CD8" i="4" s="1"/>
  <c r="AD9" i="4"/>
  <c r="CD9" i="4" s="1"/>
  <c r="AD10" i="4"/>
  <c r="CD10" i="4" s="1"/>
  <c r="AD11" i="4"/>
  <c r="CD11" i="4" s="1"/>
  <c r="AD12" i="4"/>
  <c r="CD12" i="4" s="1"/>
  <c r="AD13" i="4"/>
  <c r="CD13" i="4" s="1"/>
  <c r="AD14" i="4"/>
  <c r="CD14" i="4" s="1"/>
  <c r="AD15" i="4"/>
  <c r="CD15" i="4" s="1"/>
  <c r="AD16" i="4"/>
  <c r="CD16" i="4" s="1"/>
  <c r="AD17" i="4"/>
  <c r="CD17" i="4" s="1"/>
  <c r="AD18" i="4"/>
  <c r="CD18" i="4" s="1"/>
  <c r="AD19" i="4"/>
  <c r="CD19" i="4" s="1"/>
  <c r="AD20" i="4"/>
  <c r="CD20" i="4" s="1"/>
  <c r="AD21" i="4"/>
  <c r="CD21" i="4" s="1"/>
  <c r="AD22" i="4"/>
  <c r="CD22" i="4" s="1"/>
  <c r="AD23" i="4"/>
  <c r="CD23" i="4" s="1"/>
  <c r="AD24" i="4"/>
  <c r="CD24" i="4" s="1"/>
  <c r="AD25" i="4"/>
  <c r="CD25" i="4" s="1"/>
  <c r="AD26" i="4"/>
  <c r="CD26" i="4" s="1"/>
  <c r="AD27" i="4"/>
  <c r="CD27" i="4" s="1"/>
  <c r="AD28" i="4"/>
  <c r="CD28" i="4" s="1"/>
  <c r="AD29" i="4"/>
  <c r="CD29" i="4" s="1"/>
  <c r="AD30" i="4"/>
  <c r="CD30" i="4" s="1"/>
  <c r="AD31" i="4"/>
  <c r="CD31" i="4" s="1"/>
  <c r="AD32" i="4"/>
  <c r="CD32" i="4" s="1"/>
  <c r="AD33" i="4"/>
  <c r="CD33" i="4" s="1"/>
  <c r="AD34" i="4"/>
  <c r="CD34" i="4" s="1"/>
  <c r="AD35" i="4"/>
  <c r="CD35" i="4" s="1"/>
  <c r="AD36" i="4"/>
  <c r="CD36" i="4" s="1"/>
  <c r="AD37" i="4"/>
  <c r="CD37" i="4" s="1"/>
  <c r="AD38" i="4"/>
  <c r="CD38" i="4" s="1"/>
  <c r="AD39" i="4"/>
  <c r="CD39" i="4" s="1"/>
  <c r="AD40" i="4"/>
  <c r="CD40" i="4" s="1"/>
  <c r="AD41" i="4"/>
  <c r="CD41" i="4" s="1"/>
  <c r="AD42" i="4"/>
  <c r="CD42" i="4" s="1"/>
  <c r="AD43" i="4"/>
  <c r="CD43" i="4" s="1"/>
  <c r="AD44" i="4"/>
  <c r="CD44" i="4" s="1"/>
  <c r="AD45" i="4"/>
  <c r="CD45" i="4" s="1"/>
  <c r="AD46" i="4"/>
  <c r="CD46" i="4" s="1"/>
  <c r="AD47" i="4"/>
  <c r="CD47" i="4" s="1"/>
  <c r="AD48" i="4"/>
  <c r="CD48" i="4" s="1"/>
  <c r="AD49" i="4"/>
  <c r="CD49" i="4" s="1"/>
  <c r="AD50" i="4"/>
  <c r="CD50" i="4" s="1"/>
  <c r="AD51" i="4"/>
  <c r="CD51" i="4" s="1"/>
  <c r="AD52" i="4"/>
  <c r="CD52" i="4" s="1"/>
  <c r="AD53" i="4"/>
  <c r="CD53" i="4" s="1"/>
  <c r="AD54" i="4"/>
  <c r="CD54" i="4" s="1"/>
  <c r="AD55" i="4"/>
  <c r="CD55" i="4" s="1"/>
  <c r="AD56" i="4"/>
  <c r="CD56" i="4" s="1"/>
  <c r="AD57" i="4"/>
  <c r="CD57" i="4" s="1"/>
  <c r="AD58" i="4"/>
  <c r="CD58" i="4" s="1"/>
  <c r="AD59" i="4"/>
  <c r="CD59" i="4" s="1"/>
  <c r="AD60" i="4"/>
  <c r="CD60" i="4" s="1"/>
  <c r="AD61" i="4"/>
  <c r="CD61" i="4" s="1"/>
  <c r="AD62" i="4"/>
  <c r="CD62" i="4" s="1"/>
  <c r="AD63" i="4"/>
  <c r="CD63" i="4" s="1"/>
  <c r="AD64" i="4"/>
  <c r="CD64" i="4" s="1"/>
  <c r="AD65" i="4"/>
  <c r="CD65" i="4" s="1"/>
  <c r="AD66" i="4"/>
  <c r="CD66" i="4" s="1"/>
  <c r="AD67" i="4"/>
  <c r="CD67" i="4" s="1"/>
  <c r="AD68" i="4"/>
  <c r="CD68" i="4" s="1"/>
  <c r="AD69" i="4"/>
  <c r="CD69" i="4" s="1"/>
  <c r="AD70" i="4"/>
  <c r="CD70" i="4" s="1"/>
  <c r="AD71" i="4"/>
  <c r="CD71" i="4" s="1"/>
  <c r="AD72" i="4"/>
  <c r="CD72" i="4" s="1"/>
  <c r="AD73" i="4"/>
  <c r="CD73" i="4" s="1"/>
  <c r="AD74" i="4"/>
  <c r="CD74" i="4" s="1"/>
  <c r="AD75" i="4"/>
  <c r="CD75" i="4" s="1"/>
  <c r="AD76" i="4"/>
  <c r="CD76" i="4" s="1"/>
  <c r="AD77" i="4"/>
  <c r="CD77" i="4" s="1"/>
  <c r="AD78" i="4"/>
  <c r="CD78" i="4" s="1"/>
  <c r="AD79" i="4"/>
  <c r="CD79" i="4" s="1"/>
  <c r="AD80" i="4"/>
  <c r="CD80" i="4" s="1"/>
  <c r="AD81" i="4"/>
  <c r="CD81" i="4" s="1"/>
  <c r="AD82" i="4"/>
  <c r="CD82" i="4" s="1"/>
  <c r="AD83" i="4"/>
  <c r="CD83" i="4" s="1"/>
  <c r="AD84" i="4"/>
  <c r="CD84" i="4" s="1"/>
  <c r="AD85" i="4"/>
  <c r="CD85" i="4" s="1"/>
  <c r="AD86" i="4"/>
  <c r="CD86" i="4" s="1"/>
  <c r="AD87" i="4"/>
  <c r="CD87" i="4" s="1"/>
  <c r="AD88" i="4"/>
  <c r="CD88" i="4" s="1"/>
  <c r="AD89" i="4"/>
  <c r="CD89" i="4" s="1"/>
  <c r="AD90" i="4"/>
  <c r="CD90" i="4" s="1"/>
  <c r="AD91" i="4"/>
  <c r="CD91" i="4" s="1"/>
  <c r="AD92" i="4"/>
  <c r="CD92" i="4" s="1"/>
  <c r="AD93" i="4"/>
  <c r="CD93" i="4" s="1"/>
  <c r="AD94" i="4"/>
  <c r="CD94" i="4" s="1"/>
  <c r="AD95" i="4"/>
  <c r="CD95" i="4" s="1"/>
  <c r="AD96" i="4"/>
  <c r="CD96" i="4" s="1"/>
  <c r="AD97" i="4"/>
  <c r="CD97" i="4" s="1"/>
  <c r="AD98" i="4"/>
  <c r="CD98" i="4" s="1"/>
  <c r="AD99" i="4"/>
  <c r="CD99" i="4" s="1"/>
  <c r="AD100" i="4"/>
  <c r="CD100" i="4" s="1"/>
  <c r="AD101" i="4"/>
  <c r="CD101" i="4" s="1"/>
  <c r="AD102" i="4"/>
  <c r="CD102" i="4" s="1"/>
  <c r="AD103" i="4"/>
  <c r="CD103" i="4" s="1"/>
  <c r="AD104" i="4"/>
  <c r="CD104" i="4" s="1"/>
  <c r="AD105" i="4"/>
  <c r="CD105" i="4" s="1"/>
  <c r="AD106" i="4"/>
  <c r="CD106" i="4" s="1"/>
  <c r="AD107" i="4"/>
  <c r="CD107" i="4" s="1"/>
  <c r="AD108" i="4"/>
  <c r="CD108" i="4" s="1"/>
  <c r="AD109" i="4"/>
  <c r="CD109" i="4" s="1"/>
  <c r="AD111" i="4"/>
  <c r="CD111" i="4" s="1"/>
  <c r="AD112" i="4"/>
  <c r="CD112" i="4" s="1"/>
  <c r="AD114" i="4"/>
  <c r="CD114" i="4" s="1"/>
  <c r="AD115" i="4"/>
  <c r="CD115" i="4" s="1"/>
  <c r="AD116" i="4"/>
  <c r="CD116" i="4" s="1"/>
  <c r="AD118" i="4"/>
  <c r="CD118" i="4" s="1"/>
  <c r="AD120" i="4"/>
  <c r="CD120" i="4" s="1"/>
  <c r="AD121" i="4"/>
  <c r="CD121" i="4" s="1"/>
  <c r="AD122" i="4"/>
  <c r="CD122" i="4" s="1"/>
  <c r="AD124" i="4"/>
  <c r="CD124" i="4" s="1"/>
  <c r="AD125" i="4"/>
  <c r="CD125" i="4" s="1"/>
  <c r="AD126" i="4"/>
  <c r="CD126" i="4" s="1"/>
  <c r="AD128" i="4"/>
  <c r="CD128" i="4" s="1"/>
  <c r="AD129" i="4"/>
  <c r="CD129" i="4" s="1"/>
  <c r="AD130" i="4"/>
  <c r="CD130" i="4" s="1"/>
  <c r="AD131" i="4"/>
  <c r="CD131" i="4" s="1"/>
  <c r="AD132" i="4"/>
  <c r="CD132" i="4" s="1"/>
  <c r="AD133" i="4"/>
  <c r="CD133" i="4" s="1"/>
  <c r="AD134" i="4"/>
  <c r="CD134" i="4" s="1"/>
  <c r="AD135" i="4"/>
  <c r="CD135" i="4" s="1"/>
  <c r="AD136" i="4"/>
  <c r="CD136" i="4" s="1"/>
  <c r="AD137" i="4"/>
  <c r="CD137" i="4" s="1"/>
  <c r="AD138" i="4"/>
  <c r="CD138" i="4" s="1"/>
  <c r="AD139" i="4"/>
  <c r="CD139" i="4" s="1"/>
  <c r="AD140" i="4"/>
  <c r="CD140" i="4" s="1"/>
  <c r="AD141" i="4"/>
  <c r="CD141" i="4" s="1"/>
  <c r="AD142" i="4"/>
  <c r="CD142" i="4" s="1"/>
  <c r="AD143" i="4"/>
  <c r="CD143" i="4" s="1"/>
  <c r="AD144" i="4"/>
  <c r="CD144" i="4" s="1"/>
  <c r="AD145" i="4"/>
  <c r="CD145" i="4" s="1"/>
  <c r="AD146" i="4"/>
  <c r="CD146" i="4" s="1"/>
  <c r="AD147" i="4"/>
  <c r="CD147" i="4" s="1"/>
  <c r="AD148" i="4"/>
  <c r="CD148" i="4" s="1"/>
  <c r="AD149" i="4"/>
  <c r="CD149" i="4" s="1"/>
  <c r="AD150" i="4"/>
  <c r="CD150" i="4" s="1"/>
  <c r="AD151" i="4"/>
  <c r="CD151" i="4" s="1"/>
  <c r="AD152" i="4"/>
  <c r="CD152" i="4" s="1"/>
  <c r="AD153" i="4"/>
  <c r="CD153" i="4" s="1"/>
  <c r="AD154" i="4"/>
  <c r="CD154" i="4" s="1"/>
  <c r="AD155" i="4"/>
  <c r="CD155" i="4" s="1"/>
  <c r="AD156" i="4"/>
  <c r="CD156" i="4" s="1"/>
  <c r="AD157" i="4"/>
  <c r="CD157" i="4" s="1"/>
  <c r="AD158" i="4"/>
  <c r="CD158" i="4" s="1"/>
  <c r="AD159" i="4"/>
  <c r="CD159" i="4" s="1"/>
  <c r="AD160" i="4"/>
  <c r="CD160" i="4" s="1"/>
  <c r="AD161" i="4"/>
  <c r="CD161" i="4" s="1"/>
  <c r="CD162" i="4"/>
  <c r="CC162" i="4" s="1"/>
  <c r="CD163" i="4"/>
  <c r="CC163" i="4" s="1"/>
  <c r="CD164" i="4"/>
  <c r="CC164" i="4" s="1"/>
  <c r="CD165" i="4"/>
  <c r="CC165" i="4" s="1"/>
  <c r="CD166" i="4"/>
  <c r="CC166" i="4" s="1"/>
  <c r="CD167" i="4"/>
  <c r="CC167" i="4" s="1"/>
  <c r="CD173" i="4"/>
  <c r="CD174" i="4"/>
  <c r="AD2" i="4"/>
  <c r="CD2" i="4" s="1"/>
  <c r="CB3" i="4"/>
  <c r="CB4" i="4"/>
  <c r="CB5" i="4"/>
  <c r="CB6" i="4"/>
  <c r="CB7" i="4"/>
  <c r="CB8" i="4"/>
  <c r="CB9" i="4"/>
  <c r="CB10" i="4"/>
  <c r="CB11" i="4"/>
  <c r="CB12" i="4"/>
  <c r="CB13" i="4"/>
  <c r="CB14" i="4"/>
  <c r="CB15" i="4"/>
  <c r="CB16" i="4"/>
  <c r="CB17" i="4"/>
  <c r="CB18" i="4"/>
  <c r="CB19" i="4"/>
  <c r="CB20" i="4"/>
  <c r="CB21" i="4"/>
  <c r="CB22" i="4"/>
  <c r="CB23" i="4"/>
  <c r="CB24" i="4"/>
  <c r="CB25" i="4"/>
  <c r="CB26" i="4"/>
  <c r="CB27" i="4"/>
  <c r="CB28" i="4"/>
  <c r="CB29" i="4"/>
  <c r="CB30" i="4"/>
  <c r="CB31" i="4"/>
  <c r="CB32" i="4"/>
  <c r="CB33" i="4"/>
  <c r="CB34" i="4"/>
  <c r="CB35" i="4"/>
  <c r="CB36" i="4"/>
  <c r="CB37" i="4"/>
  <c r="CB38" i="4"/>
  <c r="CB39" i="4"/>
  <c r="CB40" i="4"/>
  <c r="CB41" i="4"/>
  <c r="CB42" i="4"/>
  <c r="CB43" i="4"/>
  <c r="CB44" i="4"/>
  <c r="CB45" i="4"/>
  <c r="CB46" i="4"/>
  <c r="CB47" i="4"/>
  <c r="CB48" i="4"/>
  <c r="CB49" i="4"/>
  <c r="CB50" i="4"/>
  <c r="CB51" i="4"/>
  <c r="CB52" i="4"/>
  <c r="CB53" i="4"/>
  <c r="CB54" i="4"/>
  <c r="CB55" i="4"/>
  <c r="CB56" i="4"/>
  <c r="CB57" i="4"/>
  <c r="CB58" i="4"/>
  <c r="CB59" i="4"/>
  <c r="CB60" i="4"/>
  <c r="CB61" i="4"/>
  <c r="CB62" i="4"/>
  <c r="CB63" i="4"/>
  <c r="CB64" i="4"/>
  <c r="CB65" i="4"/>
  <c r="CB66" i="4"/>
  <c r="CB67" i="4"/>
  <c r="CB68" i="4"/>
  <c r="CB69" i="4"/>
  <c r="CB70" i="4"/>
  <c r="CB71" i="4"/>
  <c r="CB72" i="4"/>
  <c r="CB73" i="4"/>
  <c r="CB74" i="4"/>
  <c r="CB75" i="4"/>
  <c r="CB76" i="4"/>
  <c r="CB77" i="4"/>
  <c r="CB78" i="4"/>
  <c r="CB79" i="4"/>
  <c r="CB80" i="4"/>
  <c r="CB81" i="4"/>
  <c r="CB82" i="4"/>
  <c r="CB83" i="4"/>
  <c r="CB84" i="4"/>
  <c r="CB85" i="4"/>
  <c r="CB86" i="4"/>
  <c r="CB87" i="4"/>
  <c r="CB88" i="4"/>
  <c r="CB89" i="4"/>
  <c r="CB90" i="4"/>
  <c r="CB91" i="4"/>
  <c r="CB92" i="4"/>
  <c r="CB93" i="4"/>
  <c r="CB94" i="4"/>
  <c r="CB95" i="4"/>
  <c r="CB96" i="4"/>
  <c r="CB97" i="4"/>
  <c r="CB98" i="4"/>
  <c r="CB99" i="4"/>
  <c r="CB100" i="4"/>
  <c r="CB101" i="4"/>
  <c r="CB102" i="4"/>
  <c r="CB103" i="4"/>
  <c r="CB104" i="4"/>
  <c r="CB105" i="4"/>
  <c r="CB106" i="4"/>
  <c r="CB107" i="4"/>
  <c r="CB108" i="4"/>
  <c r="CB109" i="4"/>
  <c r="CB111" i="4"/>
  <c r="CB112" i="4"/>
  <c r="CB114" i="4"/>
  <c r="CB115" i="4"/>
  <c r="CB116" i="4"/>
  <c r="CB118" i="4"/>
  <c r="CB120" i="4"/>
  <c r="CB121" i="4"/>
  <c r="CB122" i="4"/>
  <c r="CB124" i="4"/>
  <c r="CB125" i="4"/>
  <c r="CB126" i="4"/>
  <c r="CB128" i="4"/>
  <c r="CB129" i="4"/>
  <c r="CB130" i="4"/>
  <c r="CB131" i="4"/>
  <c r="CB132" i="4"/>
  <c r="CB133" i="4"/>
  <c r="CB134" i="4"/>
  <c r="CB135" i="4"/>
  <c r="CB136" i="4"/>
  <c r="CB137" i="4"/>
  <c r="CB138" i="4"/>
  <c r="CB139" i="4"/>
  <c r="CB140" i="4"/>
  <c r="CB141" i="4"/>
  <c r="CB142" i="4"/>
  <c r="CB143" i="4"/>
  <c r="CB144" i="4"/>
  <c r="CB145" i="4"/>
  <c r="CB146" i="4"/>
  <c r="CB147" i="4"/>
  <c r="CB148" i="4"/>
  <c r="CB149" i="4"/>
  <c r="CB150" i="4"/>
  <c r="CB151" i="4"/>
  <c r="CB152" i="4"/>
  <c r="CB153" i="4"/>
  <c r="CB154" i="4"/>
  <c r="CB155" i="4"/>
  <c r="CB156" i="4"/>
  <c r="CB157" i="4"/>
  <c r="CB158" i="4"/>
  <c r="CB159" i="4"/>
  <c r="CB160" i="4"/>
  <c r="CB161" i="4"/>
  <c r="CB162" i="4"/>
  <c r="CB163" i="4"/>
  <c r="CB164" i="4"/>
  <c r="CB165" i="4"/>
  <c r="CB166" i="4"/>
  <c r="CB167" i="4"/>
  <c r="CB168" i="4"/>
  <c r="CB169" i="4"/>
  <c r="CB170" i="4"/>
  <c r="CB171" i="4"/>
  <c r="CB172" i="4"/>
  <c r="CB173" i="4"/>
  <c r="CB174" i="4"/>
  <c r="CB2" i="4"/>
  <c r="BZ214" i="4" l="1"/>
  <c r="BY214" i="4" s="1"/>
  <c r="BU214" i="4"/>
  <c r="BZ254" i="4"/>
  <c r="BY254" i="4" s="1"/>
  <c r="BU254" i="4"/>
  <c r="BU194" i="4"/>
  <c r="BZ194" i="4"/>
  <c r="BY194" i="4" s="1"/>
  <c r="BZ253" i="4"/>
  <c r="BY253" i="4" s="1"/>
  <c r="BU253" i="4"/>
  <c r="BU193" i="4"/>
  <c r="BZ193" i="4"/>
  <c r="BY193" i="4" s="1"/>
  <c r="BZ223" i="4"/>
  <c r="BY223" i="4" s="1"/>
  <c r="BU223" i="4"/>
  <c r="BZ222" i="4"/>
  <c r="BY222" i="4" s="1"/>
  <c r="BU222" i="4"/>
  <c r="T213" i="4"/>
  <c r="BX213" i="4"/>
  <c r="BW213" i="4" s="1"/>
  <c r="BX272" i="4"/>
  <c r="BW272" i="4" s="1"/>
  <c r="BV272" i="4"/>
  <c r="BX212" i="4"/>
  <c r="BW212" i="4" s="1"/>
  <c r="BV212" i="4"/>
  <c r="BX251" i="4"/>
  <c r="BW251" i="4" s="1"/>
  <c r="BV251" i="4"/>
  <c r="BX231" i="4"/>
  <c r="BW231" i="4" s="1"/>
  <c r="BV231" i="4"/>
  <c r="BX211" i="4"/>
  <c r="BW211" i="4" s="1"/>
  <c r="BV211" i="4"/>
  <c r="T231" i="4"/>
  <c r="T228" i="4"/>
  <c r="BX229" i="4"/>
  <c r="BW229" i="4" s="1"/>
  <c r="BZ218" i="4"/>
  <c r="BY218" i="4" s="1"/>
  <c r="T233" i="4"/>
  <c r="BX233" i="4"/>
  <c r="BW233" i="4" s="1"/>
  <c r="BX252" i="4"/>
  <c r="BW252" i="4" s="1"/>
  <c r="BV252" i="4"/>
  <c r="BX192" i="4"/>
  <c r="BW192" i="4" s="1"/>
  <c r="BV192" i="4"/>
  <c r="BX271" i="4"/>
  <c r="BW271" i="4" s="1"/>
  <c r="BV271" i="4"/>
  <c r="BX191" i="4"/>
  <c r="BW191" i="4" s="1"/>
  <c r="BV191" i="4"/>
  <c r="BZ236" i="4"/>
  <c r="BY236" i="4" s="1"/>
  <c r="T230" i="4"/>
  <c r="BX199" i="4"/>
  <c r="BW199" i="4" s="1"/>
  <c r="BZ235" i="4"/>
  <c r="BY235" i="4" s="1"/>
  <c r="T229" i="4"/>
  <c r="T179" i="4"/>
  <c r="BX230" i="4"/>
  <c r="BW230" i="4" s="1"/>
  <c r="BZ230" i="4"/>
  <c r="BY230" i="4" s="1"/>
  <c r="BV248" i="4"/>
  <c r="BZ248" i="4" s="1"/>
  <c r="BY248" i="4" s="1"/>
  <c r="T251" i="4"/>
  <c r="BZ217" i="4"/>
  <c r="BY217" i="4" s="1"/>
  <c r="T274" i="4"/>
  <c r="BX274" i="4"/>
  <c r="BW274" i="4" s="1"/>
  <c r="T254" i="4"/>
  <c r="BX254" i="4"/>
  <c r="BW254" i="4" s="1"/>
  <c r="T234" i="4"/>
  <c r="BX234" i="4"/>
  <c r="BW234" i="4" s="1"/>
  <c r="T214" i="4"/>
  <c r="BX214" i="4"/>
  <c r="BW214" i="4" s="1"/>
  <c r="T194" i="4"/>
  <c r="BX194" i="4"/>
  <c r="BW194" i="4" s="1"/>
  <c r="T273" i="4"/>
  <c r="BX273" i="4"/>
  <c r="BW273" i="4" s="1"/>
  <c r="T253" i="4"/>
  <c r="BX253" i="4"/>
  <c r="BW253" i="4" s="1"/>
  <c r="T193" i="4"/>
  <c r="BX193" i="4"/>
  <c r="BW193" i="4" s="1"/>
  <c r="BX232" i="4"/>
  <c r="BW232" i="4" s="1"/>
  <c r="BV232" i="4"/>
  <c r="BU228" i="4"/>
  <c r="BV213" i="4"/>
  <c r="T263" i="4"/>
  <c r="BX263" i="4"/>
  <c r="BW263" i="4" s="1"/>
  <c r="BX243" i="4"/>
  <c r="BW243" i="4" s="1"/>
  <c r="T243" i="4"/>
  <c r="T223" i="4"/>
  <c r="BX223" i="4"/>
  <c r="BW223" i="4" s="1"/>
  <c r="BX203" i="4"/>
  <c r="BW203" i="4" s="1"/>
  <c r="T203" i="4"/>
  <c r="T183" i="4"/>
  <c r="BX183" i="4"/>
  <c r="BW183" i="4" s="1"/>
  <c r="BU226" i="4"/>
  <c r="T262" i="4"/>
  <c r="BX262" i="4"/>
  <c r="BW262" i="4" s="1"/>
  <c r="T242" i="4"/>
  <c r="BX242" i="4"/>
  <c r="BW242" i="4" s="1"/>
  <c r="T222" i="4"/>
  <c r="BX222" i="4"/>
  <c r="BW222" i="4" s="1"/>
  <c r="T202" i="4"/>
  <c r="BX202" i="4"/>
  <c r="BW202" i="4" s="1"/>
  <c r="T182" i="4"/>
  <c r="BX182" i="4"/>
  <c r="BW182" i="4" s="1"/>
  <c r="T272" i="4"/>
  <c r="BU225" i="4"/>
  <c r="BV243" i="4"/>
  <c r="BZ243" i="4" s="1"/>
  <c r="BY243" i="4" s="1"/>
  <c r="BX261" i="4"/>
  <c r="BW261" i="4" s="1"/>
  <c r="BV261" i="4"/>
  <c r="BU261" i="4" s="1"/>
  <c r="BV241" i="4"/>
  <c r="BZ241" i="4" s="1"/>
  <c r="BY241" i="4" s="1"/>
  <c r="BX241" i="4"/>
  <c r="BW241" i="4" s="1"/>
  <c r="BX221" i="4"/>
  <c r="BW221" i="4" s="1"/>
  <c r="BV221" i="4"/>
  <c r="BV201" i="4"/>
  <c r="BU201" i="4" s="1"/>
  <c r="BX201" i="4"/>
  <c r="BW201" i="4" s="1"/>
  <c r="BX181" i="4"/>
  <c r="BW181" i="4" s="1"/>
  <c r="BV181" i="4"/>
  <c r="BZ181" i="4" s="1"/>
  <c r="BY181" i="4" s="1"/>
  <c r="T271" i="4"/>
  <c r="T221" i="4"/>
  <c r="BV274" i="4"/>
  <c r="BV242" i="4"/>
  <c r="BX260" i="4"/>
  <c r="BW260" i="4" s="1"/>
  <c r="BV260" i="4"/>
  <c r="BZ260" i="4" s="1"/>
  <c r="BY260" i="4" s="1"/>
  <c r="BX240" i="4"/>
  <c r="BW240" i="4" s="1"/>
  <c r="BV240" i="4"/>
  <c r="BZ240" i="4" s="1"/>
  <c r="BY240" i="4" s="1"/>
  <c r="BX220" i="4"/>
  <c r="BW220" i="4" s="1"/>
  <c r="BV220" i="4"/>
  <c r="BX200" i="4"/>
  <c r="BW200" i="4" s="1"/>
  <c r="BV200" i="4"/>
  <c r="BU200" i="4" s="1"/>
  <c r="BX180" i="4"/>
  <c r="BW180" i="4" s="1"/>
  <c r="BV180" i="4"/>
  <c r="BZ180" i="4" s="1"/>
  <c r="BY180" i="4" s="1"/>
  <c r="T270" i="4"/>
  <c r="T220" i="4"/>
  <c r="BV273" i="4"/>
  <c r="BZ239" i="4"/>
  <c r="BY239" i="4" s="1"/>
  <c r="BU239" i="4"/>
  <c r="BZ219" i="4"/>
  <c r="BY219" i="4" s="1"/>
  <c r="BU219" i="4"/>
  <c r="T269" i="4"/>
  <c r="T219" i="4"/>
  <c r="BU210" i="4"/>
  <c r="BX250" i="4"/>
  <c r="BW250" i="4" s="1"/>
  <c r="BZ196" i="4"/>
  <c r="BY196" i="4" s="1"/>
  <c r="T192" i="4"/>
  <c r="BU198" i="4"/>
  <c r="BX249" i="4"/>
  <c r="BW249" i="4" s="1"/>
  <c r="BV203" i="4"/>
  <c r="BZ203" i="4" s="1"/>
  <c r="BY203" i="4" s="1"/>
  <c r="T241" i="4"/>
  <c r="T191" i="4"/>
  <c r="BZ270" i="4"/>
  <c r="BY270" i="4" s="1"/>
  <c r="BV234" i="4"/>
  <c r="BV202" i="4"/>
  <c r="T240" i="4"/>
  <c r="T190" i="4"/>
  <c r="BX179" i="4"/>
  <c r="BW179" i="4" s="1"/>
  <c r="BZ258" i="4"/>
  <c r="BY258" i="4" s="1"/>
  <c r="BV233" i="4"/>
  <c r="BU249" i="4"/>
  <c r="BU247" i="4"/>
  <c r="BU269" i="4"/>
  <c r="BU248" i="4"/>
  <c r="BU268" i="4"/>
  <c r="BU246" i="4"/>
  <c r="BU267" i="4"/>
  <c r="BU245" i="4"/>
  <c r="BU189" i="4"/>
  <c r="BZ229" i="4"/>
  <c r="BY229" i="4" s="1"/>
  <c r="BZ209" i="4"/>
  <c r="BY209" i="4" s="1"/>
  <c r="BU266" i="4"/>
  <c r="BU243" i="4"/>
  <c r="BU188" i="4"/>
  <c r="BZ208" i="4"/>
  <c r="BY208" i="4" s="1"/>
  <c r="BU265" i="4"/>
  <c r="BU241" i="4"/>
  <c r="BU187" i="4"/>
  <c r="BU227" i="4"/>
  <c r="BZ207" i="4"/>
  <c r="BY207" i="4" s="1"/>
  <c r="BU264" i="4"/>
  <c r="BU240" i="4"/>
  <c r="BU186" i="4"/>
  <c r="BU224" i="4"/>
  <c r="BZ206" i="4"/>
  <c r="BY206" i="4" s="1"/>
  <c r="BU244" i="4"/>
  <c r="BU263" i="4"/>
  <c r="BU185" i="4"/>
  <c r="BZ205" i="4"/>
  <c r="BY205" i="4" s="1"/>
  <c r="BU262" i="4"/>
  <c r="BU184" i="4"/>
  <c r="BZ204" i="4"/>
  <c r="BY204" i="4" s="1"/>
  <c r="BU183" i="4"/>
  <c r="BU260" i="4"/>
  <c r="BU182" i="4"/>
  <c r="BU259" i="4"/>
  <c r="BU203" i="4"/>
  <c r="BZ261" i="4"/>
  <c r="BY261" i="4" s="1"/>
  <c r="BZ201" i="4"/>
  <c r="BY201" i="4" s="1"/>
  <c r="BU180" i="4"/>
  <c r="BZ200" i="4"/>
  <c r="BY200" i="4" s="1"/>
  <c r="BU181" i="4"/>
  <c r="BU179" i="4"/>
  <c r="BV116" i="4"/>
  <c r="BZ116" i="4" s="1"/>
  <c r="BV54" i="4"/>
  <c r="BZ54" i="4" s="1"/>
  <c r="BV53" i="4"/>
  <c r="BZ53" i="4" s="1"/>
  <c r="BX73" i="4"/>
  <c r="BV36" i="4"/>
  <c r="BZ36" i="4" s="1"/>
  <c r="BV35" i="4"/>
  <c r="BZ35" i="4" s="1"/>
  <c r="BV34" i="4"/>
  <c r="BZ34" i="4" s="1"/>
  <c r="BX141" i="4"/>
  <c r="BX140" i="4"/>
  <c r="BV96" i="4"/>
  <c r="BZ96" i="4" s="1"/>
  <c r="BV56" i="4"/>
  <c r="BZ56" i="4" s="1"/>
  <c r="BV13" i="4"/>
  <c r="BZ13" i="4" s="1"/>
  <c r="BX159" i="4"/>
  <c r="BX20" i="4"/>
  <c r="BX3" i="4"/>
  <c r="BX33" i="4"/>
  <c r="BV139" i="4"/>
  <c r="BZ139" i="4" s="1"/>
  <c r="BX162" i="4"/>
  <c r="BV11" i="4"/>
  <c r="BZ11" i="4" s="1"/>
  <c r="BX161" i="4"/>
  <c r="BX115" i="4"/>
  <c r="BX150" i="4"/>
  <c r="BX84" i="4"/>
  <c r="BV75" i="4"/>
  <c r="BZ75" i="4" s="1"/>
  <c r="BV95" i="4"/>
  <c r="BZ95" i="4" s="1"/>
  <c r="BX94" i="4"/>
  <c r="BV55" i="4"/>
  <c r="BZ55" i="4" s="1"/>
  <c r="BV93" i="4"/>
  <c r="BZ93" i="4" s="1"/>
  <c r="BX118" i="4"/>
  <c r="BV74" i="4"/>
  <c r="BZ74" i="4" s="1"/>
  <c r="BV76" i="4"/>
  <c r="BZ76" i="4" s="1"/>
  <c r="BX63" i="4"/>
  <c r="BV12" i="4"/>
  <c r="BZ12" i="4" s="1"/>
  <c r="BX100" i="4"/>
  <c r="BV166" i="4"/>
  <c r="BZ166" i="4" s="1"/>
  <c r="BV165" i="4"/>
  <c r="BZ165" i="4" s="1"/>
  <c r="BV23" i="4"/>
  <c r="BZ23" i="4" s="1"/>
  <c r="BX169" i="4"/>
  <c r="BX43" i="4"/>
  <c r="BV101" i="4"/>
  <c r="BZ101" i="4" s="1"/>
  <c r="BX41" i="4"/>
  <c r="BX130" i="4"/>
  <c r="BX40" i="4"/>
  <c r="BX42" i="4"/>
  <c r="BX129" i="4"/>
  <c r="BV167" i="4"/>
  <c r="BZ167" i="4" s="1"/>
  <c r="BX120" i="4"/>
  <c r="BX21" i="4"/>
  <c r="BX103" i="4"/>
  <c r="BX48" i="4"/>
  <c r="BV168" i="4"/>
  <c r="BZ168" i="4" s="1"/>
  <c r="BV83" i="4"/>
  <c r="BZ83" i="4" s="1"/>
  <c r="BX47" i="4"/>
  <c r="BX160" i="4"/>
  <c r="BV58" i="4"/>
  <c r="BZ58" i="4" s="1"/>
  <c r="BX86" i="4"/>
  <c r="BV149" i="4"/>
  <c r="BZ149" i="4" s="1"/>
  <c r="BV57" i="4"/>
  <c r="BZ57" i="4" s="1"/>
  <c r="BX151" i="4"/>
  <c r="BX85" i="4"/>
  <c r="BX148" i="4"/>
  <c r="BX82" i="4"/>
  <c r="BX16" i="4"/>
  <c r="BV128" i="4"/>
  <c r="BZ128" i="4" s="1"/>
  <c r="BX81" i="4"/>
  <c r="BV126" i="4"/>
  <c r="BZ126" i="4" s="1"/>
  <c r="BV37" i="4"/>
  <c r="BZ37" i="4" s="1"/>
  <c r="BX5" i="4"/>
  <c r="BV145" i="4"/>
  <c r="BZ145" i="4" s="1"/>
  <c r="BV19" i="4"/>
  <c r="BZ19" i="4" s="1"/>
  <c r="BV144" i="4"/>
  <c r="BZ144" i="4" s="1"/>
  <c r="BV18" i="4"/>
  <c r="BZ18" i="4" s="1"/>
  <c r="BX25" i="4"/>
  <c r="BV143" i="4"/>
  <c r="BZ143" i="4" s="1"/>
  <c r="BV17" i="4"/>
  <c r="BZ17" i="4" s="1"/>
  <c r="BX24" i="4"/>
  <c r="BV142" i="4"/>
  <c r="BZ142" i="4" s="1"/>
  <c r="BX125" i="4"/>
  <c r="BV6" i="4"/>
  <c r="BZ6" i="4" s="1"/>
  <c r="BX171" i="4"/>
  <c r="BV10" i="4"/>
  <c r="BZ10" i="4" s="1"/>
  <c r="BV102" i="4"/>
  <c r="BZ102" i="4" s="1"/>
  <c r="BV38" i="4"/>
  <c r="BZ38" i="4" s="1"/>
  <c r="BX170" i="4"/>
  <c r="BX104" i="4"/>
  <c r="BX8" i="4"/>
  <c r="BV8" i="4"/>
  <c r="BZ8" i="4" s="1"/>
  <c r="BX7" i="4"/>
  <c r="BV7" i="4"/>
  <c r="BZ7" i="4" s="1"/>
  <c r="BV88" i="4"/>
  <c r="BZ88" i="4" s="1"/>
  <c r="BX88" i="4"/>
  <c r="BV68" i="4"/>
  <c r="BZ68" i="4" s="1"/>
  <c r="BX68" i="4"/>
  <c r="BV9" i="4"/>
  <c r="BZ9" i="4" s="1"/>
  <c r="BV87" i="4"/>
  <c r="BZ87" i="4" s="1"/>
  <c r="BX87" i="4"/>
  <c r="BV67" i="4"/>
  <c r="BZ67" i="4" s="1"/>
  <c r="BX67" i="4"/>
  <c r="BV154" i="4"/>
  <c r="BZ154" i="4" s="1"/>
  <c r="BX154" i="4"/>
  <c r="BV46" i="4"/>
  <c r="BZ46" i="4" s="1"/>
  <c r="BX46" i="4"/>
  <c r="BX133" i="4"/>
  <c r="BX61" i="4"/>
  <c r="BV61" i="4"/>
  <c r="BZ61" i="4" s="1"/>
  <c r="BV147" i="4"/>
  <c r="BZ147" i="4" s="1"/>
  <c r="BX80" i="4"/>
  <c r="BV80" i="4"/>
  <c r="BZ80" i="4" s="1"/>
  <c r="BV60" i="4"/>
  <c r="BZ60" i="4" s="1"/>
  <c r="BX60" i="4"/>
  <c r="BV146" i="4"/>
  <c r="BZ146" i="4" s="1"/>
  <c r="BX22" i="4"/>
  <c r="BX124" i="4"/>
  <c r="BV124" i="4"/>
  <c r="BZ124" i="4" s="1"/>
  <c r="BX99" i="4"/>
  <c r="BV99" i="4"/>
  <c r="BZ99" i="4" s="1"/>
  <c r="BX79" i="4"/>
  <c r="BV79" i="4"/>
  <c r="BZ79" i="4" s="1"/>
  <c r="BX59" i="4"/>
  <c r="BV59" i="4"/>
  <c r="BZ59" i="4" s="1"/>
  <c r="BX39" i="4"/>
  <c r="BV39" i="4"/>
  <c r="BZ39" i="4" s="1"/>
  <c r="BV107" i="4"/>
  <c r="BZ107" i="4" s="1"/>
  <c r="BX107" i="4"/>
  <c r="BX153" i="4"/>
  <c r="BZ174" i="4"/>
  <c r="BY174" i="4" s="1"/>
  <c r="BX174" i="4"/>
  <c r="BV28" i="4"/>
  <c r="BZ28" i="4" s="1"/>
  <c r="BX28" i="4"/>
  <c r="BZ173" i="4"/>
  <c r="BY173" i="4" s="1"/>
  <c r="BX173" i="4"/>
  <c r="BV27" i="4"/>
  <c r="BZ27" i="4" s="1"/>
  <c r="BX27" i="4"/>
  <c r="BZ172" i="4"/>
  <c r="BY172" i="4" s="1"/>
  <c r="BX172" i="4"/>
  <c r="BV132" i="4"/>
  <c r="BZ132" i="4" s="1"/>
  <c r="BX132" i="4"/>
  <c r="BV106" i="4"/>
  <c r="BZ106" i="4" s="1"/>
  <c r="BX106" i="4"/>
  <c r="BV26" i="4"/>
  <c r="BZ26" i="4" s="1"/>
  <c r="BX26" i="4"/>
  <c r="BX134" i="4"/>
  <c r="BX164" i="4"/>
  <c r="BV164" i="4"/>
  <c r="BZ164" i="4" s="1"/>
  <c r="BX108" i="4"/>
  <c r="BX66" i="4"/>
  <c r="BV62" i="4"/>
  <c r="BZ62" i="4" s="1"/>
  <c r="BX152" i="4"/>
  <c r="BV122" i="4"/>
  <c r="BZ122" i="4" s="1"/>
  <c r="BV121" i="4"/>
  <c r="BZ121" i="4" s="1"/>
  <c r="BV77" i="4"/>
  <c r="BZ77" i="4" s="1"/>
  <c r="BV98" i="4"/>
  <c r="BZ98" i="4" s="1"/>
  <c r="BX45" i="4"/>
  <c r="BX15" i="4"/>
  <c r="BV97" i="4"/>
  <c r="BZ97" i="4" s="1"/>
  <c r="BX105" i="4"/>
  <c r="BX44" i="4"/>
  <c r="BX14" i="4"/>
  <c r="BX65" i="4"/>
  <c r="BV163" i="4"/>
  <c r="BZ163" i="4" s="1"/>
  <c r="BX131" i="4"/>
  <c r="BX64" i="4"/>
  <c r="BV78" i="4"/>
  <c r="BZ78" i="4" s="1"/>
  <c r="BX52" i="4"/>
  <c r="BV52" i="4"/>
  <c r="BZ52" i="4" s="1"/>
  <c r="BX157" i="4"/>
  <c r="BV157" i="4"/>
  <c r="BZ157" i="4" s="1"/>
  <c r="BX31" i="4"/>
  <c r="BV31" i="4"/>
  <c r="BZ31" i="4" s="1"/>
  <c r="BX158" i="4"/>
  <c r="BV158" i="4"/>
  <c r="BZ158" i="4" s="1"/>
  <c r="BX32" i="4"/>
  <c r="BV32" i="4"/>
  <c r="BZ32" i="4" s="1"/>
  <c r="BX137" i="4"/>
  <c r="BV137" i="4"/>
  <c r="BZ137" i="4" s="1"/>
  <c r="BX51" i="4"/>
  <c r="BV51" i="4"/>
  <c r="BZ51" i="4" s="1"/>
  <c r="BX72" i="4"/>
  <c r="BV72" i="4"/>
  <c r="BZ72" i="4" s="1"/>
  <c r="BX114" i="4"/>
  <c r="BV114" i="4"/>
  <c r="BZ114" i="4" s="1"/>
  <c r="BX71" i="4"/>
  <c r="BV71" i="4"/>
  <c r="BZ71" i="4" s="1"/>
  <c r="BX91" i="4"/>
  <c r="BV91" i="4"/>
  <c r="BZ91" i="4" s="1"/>
  <c r="BX92" i="4"/>
  <c r="BV92" i="4"/>
  <c r="BZ92" i="4" s="1"/>
  <c r="BX112" i="4"/>
  <c r="BV112" i="4"/>
  <c r="BZ112" i="4" s="1"/>
  <c r="BX138" i="4"/>
  <c r="BV138" i="4"/>
  <c r="BZ138" i="4" s="1"/>
  <c r="BX70" i="4"/>
  <c r="BV70" i="4"/>
  <c r="BZ70" i="4" s="1"/>
  <c r="BV156" i="4"/>
  <c r="BZ156" i="4" s="1"/>
  <c r="BV136" i="4"/>
  <c r="BZ136" i="4" s="1"/>
  <c r="BV111" i="4"/>
  <c r="BZ111" i="4" s="1"/>
  <c r="BV90" i="4"/>
  <c r="BZ90" i="4" s="1"/>
  <c r="BV50" i="4"/>
  <c r="BZ50" i="4" s="1"/>
  <c r="BV30" i="4"/>
  <c r="BZ30" i="4" s="1"/>
  <c r="BV155" i="4"/>
  <c r="BZ155" i="4" s="1"/>
  <c r="BV135" i="4"/>
  <c r="BZ135" i="4" s="1"/>
  <c r="BV109" i="4"/>
  <c r="BZ109" i="4" s="1"/>
  <c r="BV89" i="4"/>
  <c r="BZ89" i="4" s="1"/>
  <c r="BV69" i="4"/>
  <c r="BZ69" i="4" s="1"/>
  <c r="BV49" i="4"/>
  <c r="BZ49" i="4" s="1"/>
  <c r="BV29" i="4"/>
  <c r="BZ29" i="4" s="1"/>
  <c r="BV4" i="4"/>
  <c r="BZ4" i="4" s="1"/>
  <c r="BV2" i="4"/>
  <c r="BZ2" i="4" s="1"/>
  <c r="BZ242" i="4" l="1"/>
  <c r="BY242" i="4" s="1"/>
  <c r="BU242" i="4"/>
  <c r="BU232" i="4"/>
  <c r="BZ232" i="4"/>
  <c r="BY232" i="4" s="1"/>
  <c r="BZ274" i="4"/>
  <c r="BY274" i="4" s="1"/>
  <c r="BU274" i="4"/>
  <c r="BZ211" i="4"/>
  <c r="BY211" i="4" s="1"/>
  <c r="BU211" i="4"/>
  <c r="BZ233" i="4"/>
  <c r="BY233" i="4" s="1"/>
  <c r="BU233" i="4"/>
  <c r="BZ231" i="4"/>
  <c r="BY231" i="4" s="1"/>
  <c r="BU231" i="4"/>
  <c r="BZ273" i="4"/>
  <c r="BY273" i="4" s="1"/>
  <c r="BU273" i="4"/>
  <c r="BU251" i="4"/>
  <c r="BZ251" i="4"/>
  <c r="BY251" i="4" s="1"/>
  <c r="BZ221" i="4"/>
  <c r="BY221" i="4" s="1"/>
  <c r="BU221" i="4"/>
  <c r="BZ202" i="4"/>
  <c r="BY202" i="4" s="1"/>
  <c r="BU202" i="4"/>
  <c r="BZ191" i="4"/>
  <c r="BY191" i="4" s="1"/>
  <c r="BU191" i="4"/>
  <c r="BZ212" i="4"/>
  <c r="BY212" i="4" s="1"/>
  <c r="BU212" i="4"/>
  <c r="BU234" i="4"/>
  <c r="BZ234" i="4"/>
  <c r="BY234" i="4" s="1"/>
  <c r="BU271" i="4"/>
  <c r="BZ271" i="4"/>
  <c r="BY271" i="4" s="1"/>
  <c r="BU272" i="4"/>
  <c r="BZ272" i="4"/>
  <c r="BY272" i="4" s="1"/>
  <c r="BU192" i="4"/>
  <c r="BZ192" i="4"/>
  <c r="BY192" i="4" s="1"/>
  <c r="BZ220" i="4"/>
  <c r="BY220" i="4" s="1"/>
  <c r="BU220" i="4"/>
  <c r="BZ252" i="4"/>
  <c r="BY252" i="4" s="1"/>
  <c r="BU252" i="4"/>
  <c r="BU213" i="4"/>
  <c r="BZ213" i="4"/>
  <c r="BY213" i="4" s="1"/>
  <c r="AB3" i="4"/>
  <c r="AC3" i="4" s="1"/>
  <c r="BP3" i="4" s="1"/>
  <c r="AB4" i="4"/>
  <c r="AC4" i="4" s="1"/>
  <c r="BP4" i="4" s="1"/>
  <c r="AB5" i="4"/>
  <c r="AC5" i="4" s="1"/>
  <c r="BP5" i="4" s="1"/>
  <c r="AB6" i="4"/>
  <c r="AC6" i="4" s="1"/>
  <c r="BP6" i="4" s="1"/>
  <c r="AB7" i="4"/>
  <c r="AC7" i="4" s="1"/>
  <c r="BP7" i="4" s="1"/>
  <c r="AB8" i="4"/>
  <c r="AC8" i="4" s="1"/>
  <c r="BP8" i="4" s="1"/>
  <c r="AB9" i="4"/>
  <c r="AC9" i="4" s="1"/>
  <c r="BP9" i="4" s="1"/>
  <c r="AB10" i="4"/>
  <c r="AC10" i="4" s="1"/>
  <c r="BP10" i="4" s="1"/>
  <c r="AB11" i="4"/>
  <c r="AC11" i="4" s="1"/>
  <c r="BP11" i="4" s="1"/>
  <c r="AB12" i="4"/>
  <c r="AC12" i="4" s="1"/>
  <c r="BP12" i="4" s="1"/>
  <c r="AB13" i="4"/>
  <c r="AC13" i="4" s="1"/>
  <c r="BP13" i="4" s="1"/>
  <c r="AB14" i="4"/>
  <c r="AC14" i="4" s="1"/>
  <c r="BP14" i="4" s="1"/>
  <c r="AB15" i="4"/>
  <c r="AC15" i="4" s="1"/>
  <c r="BP15" i="4" s="1"/>
  <c r="AB16" i="4"/>
  <c r="AC16" i="4" s="1"/>
  <c r="BP16" i="4" s="1"/>
  <c r="AB17" i="4"/>
  <c r="AC17" i="4" s="1"/>
  <c r="BP17" i="4" s="1"/>
  <c r="AB18" i="4"/>
  <c r="AC18" i="4" s="1"/>
  <c r="BP18" i="4" s="1"/>
  <c r="AB19" i="4"/>
  <c r="AC19" i="4" s="1"/>
  <c r="BP19" i="4" s="1"/>
  <c r="AB20" i="4"/>
  <c r="AC20" i="4" s="1"/>
  <c r="BP20" i="4" s="1"/>
  <c r="AB21" i="4"/>
  <c r="AC21" i="4" s="1"/>
  <c r="BP21" i="4" s="1"/>
  <c r="AB22" i="4"/>
  <c r="AC22" i="4" s="1"/>
  <c r="BP22" i="4" s="1"/>
  <c r="AB23" i="4"/>
  <c r="AC23" i="4" s="1"/>
  <c r="BP23" i="4" s="1"/>
  <c r="AB24" i="4"/>
  <c r="AC24" i="4" s="1"/>
  <c r="BP24" i="4" s="1"/>
  <c r="AB25" i="4"/>
  <c r="AC25" i="4" s="1"/>
  <c r="BP25" i="4" s="1"/>
  <c r="AB26" i="4"/>
  <c r="AC26" i="4" s="1"/>
  <c r="BP26" i="4" s="1"/>
  <c r="AB27" i="4"/>
  <c r="AC27" i="4" s="1"/>
  <c r="BP27" i="4" s="1"/>
  <c r="AB28" i="4"/>
  <c r="AC28" i="4" s="1"/>
  <c r="BP28" i="4" s="1"/>
  <c r="AB29" i="4"/>
  <c r="AC29" i="4" s="1"/>
  <c r="BP29" i="4" s="1"/>
  <c r="AB30" i="4"/>
  <c r="AC30" i="4" s="1"/>
  <c r="BP30" i="4" s="1"/>
  <c r="AB31" i="4"/>
  <c r="AC31" i="4" s="1"/>
  <c r="BP31" i="4" s="1"/>
  <c r="AB32" i="4"/>
  <c r="AC32" i="4" s="1"/>
  <c r="BP32" i="4" s="1"/>
  <c r="AB33" i="4"/>
  <c r="AC33" i="4" s="1"/>
  <c r="BP33" i="4" s="1"/>
  <c r="AB34" i="4"/>
  <c r="AC34" i="4" s="1"/>
  <c r="BP34" i="4" s="1"/>
  <c r="AB35" i="4"/>
  <c r="AC35" i="4" s="1"/>
  <c r="BP35" i="4" s="1"/>
  <c r="AB36" i="4"/>
  <c r="AC36" i="4" s="1"/>
  <c r="BP36" i="4" s="1"/>
  <c r="AB37" i="4"/>
  <c r="AC37" i="4" s="1"/>
  <c r="BP37" i="4" s="1"/>
  <c r="AB38" i="4"/>
  <c r="AC38" i="4" s="1"/>
  <c r="BP38" i="4" s="1"/>
  <c r="AB39" i="4"/>
  <c r="AC39" i="4" s="1"/>
  <c r="BP39" i="4" s="1"/>
  <c r="AB40" i="4"/>
  <c r="AC40" i="4" s="1"/>
  <c r="BP40" i="4" s="1"/>
  <c r="AB41" i="4"/>
  <c r="AC41" i="4" s="1"/>
  <c r="BP41" i="4" s="1"/>
  <c r="AB42" i="4"/>
  <c r="AC42" i="4" s="1"/>
  <c r="BP42" i="4" s="1"/>
  <c r="AB43" i="4"/>
  <c r="AC43" i="4" s="1"/>
  <c r="BP43" i="4" s="1"/>
  <c r="AB44" i="4"/>
  <c r="AC44" i="4" s="1"/>
  <c r="BP44" i="4" s="1"/>
  <c r="AB45" i="4"/>
  <c r="AC45" i="4" s="1"/>
  <c r="BP45" i="4" s="1"/>
  <c r="AB46" i="4"/>
  <c r="AC46" i="4" s="1"/>
  <c r="BP46" i="4" s="1"/>
  <c r="AB47" i="4"/>
  <c r="AC47" i="4" s="1"/>
  <c r="BP47" i="4" s="1"/>
  <c r="AB48" i="4"/>
  <c r="AC48" i="4" s="1"/>
  <c r="BP48" i="4" s="1"/>
  <c r="AB49" i="4"/>
  <c r="AC49" i="4" s="1"/>
  <c r="BP49" i="4" s="1"/>
  <c r="AB50" i="4"/>
  <c r="AC50" i="4" s="1"/>
  <c r="BP50" i="4" s="1"/>
  <c r="AB51" i="4"/>
  <c r="AC51" i="4" s="1"/>
  <c r="BP51" i="4" s="1"/>
  <c r="AB52" i="4"/>
  <c r="AC52" i="4" s="1"/>
  <c r="BP52" i="4" s="1"/>
  <c r="AB53" i="4"/>
  <c r="AC53" i="4" s="1"/>
  <c r="BP53" i="4" s="1"/>
  <c r="AB54" i="4"/>
  <c r="AC54" i="4" s="1"/>
  <c r="BP54" i="4" s="1"/>
  <c r="AB55" i="4"/>
  <c r="AC55" i="4" s="1"/>
  <c r="BP55" i="4" s="1"/>
  <c r="AB56" i="4"/>
  <c r="AC56" i="4" s="1"/>
  <c r="BP56" i="4" s="1"/>
  <c r="AB57" i="4"/>
  <c r="AC57" i="4" s="1"/>
  <c r="BP57" i="4" s="1"/>
  <c r="AB58" i="4"/>
  <c r="AC58" i="4" s="1"/>
  <c r="BP58" i="4" s="1"/>
  <c r="AB59" i="4"/>
  <c r="AC59" i="4" s="1"/>
  <c r="BP59" i="4" s="1"/>
  <c r="AB60" i="4"/>
  <c r="AC60" i="4" s="1"/>
  <c r="BP60" i="4" s="1"/>
  <c r="AB61" i="4"/>
  <c r="AC61" i="4" s="1"/>
  <c r="BP61" i="4" s="1"/>
  <c r="AB62" i="4"/>
  <c r="AC62" i="4" s="1"/>
  <c r="BP62" i="4" s="1"/>
  <c r="AB63" i="4"/>
  <c r="AC63" i="4" s="1"/>
  <c r="BP63" i="4" s="1"/>
  <c r="AB64" i="4"/>
  <c r="AC64" i="4" s="1"/>
  <c r="BP64" i="4" s="1"/>
  <c r="AB65" i="4"/>
  <c r="AC65" i="4" s="1"/>
  <c r="BP65" i="4" s="1"/>
  <c r="AB66" i="4"/>
  <c r="AC66" i="4" s="1"/>
  <c r="BP66" i="4" s="1"/>
  <c r="AB67" i="4"/>
  <c r="AC67" i="4" s="1"/>
  <c r="BP67" i="4" s="1"/>
  <c r="AB68" i="4"/>
  <c r="AC68" i="4" s="1"/>
  <c r="BP68" i="4" s="1"/>
  <c r="AB69" i="4"/>
  <c r="AC69" i="4" s="1"/>
  <c r="BP69" i="4" s="1"/>
  <c r="AB70" i="4"/>
  <c r="AC70" i="4" s="1"/>
  <c r="BP70" i="4" s="1"/>
  <c r="AB71" i="4"/>
  <c r="AC71" i="4" s="1"/>
  <c r="BP71" i="4" s="1"/>
  <c r="AB72" i="4"/>
  <c r="AC72" i="4" s="1"/>
  <c r="BP72" i="4" s="1"/>
  <c r="AB73" i="4"/>
  <c r="AC73" i="4" s="1"/>
  <c r="BP73" i="4" s="1"/>
  <c r="AB74" i="4"/>
  <c r="AC74" i="4" s="1"/>
  <c r="BP74" i="4" s="1"/>
  <c r="AB75" i="4"/>
  <c r="AC75" i="4" s="1"/>
  <c r="BP75" i="4" s="1"/>
  <c r="AB76" i="4"/>
  <c r="AC76" i="4" s="1"/>
  <c r="BP76" i="4" s="1"/>
  <c r="AB77" i="4"/>
  <c r="AC77" i="4" s="1"/>
  <c r="BP77" i="4" s="1"/>
  <c r="AB78" i="4"/>
  <c r="AC78" i="4" s="1"/>
  <c r="BP78" i="4" s="1"/>
  <c r="AB79" i="4"/>
  <c r="AC79" i="4" s="1"/>
  <c r="BP79" i="4" s="1"/>
  <c r="AB80" i="4"/>
  <c r="AC80" i="4" s="1"/>
  <c r="BP80" i="4" s="1"/>
  <c r="AB81" i="4"/>
  <c r="AC81" i="4" s="1"/>
  <c r="BP81" i="4" s="1"/>
  <c r="AB82" i="4"/>
  <c r="AC82" i="4" s="1"/>
  <c r="BP82" i="4" s="1"/>
  <c r="AB83" i="4"/>
  <c r="AC83" i="4" s="1"/>
  <c r="BP83" i="4" s="1"/>
  <c r="AB84" i="4"/>
  <c r="AC84" i="4" s="1"/>
  <c r="BP84" i="4" s="1"/>
  <c r="AB85" i="4"/>
  <c r="AC85" i="4" s="1"/>
  <c r="BP85" i="4" s="1"/>
  <c r="AB86" i="4"/>
  <c r="AC86" i="4" s="1"/>
  <c r="BP86" i="4" s="1"/>
  <c r="AB87" i="4"/>
  <c r="AC87" i="4" s="1"/>
  <c r="BP87" i="4" s="1"/>
  <c r="AB88" i="4"/>
  <c r="AC88" i="4" s="1"/>
  <c r="BP88" i="4" s="1"/>
  <c r="AB89" i="4"/>
  <c r="AC89" i="4" s="1"/>
  <c r="BP89" i="4" s="1"/>
  <c r="AB90" i="4"/>
  <c r="AC90" i="4" s="1"/>
  <c r="BP90" i="4" s="1"/>
  <c r="AB91" i="4"/>
  <c r="AC91" i="4" s="1"/>
  <c r="BP91" i="4" s="1"/>
  <c r="AB92" i="4"/>
  <c r="AC92" i="4" s="1"/>
  <c r="BP92" i="4" s="1"/>
  <c r="AB93" i="4"/>
  <c r="AC93" i="4" s="1"/>
  <c r="BP93" i="4" s="1"/>
  <c r="AB94" i="4"/>
  <c r="AC94" i="4" s="1"/>
  <c r="BP94" i="4" s="1"/>
  <c r="AB95" i="4"/>
  <c r="AC95" i="4" s="1"/>
  <c r="BP95" i="4" s="1"/>
  <c r="AB96" i="4"/>
  <c r="AC96" i="4" s="1"/>
  <c r="BP96" i="4" s="1"/>
  <c r="AB97" i="4"/>
  <c r="AC97" i="4" s="1"/>
  <c r="BP97" i="4" s="1"/>
  <c r="AB98" i="4"/>
  <c r="AC98" i="4" s="1"/>
  <c r="BP98" i="4" s="1"/>
  <c r="AB99" i="4"/>
  <c r="AC99" i="4" s="1"/>
  <c r="BP99" i="4" s="1"/>
  <c r="AB100" i="4"/>
  <c r="AC100" i="4" s="1"/>
  <c r="BP100" i="4" s="1"/>
  <c r="AB101" i="4"/>
  <c r="AC101" i="4" s="1"/>
  <c r="BP101" i="4" s="1"/>
  <c r="AB102" i="4"/>
  <c r="AC102" i="4" s="1"/>
  <c r="BP102" i="4" s="1"/>
  <c r="AB103" i="4"/>
  <c r="AC103" i="4" s="1"/>
  <c r="BP103" i="4" s="1"/>
  <c r="AB104" i="4"/>
  <c r="AC104" i="4" s="1"/>
  <c r="BP104" i="4" s="1"/>
  <c r="AB105" i="4"/>
  <c r="AC105" i="4" s="1"/>
  <c r="BP105" i="4" s="1"/>
  <c r="AB106" i="4"/>
  <c r="AC106" i="4" s="1"/>
  <c r="BP106" i="4" s="1"/>
  <c r="AB107" i="4"/>
  <c r="AC107" i="4" s="1"/>
  <c r="BP107" i="4" s="1"/>
  <c r="AB108" i="4"/>
  <c r="AC108" i="4" s="1"/>
  <c r="BP108" i="4" s="1"/>
  <c r="AB109" i="4"/>
  <c r="AC109" i="4" s="1"/>
  <c r="BP109" i="4" s="1"/>
  <c r="AB111" i="4"/>
  <c r="AC111" i="4" s="1"/>
  <c r="BP111" i="4" s="1"/>
  <c r="AB112" i="4"/>
  <c r="AC112" i="4" s="1"/>
  <c r="BP112" i="4" s="1"/>
  <c r="AB114" i="4"/>
  <c r="AC114" i="4" s="1"/>
  <c r="BP114" i="4" s="1"/>
  <c r="AB115" i="4"/>
  <c r="AC115" i="4" s="1"/>
  <c r="BP115" i="4" s="1"/>
  <c r="AB116" i="4"/>
  <c r="AC116" i="4" s="1"/>
  <c r="BP116" i="4" s="1"/>
  <c r="AB118" i="4"/>
  <c r="AC118" i="4" s="1"/>
  <c r="BP118" i="4" s="1"/>
  <c r="AB120" i="4"/>
  <c r="AC120" i="4" s="1"/>
  <c r="BP120" i="4" s="1"/>
  <c r="AB121" i="4"/>
  <c r="AC121" i="4" s="1"/>
  <c r="BP121" i="4" s="1"/>
  <c r="AB122" i="4"/>
  <c r="AC122" i="4" s="1"/>
  <c r="BP122" i="4" s="1"/>
  <c r="AB124" i="4"/>
  <c r="AC124" i="4" s="1"/>
  <c r="BP124" i="4" s="1"/>
  <c r="AB125" i="4"/>
  <c r="AC125" i="4" s="1"/>
  <c r="BP125" i="4" s="1"/>
  <c r="AB126" i="4"/>
  <c r="AC126" i="4" s="1"/>
  <c r="BP126" i="4" s="1"/>
  <c r="AB128" i="4"/>
  <c r="AC128" i="4" s="1"/>
  <c r="BP128" i="4" s="1"/>
  <c r="AB129" i="4"/>
  <c r="AC129" i="4" s="1"/>
  <c r="BP129" i="4" s="1"/>
  <c r="AB130" i="4"/>
  <c r="AC130" i="4" s="1"/>
  <c r="BP130" i="4" s="1"/>
  <c r="AB131" i="4"/>
  <c r="AC131" i="4" s="1"/>
  <c r="BP131" i="4" s="1"/>
  <c r="AB132" i="4"/>
  <c r="AC132" i="4" s="1"/>
  <c r="BP132" i="4" s="1"/>
  <c r="AB133" i="4"/>
  <c r="AC133" i="4" s="1"/>
  <c r="BP133" i="4" s="1"/>
  <c r="AB134" i="4"/>
  <c r="AC134" i="4" s="1"/>
  <c r="BP134" i="4" s="1"/>
  <c r="AB135" i="4"/>
  <c r="AC135" i="4" s="1"/>
  <c r="BP135" i="4" s="1"/>
  <c r="AB136" i="4"/>
  <c r="AC136" i="4" s="1"/>
  <c r="BP136" i="4" s="1"/>
  <c r="AB137" i="4"/>
  <c r="AC137" i="4" s="1"/>
  <c r="BP137" i="4" s="1"/>
  <c r="AB138" i="4"/>
  <c r="AC138" i="4" s="1"/>
  <c r="BP138" i="4" s="1"/>
  <c r="AB139" i="4"/>
  <c r="AC139" i="4" s="1"/>
  <c r="BP139" i="4" s="1"/>
  <c r="AB140" i="4"/>
  <c r="AC140" i="4" s="1"/>
  <c r="BP140" i="4" s="1"/>
  <c r="AB141" i="4"/>
  <c r="AC141" i="4" s="1"/>
  <c r="BP141" i="4" s="1"/>
  <c r="AB142" i="4"/>
  <c r="AC142" i="4" s="1"/>
  <c r="BP142" i="4" s="1"/>
  <c r="AB143" i="4"/>
  <c r="AC143" i="4" s="1"/>
  <c r="BP143" i="4" s="1"/>
  <c r="AB144" i="4"/>
  <c r="AC144" i="4" s="1"/>
  <c r="BP144" i="4" s="1"/>
  <c r="AB145" i="4"/>
  <c r="AC145" i="4" s="1"/>
  <c r="BP145" i="4" s="1"/>
  <c r="AB146" i="4"/>
  <c r="AC146" i="4" s="1"/>
  <c r="BP146" i="4" s="1"/>
  <c r="AB147" i="4"/>
  <c r="AC147" i="4" s="1"/>
  <c r="BP147" i="4" s="1"/>
  <c r="AB148" i="4"/>
  <c r="AC148" i="4" s="1"/>
  <c r="BP148" i="4" s="1"/>
  <c r="AB149" i="4"/>
  <c r="AC149" i="4" s="1"/>
  <c r="BP149" i="4" s="1"/>
  <c r="AB150" i="4"/>
  <c r="AC150" i="4" s="1"/>
  <c r="BP150" i="4" s="1"/>
  <c r="AB151" i="4"/>
  <c r="AC151" i="4" s="1"/>
  <c r="BP151" i="4" s="1"/>
  <c r="AB152" i="4"/>
  <c r="AC152" i="4" s="1"/>
  <c r="BP152" i="4" s="1"/>
  <c r="AB153" i="4"/>
  <c r="AC153" i="4" s="1"/>
  <c r="BP153" i="4" s="1"/>
  <c r="AB154" i="4"/>
  <c r="AC154" i="4" s="1"/>
  <c r="BP154" i="4" s="1"/>
  <c r="AB155" i="4"/>
  <c r="AC155" i="4" s="1"/>
  <c r="BP155" i="4" s="1"/>
  <c r="AB156" i="4"/>
  <c r="AC156" i="4" s="1"/>
  <c r="BP156" i="4" s="1"/>
  <c r="AB157" i="4"/>
  <c r="AC157" i="4" s="1"/>
  <c r="BP157" i="4" s="1"/>
  <c r="AB158" i="4"/>
  <c r="AC158" i="4" s="1"/>
  <c r="BP158" i="4" s="1"/>
  <c r="AB159" i="4"/>
  <c r="AC159" i="4" s="1"/>
  <c r="BP159" i="4" s="1"/>
  <c r="AB160" i="4"/>
  <c r="AC160" i="4" s="1"/>
  <c r="BP160" i="4" s="1"/>
  <c r="AB161" i="4"/>
  <c r="AC161" i="4" s="1"/>
  <c r="BP161" i="4" s="1"/>
  <c r="AB162" i="4"/>
  <c r="AC162" i="4" s="1"/>
  <c r="BP162" i="4" s="1"/>
  <c r="AB163" i="4"/>
  <c r="AC163" i="4" s="1"/>
  <c r="BP163" i="4" s="1"/>
  <c r="AB164" i="4"/>
  <c r="AC164" i="4" s="1"/>
  <c r="BP164" i="4" s="1"/>
  <c r="AB165" i="4"/>
  <c r="AC165" i="4" s="1"/>
  <c r="BP165" i="4" s="1"/>
  <c r="AB166" i="4"/>
  <c r="AC166" i="4" s="1"/>
  <c r="BP166" i="4" s="1"/>
  <c r="AB167" i="4"/>
  <c r="AC167" i="4" s="1"/>
  <c r="BP167" i="4" s="1"/>
  <c r="AB168" i="4"/>
  <c r="AC168" i="4" s="1"/>
  <c r="BP168" i="4" s="1"/>
  <c r="AB169" i="4"/>
  <c r="AC169" i="4" s="1"/>
  <c r="BP169" i="4" s="1"/>
  <c r="AB170" i="4"/>
  <c r="AC170" i="4" s="1"/>
  <c r="BP170" i="4" s="1"/>
  <c r="AB171" i="4"/>
  <c r="AC171" i="4" s="1"/>
  <c r="BP171" i="4" s="1"/>
  <c r="AB172" i="4"/>
  <c r="AC172" i="4" s="1"/>
  <c r="BP172" i="4" s="1"/>
  <c r="AB173" i="4"/>
  <c r="AC173" i="4" s="1"/>
  <c r="BP173" i="4" s="1"/>
  <c r="AB174" i="4"/>
  <c r="AC174" i="4" s="1"/>
  <c r="BP174" i="4" s="1"/>
  <c r="AB2" i="4"/>
  <c r="AC2" i="4" s="1"/>
  <c r="BP2" i="4" s="1"/>
  <c r="BN3" i="4"/>
  <c r="BN4" i="4"/>
  <c r="BN5" i="4"/>
  <c r="BN6" i="4"/>
  <c r="BN7" i="4"/>
  <c r="BN8" i="4"/>
  <c r="BN9" i="4"/>
  <c r="BN10" i="4"/>
  <c r="BN11" i="4"/>
  <c r="BN12" i="4"/>
  <c r="BN13" i="4"/>
  <c r="BN14" i="4"/>
  <c r="BN15" i="4"/>
  <c r="BN16" i="4"/>
  <c r="BN17" i="4"/>
  <c r="BN18" i="4"/>
  <c r="BN19" i="4"/>
  <c r="BN20" i="4"/>
  <c r="BN21" i="4"/>
  <c r="BN22" i="4"/>
  <c r="BN23" i="4"/>
  <c r="BN24" i="4"/>
  <c r="BN25" i="4"/>
  <c r="BN26" i="4"/>
  <c r="BN27" i="4"/>
  <c r="BN28" i="4"/>
  <c r="BN29" i="4"/>
  <c r="BN30" i="4"/>
  <c r="BN31" i="4"/>
  <c r="BN32" i="4"/>
  <c r="BN33" i="4"/>
  <c r="BN34" i="4"/>
  <c r="BN35" i="4"/>
  <c r="BN36" i="4"/>
  <c r="BN37" i="4"/>
  <c r="BN38" i="4"/>
  <c r="BN39" i="4"/>
  <c r="BN40" i="4"/>
  <c r="BN41" i="4"/>
  <c r="BN42" i="4"/>
  <c r="BN43" i="4"/>
  <c r="BN44" i="4"/>
  <c r="BN45" i="4"/>
  <c r="BN46" i="4"/>
  <c r="BN47" i="4"/>
  <c r="BN48" i="4"/>
  <c r="BN49" i="4"/>
  <c r="BN50" i="4"/>
  <c r="BN51" i="4"/>
  <c r="BN52" i="4"/>
  <c r="BN53" i="4"/>
  <c r="BN54" i="4"/>
  <c r="BN55" i="4"/>
  <c r="BN56" i="4"/>
  <c r="BN57" i="4"/>
  <c r="BN58" i="4"/>
  <c r="BN59" i="4"/>
  <c r="BN60" i="4"/>
  <c r="BN61" i="4"/>
  <c r="BN62" i="4"/>
  <c r="BN63" i="4"/>
  <c r="BN64" i="4"/>
  <c r="BN65" i="4"/>
  <c r="BN66" i="4"/>
  <c r="BN67" i="4"/>
  <c r="BN68" i="4"/>
  <c r="BN69" i="4"/>
  <c r="BN70" i="4"/>
  <c r="BN71" i="4"/>
  <c r="BN72" i="4"/>
  <c r="BN73" i="4"/>
  <c r="BN74" i="4"/>
  <c r="BN75" i="4"/>
  <c r="BN76" i="4"/>
  <c r="BN77" i="4"/>
  <c r="BN78" i="4"/>
  <c r="BN79" i="4"/>
  <c r="BN80" i="4"/>
  <c r="BN81" i="4"/>
  <c r="BN82" i="4"/>
  <c r="BN83" i="4"/>
  <c r="BN84" i="4"/>
  <c r="BN85" i="4"/>
  <c r="BN86" i="4"/>
  <c r="BN87" i="4"/>
  <c r="BN88" i="4"/>
  <c r="BN89" i="4"/>
  <c r="BN90" i="4"/>
  <c r="BN91" i="4"/>
  <c r="BN92" i="4"/>
  <c r="BN93" i="4"/>
  <c r="BN94" i="4"/>
  <c r="BN95" i="4"/>
  <c r="BN96" i="4"/>
  <c r="BN97" i="4"/>
  <c r="BN98" i="4"/>
  <c r="BN99" i="4"/>
  <c r="BN100" i="4"/>
  <c r="BN101" i="4"/>
  <c r="BN102" i="4"/>
  <c r="BN103" i="4"/>
  <c r="BN104" i="4"/>
  <c r="BN105" i="4"/>
  <c r="BN106" i="4"/>
  <c r="BN107" i="4"/>
  <c r="BN108" i="4"/>
  <c r="BN109" i="4"/>
  <c r="BN111" i="4"/>
  <c r="BN112" i="4"/>
  <c r="BN114" i="4"/>
  <c r="BN115" i="4"/>
  <c r="BN116" i="4"/>
  <c r="BN118" i="4"/>
  <c r="BN120" i="4"/>
  <c r="BN121" i="4"/>
  <c r="BN122" i="4"/>
  <c r="BN124" i="4"/>
  <c r="BN125" i="4"/>
  <c r="BN126" i="4"/>
  <c r="BN128" i="4"/>
  <c r="BN129" i="4"/>
  <c r="BN130" i="4"/>
  <c r="BN131" i="4"/>
  <c r="BN132" i="4"/>
  <c r="BN133" i="4"/>
  <c r="BN134" i="4"/>
  <c r="BN135" i="4"/>
  <c r="BN136" i="4"/>
  <c r="BN137" i="4"/>
  <c r="BN138" i="4"/>
  <c r="BN139" i="4"/>
  <c r="BN140" i="4"/>
  <c r="BN141" i="4"/>
  <c r="BN142" i="4"/>
  <c r="BN143" i="4"/>
  <c r="BN144" i="4"/>
  <c r="BN145" i="4"/>
  <c r="BN146" i="4"/>
  <c r="BN147" i="4"/>
  <c r="BN148" i="4"/>
  <c r="BN149" i="4"/>
  <c r="BN150" i="4"/>
  <c r="BN151" i="4"/>
  <c r="BN152" i="4"/>
  <c r="BN153" i="4"/>
  <c r="BN154" i="4"/>
  <c r="BN155" i="4"/>
  <c r="BN156" i="4"/>
  <c r="BN157" i="4"/>
  <c r="BN158" i="4"/>
  <c r="BN159" i="4"/>
  <c r="BN160" i="4"/>
  <c r="BN161" i="4"/>
  <c r="BN162" i="4"/>
  <c r="BN163" i="4"/>
  <c r="BN164" i="4"/>
  <c r="BN165" i="4"/>
  <c r="BN166" i="4"/>
  <c r="BN167" i="4"/>
  <c r="BN168" i="4"/>
  <c r="BN169" i="4"/>
  <c r="BN170" i="4"/>
  <c r="BN171" i="4"/>
  <c r="BN172" i="4"/>
  <c r="BN173" i="4"/>
  <c r="BN174" i="4"/>
  <c r="BN2" i="4"/>
  <c r="T3" i="4" l="1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1" i="4"/>
  <c r="T112" i="4"/>
  <c r="T114" i="4"/>
  <c r="T115" i="4"/>
  <c r="T116" i="4"/>
  <c r="T118" i="4"/>
  <c r="T120" i="4"/>
  <c r="T121" i="4"/>
  <c r="T122" i="4"/>
  <c r="T124" i="4"/>
  <c r="T125" i="4"/>
  <c r="T126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2" i="4"/>
  <c r="S3" i="4"/>
  <c r="CJ3" i="4" s="1"/>
  <c r="S4" i="4"/>
  <c r="CJ4" i="4" s="1"/>
  <c r="S5" i="4"/>
  <c r="CJ5" i="4" s="1"/>
  <c r="S6" i="4"/>
  <c r="CJ6" i="4" s="1"/>
  <c r="S7" i="4"/>
  <c r="CJ7" i="4" s="1"/>
  <c r="S8" i="4"/>
  <c r="CJ8" i="4" s="1"/>
  <c r="S9" i="4"/>
  <c r="CJ9" i="4" s="1"/>
  <c r="S10" i="4"/>
  <c r="CJ10" i="4" s="1"/>
  <c r="S11" i="4"/>
  <c r="CJ11" i="4" s="1"/>
  <c r="S12" i="4"/>
  <c r="CJ12" i="4" s="1"/>
  <c r="S13" i="4"/>
  <c r="CJ13" i="4" s="1"/>
  <c r="S14" i="4"/>
  <c r="CJ14" i="4" s="1"/>
  <c r="S15" i="4"/>
  <c r="CJ15" i="4" s="1"/>
  <c r="S16" i="4"/>
  <c r="CJ16" i="4" s="1"/>
  <c r="S17" i="4"/>
  <c r="CJ17" i="4" s="1"/>
  <c r="S18" i="4"/>
  <c r="CJ18" i="4" s="1"/>
  <c r="S19" i="4"/>
  <c r="CJ19" i="4" s="1"/>
  <c r="S20" i="4"/>
  <c r="CJ20" i="4" s="1"/>
  <c r="S21" i="4"/>
  <c r="CJ21" i="4" s="1"/>
  <c r="S22" i="4"/>
  <c r="CJ22" i="4" s="1"/>
  <c r="S23" i="4"/>
  <c r="CJ23" i="4" s="1"/>
  <c r="S24" i="4"/>
  <c r="CJ24" i="4" s="1"/>
  <c r="S25" i="4"/>
  <c r="CJ25" i="4" s="1"/>
  <c r="S26" i="4"/>
  <c r="CJ26" i="4" s="1"/>
  <c r="S27" i="4"/>
  <c r="CJ27" i="4" s="1"/>
  <c r="S28" i="4"/>
  <c r="CJ28" i="4" s="1"/>
  <c r="S29" i="4"/>
  <c r="CJ29" i="4" s="1"/>
  <c r="S30" i="4"/>
  <c r="CJ30" i="4" s="1"/>
  <c r="S31" i="4"/>
  <c r="CJ31" i="4" s="1"/>
  <c r="S32" i="4"/>
  <c r="CJ32" i="4" s="1"/>
  <c r="S33" i="4"/>
  <c r="CJ33" i="4" s="1"/>
  <c r="S34" i="4"/>
  <c r="CJ34" i="4" s="1"/>
  <c r="S35" i="4"/>
  <c r="CJ35" i="4" s="1"/>
  <c r="S36" i="4"/>
  <c r="CJ36" i="4" s="1"/>
  <c r="S37" i="4"/>
  <c r="CJ37" i="4" s="1"/>
  <c r="S38" i="4"/>
  <c r="CJ38" i="4" s="1"/>
  <c r="S39" i="4"/>
  <c r="CJ39" i="4" s="1"/>
  <c r="S40" i="4"/>
  <c r="CJ40" i="4" s="1"/>
  <c r="S41" i="4"/>
  <c r="CJ41" i="4" s="1"/>
  <c r="S42" i="4"/>
  <c r="CJ42" i="4" s="1"/>
  <c r="S43" i="4"/>
  <c r="CJ43" i="4" s="1"/>
  <c r="S44" i="4"/>
  <c r="CJ44" i="4" s="1"/>
  <c r="S45" i="4"/>
  <c r="CJ45" i="4" s="1"/>
  <c r="S46" i="4"/>
  <c r="CJ46" i="4" s="1"/>
  <c r="S47" i="4"/>
  <c r="CJ47" i="4" s="1"/>
  <c r="S48" i="4"/>
  <c r="CJ48" i="4" s="1"/>
  <c r="S49" i="4"/>
  <c r="CJ49" i="4" s="1"/>
  <c r="S50" i="4"/>
  <c r="CJ50" i="4" s="1"/>
  <c r="S51" i="4"/>
  <c r="CJ51" i="4" s="1"/>
  <c r="S52" i="4"/>
  <c r="CJ52" i="4" s="1"/>
  <c r="S53" i="4"/>
  <c r="CJ53" i="4" s="1"/>
  <c r="S54" i="4"/>
  <c r="CJ54" i="4" s="1"/>
  <c r="S55" i="4"/>
  <c r="CJ55" i="4" s="1"/>
  <c r="S56" i="4"/>
  <c r="CJ56" i="4" s="1"/>
  <c r="S57" i="4"/>
  <c r="CJ57" i="4" s="1"/>
  <c r="S58" i="4"/>
  <c r="CJ58" i="4" s="1"/>
  <c r="S59" i="4"/>
  <c r="CJ59" i="4" s="1"/>
  <c r="S60" i="4"/>
  <c r="CJ60" i="4" s="1"/>
  <c r="S61" i="4"/>
  <c r="CJ61" i="4" s="1"/>
  <c r="S62" i="4"/>
  <c r="CJ62" i="4" s="1"/>
  <c r="S63" i="4"/>
  <c r="CJ63" i="4" s="1"/>
  <c r="S64" i="4"/>
  <c r="CJ64" i="4" s="1"/>
  <c r="S65" i="4"/>
  <c r="CJ65" i="4" s="1"/>
  <c r="S66" i="4"/>
  <c r="CJ66" i="4" s="1"/>
  <c r="S67" i="4"/>
  <c r="CJ67" i="4" s="1"/>
  <c r="S68" i="4"/>
  <c r="CJ68" i="4" s="1"/>
  <c r="S69" i="4"/>
  <c r="CJ69" i="4" s="1"/>
  <c r="S70" i="4"/>
  <c r="CJ70" i="4" s="1"/>
  <c r="S71" i="4"/>
  <c r="CJ71" i="4" s="1"/>
  <c r="S72" i="4"/>
  <c r="CJ72" i="4" s="1"/>
  <c r="S73" i="4"/>
  <c r="CJ73" i="4" s="1"/>
  <c r="S74" i="4"/>
  <c r="CJ74" i="4" s="1"/>
  <c r="S75" i="4"/>
  <c r="CJ75" i="4" s="1"/>
  <c r="S76" i="4"/>
  <c r="CJ76" i="4" s="1"/>
  <c r="S77" i="4"/>
  <c r="CJ77" i="4" s="1"/>
  <c r="S78" i="4"/>
  <c r="CJ78" i="4" s="1"/>
  <c r="S79" i="4"/>
  <c r="CJ79" i="4" s="1"/>
  <c r="S80" i="4"/>
  <c r="CJ80" i="4" s="1"/>
  <c r="S81" i="4"/>
  <c r="CJ81" i="4" s="1"/>
  <c r="S82" i="4"/>
  <c r="CJ82" i="4" s="1"/>
  <c r="S83" i="4"/>
  <c r="CJ83" i="4" s="1"/>
  <c r="S84" i="4"/>
  <c r="CJ84" i="4" s="1"/>
  <c r="S85" i="4"/>
  <c r="CJ85" i="4" s="1"/>
  <c r="S86" i="4"/>
  <c r="CJ86" i="4" s="1"/>
  <c r="S87" i="4"/>
  <c r="CJ87" i="4" s="1"/>
  <c r="S88" i="4"/>
  <c r="CJ88" i="4" s="1"/>
  <c r="S89" i="4"/>
  <c r="CJ89" i="4" s="1"/>
  <c r="S90" i="4"/>
  <c r="CJ90" i="4" s="1"/>
  <c r="S91" i="4"/>
  <c r="CJ91" i="4" s="1"/>
  <c r="S92" i="4"/>
  <c r="CJ92" i="4" s="1"/>
  <c r="S93" i="4"/>
  <c r="CJ93" i="4" s="1"/>
  <c r="S94" i="4"/>
  <c r="CJ94" i="4" s="1"/>
  <c r="S95" i="4"/>
  <c r="CJ95" i="4" s="1"/>
  <c r="S96" i="4"/>
  <c r="CJ96" i="4" s="1"/>
  <c r="S97" i="4"/>
  <c r="CJ97" i="4" s="1"/>
  <c r="S98" i="4"/>
  <c r="CJ98" i="4" s="1"/>
  <c r="S99" i="4"/>
  <c r="CJ99" i="4" s="1"/>
  <c r="S100" i="4"/>
  <c r="CJ100" i="4" s="1"/>
  <c r="S101" i="4"/>
  <c r="CJ101" i="4" s="1"/>
  <c r="S102" i="4"/>
  <c r="CJ102" i="4" s="1"/>
  <c r="S103" i="4"/>
  <c r="CJ103" i="4" s="1"/>
  <c r="S104" i="4"/>
  <c r="CJ104" i="4" s="1"/>
  <c r="S105" i="4"/>
  <c r="CJ105" i="4" s="1"/>
  <c r="S106" i="4"/>
  <c r="CJ106" i="4" s="1"/>
  <c r="S107" i="4"/>
  <c r="CJ107" i="4" s="1"/>
  <c r="S108" i="4"/>
  <c r="CJ108" i="4" s="1"/>
  <c r="S109" i="4"/>
  <c r="CJ109" i="4" s="1"/>
  <c r="S111" i="4"/>
  <c r="CJ111" i="4" s="1"/>
  <c r="S112" i="4"/>
  <c r="CJ112" i="4" s="1"/>
  <c r="S114" i="4"/>
  <c r="CJ114" i="4" s="1"/>
  <c r="S115" i="4"/>
  <c r="CJ115" i="4" s="1"/>
  <c r="S116" i="4"/>
  <c r="CJ116" i="4" s="1"/>
  <c r="S118" i="4"/>
  <c r="CJ118" i="4" s="1"/>
  <c r="S120" i="4"/>
  <c r="CJ120" i="4" s="1"/>
  <c r="S121" i="4"/>
  <c r="CJ121" i="4" s="1"/>
  <c r="S122" i="4"/>
  <c r="CJ122" i="4" s="1"/>
  <c r="S124" i="4"/>
  <c r="CJ124" i="4" s="1"/>
  <c r="S125" i="4"/>
  <c r="CJ125" i="4" s="1"/>
  <c r="S126" i="4"/>
  <c r="CJ126" i="4" s="1"/>
  <c r="S128" i="4"/>
  <c r="CJ128" i="4" s="1"/>
  <c r="S129" i="4"/>
  <c r="CJ129" i="4" s="1"/>
  <c r="S130" i="4"/>
  <c r="CJ130" i="4" s="1"/>
  <c r="S131" i="4"/>
  <c r="CJ131" i="4" s="1"/>
  <c r="S132" i="4"/>
  <c r="CJ132" i="4" s="1"/>
  <c r="S133" i="4"/>
  <c r="CJ133" i="4" s="1"/>
  <c r="S134" i="4"/>
  <c r="CJ134" i="4" s="1"/>
  <c r="S135" i="4"/>
  <c r="CJ135" i="4" s="1"/>
  <c r="S136" i="4"/>
  <c r="CJ136" i="4" s="1"/>
  <c r="S137" i="4"/>
  <c r="CJ137" i="4" s="1"/>
  <c r="S138" i="4"/>
  <c r="CJ138" i="4" s="1"/>
  <c r="S139" i="4"/>
  <c r="CJ139" i="4" s="1"/>
  <c r="S140" i="4"/>
  <c r="CJ140" i="4" s="1"/>
  <c r="S141" i="4"/>
  <c r="CJ141" i="4" s="1"/>
  <c r="S142" i="4"/>
  <c r="CJ142" i="4" s="1"/>
  <c r="S143" i="4"/>
  <c r="CJ143" i="4" s="1"/>
  <c r="S144" i="4"/>
  <c r="CJ144" i="4" s="1"/>
  <c r="S145" i="4"/>
  <c r="CJ145" i="4" s="1"/>
  <c r="S146" i="4"/>
  <c r="CJ146" i="4" s="1"/>
  <c r="S147" i="4"/>
  <c r="CJ147" i="4" s="1"/>
  <c r="S148" i="4"/>
  <c r="CJ148" i="4" s="1"/>
  <c r="S149" i="4"/>
  <c r="CJ149" i="4" s="1"/>
  <c r="S150" i="4"/>
  <c r="CJ150" i="4" s="1"/>
  <c r="S151" i="4"/>
  <c r="CJ151" i="4" s="1"/>
  <c r="S152" i="4"/>
  <c r="CJ152" i="4" s="1"/>
  <c r="S153" i="4"/>
  <c r="CJ153" i="4" s="1"/>
  <c r="S154" i="4"/>
  <c r="CJ154" i="4" s="1"/>
  <c r="S155" i="4"/>
  <c r="CJ155" i="4" s="1"/>
  <c r="S156" i="4"/>
  <c r="CJ156" i="4" s="1"/>
  <c r="S157" i="4"/>
  <c r="CJ157" i="4" s="1"/>
  <c r="S158" i="4"/>
  <c r="CJ158" i="4" s="1"/>
  <c r="S159" i="4"/>
  <c r="CJ159" i="4" s="1"/>
  <c r="S160" i="4"/>
  <c r="CJ160" i="4" s="1"/>
  <c r="S161" i="4"/>
  <c r="CJ161" i="4" s="1"/>
  <c r="S162" i="4"/>
  <c r="CJ162" i="4" s="1"/>
  <c r="S163" i="4"/>
  <c r="CJ163" i="4" s="1"/>
  <c r="S164" i="4"/>
  <c r="CJ164" i="4" s="1"/>
  <c r="S165" i="4"/>
  <c r="CJ165" i="4" s="1"/>
  <c r="S166" i="4"/>
  <c r="CJ166" i="4" s="1"/>
  <c r="S167" i="4"/>
  <c r="CJ167" i="4" s="1"/>
  <c r="S168" i="4"/>
  <c r="CJ168" i="4" s="1"/>
  <c r="S169" i="4"/>
  <c r="CJ169" i="4" s="1"/>
  <c r="S170" i="4"/>
  <c r="CJ170" i="4" s="1"/>
  <c r="S171" i="4"/>
  <c r="CJ171" i="4" s="1"/>
  <c r="S172" i="4"/>
  <c r="CJ172" i="4" s="1"/>
  <c r="S173" i="4"/>
  <c r="CJ173" i="4" s="1"/>
  <c r="S174" i="4"/>
  <c r="CJ174" i="4" s="1"/>
  <c r="S2" i="4"/>
  <c r="CJ2" i="4" s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2" i="4"/>
  <c r="H3" i="4"/>
  <c r="G3" i="4" s="1"/>
  <c r="H4" i="4"/>
  <c r="G4" i="4" s="1"/>
  <c r="H5" i="4"/>
  <c r="G5" i="4" s="1"/>
  <c r="H6" i="4"/>
  <c r="G6" i="4" s="1"/>
  <c r="H7" i="4"/>
  <c r="G7" i="4" s="1"/>
  <c r="H8" i="4"/>
  <c r="G8" i="4" s="1"/>
  <c r="H9" i="4"/>
  <c r="G9" i="4" s="1"/>
  <c r="H10" i="4"/>
  <c r="G10" i="4" s="1"/>
  <c r="H11" i="4"/>
  <c r="G11" i="4" s="1"/>
  <c r="H12" i="4"/>
  <c r="G12" i="4" s="1"/>
  <c r="H13" i="4"/>
  <c r="G13" i="4" s="1"/>
  <c r="H14" i="4"/>
  <c r="G14" i="4" s="1"/>
  <c r="H15" i="4"/>
  <c r="G15" i="4" s="1"/>
  <c r="H16" i="4"/>
  <c r="G16" i="4" s="1"/>
  <c r="H17" i="4"/>
  <c r="G17" i="4" s="1"/>
  <c r="H18" i="4"/>
  <c r="G18" i="4" s="1"/>
  <c r="H19" i="4"/>
  <c r="G19" i="4" s="1"/>
  <c r="H20" i="4"/>
  <c r="G20" i="4" s="1"/>
  <c r="H21" i="4"/>
  <c r="G21" i="4" s="1"/>
  <c r="H22" i="4"/>
  <c r="G22" i="4" s="1"/>
  <c r="H23" i="4"/>
  <c r="G23" i="4" s="1"/>
  <c r="H24" i="4"/>
  <c r="G24" i="4" s="1"/>
  <c r="H25" i="4"/>
  <c r="G25" i="4" s="1"/>
  <c r="H26" i="4"/>
  <c r="G26" i="4" s="1"/>
  <c r="H27" i="4"/>
  <c r="G27" i="4" s="1"/>
  <c r="H28" i="4"/>
  <c r="G28" i="4" s="1"/>
  <c r="H29" i="4"/>
  <c r="G29" i="4" s="1"/>
  <c r="H30" i="4"/>
  <c r="G30" i="4" s="1"/>
  <c r="H31" i="4"/>
  <c r="G31" i="4" s="1"/>
  <c r="H32" i="4"/>
  <c r="G32" i="4" s="1"/>
  <c r="H33" i="4"/>
  <c r="G33" i="4" s="1"/>
  <c r="H34" i="4"/>
  <c r="G34" i="4" s="1"/>
  <c r="H35" i="4"/>
  <c r="G35" i="4" s="1"/>
  <c r="H36" i="4"/>
  <c r="G36" i="4" s="1"/>
  <c r="H37" i="4"/>
  <c r="G37" i="4" s="1"/>
  <c r="H38" i="4"/>
  <c r="G38" i="4" s="1"/>
  <c r="H39" i="4"/>
  <c r="G39" i="4" s="1"/>
  <c r="H40" i="4"/>
  <c r="G40" i="4" s="1"/>
  <c r="H41" i="4"/>
  <c r="G41" i="4" s="1"/>
  <c r="H42" i="4"/>
  <c r="G42" i="4" s="1"/>
  <c r="H43" i="4"/>
  <c r="G43" i="4" s="1"/>
  <c r="H44" i="4"/>
  <c r="G44" i="4" s="1"/>
  <c r="H45" i="4"/>
  <c r="G45" i="4" s="1"/>
  <c r="H46" i="4"/>
  <c r="G46" i="4" s="1"/>
  <c r="H47" i="4"/>
  <c r="G47" i="4" s="1"/>
  <c r="H48" i="4"/>
  <c r="G48" i="4" s="1"/>
  <c r="H49" i="4"/>
  <c r="G49" i="4" s="1"/>
  <c r="H50" i="4"/>
  <c r="G50" i="4" s="1"/>
  <c r="H51" i="4"/>
  <c r="G51" i="4" s="1"/>
  <c r="H52" i="4"/>
  <c r="G52" i="4" s="1"/>
  <c r="H53" i="4"/>
  <c r="G53" i="4" s="1"/>
  <c r="H54" i="4"/>
  <c r="G54" i="4" s="1"/>
  <c r="H55" i="4"/>
  <c r="G55" i="4" s="1"/>
  <c r="H56" i="4"/>
  <c r="G56" i="4" s="1"/>
  <c r="H57" i="4"/>
  <c r="G57" i="4" s="1"/>
  <c r="H58" i="4"/>
  <c r="G58" i="4" s="1"/>
  <c r="H59" i="4"/>
  <c r="G59" i="4" s="1"/>
  <c r="H60" i="4"/>
  <c r="G60" i="4" s="1"/>
  <c r="H61" i="4"/>
  <c r="G61" i="4" s="1"/>
  <c r="H62" i="4"/>
  <c r="G62" i="4" s="1"/>
  <c r="H63" i="4"/>
  <c r="G63" i="4" s="1"/>
  <c r="H64" i="4"/>
  <c r="G64" i="4" s="1"/>
  <c r="H65" i="4"/>
  <c r="G65" i="4" s="1"/>
  <c r="H66" i="4"/>
  <c r="G66" i="4" s="1"/>
  <c r="H67" i="4"/>
  <c r="G67" i="4" s="1"/>
  <c r="H68" i="4"/>
  <c r="G68" i="4" s="1"/>
  <c r="H69" i="4"/>
  <c r="G69" i="4" s="1"/>
  <c r="H70" i="4"/>
  <c r="G70" i="4" s="1"/>
  <c r="H71" i="4"/>
  <c r="G71" i="4" s="1"/>
  <c r="H72" i="4"/>
  <c r="G72" i="4" s="1"/>
  <c r="H73" i="4"/>
  <c r="G73" i="4" s="1"/>
  <c r="H74" i="4"/>
  <c r="G74" i="4" s="1"/>
  <c r="H75" i="4"/>
  <c r="G75" i="4" s="1"/>
  <c r="H76" i="4"/>
  <c r="G76" i="4" s="1"/>
  <c r="H77" i="4"/>
  <c r="G77" i="4" s="1"/>
  <c r="H78" i="4"/>
  <c r="G78" i="4" s="1"/>
  <c r="H79" i="4"/>
  <c r="G79" i="4" s="1"/>
  <c r="H80" i="4"/>
  <c r="G80" i="4" s="1"/>
  <c r="H81" i="4"/>
  <c r="G81" i="4" s="1"/>
  <c r="H82" i="4"/>
  <c r="G82" i="4" s="1"/>
  <c r="H83" i="4"/>
  <c r="G83" i="4" s="1"/>
  <c r="H84" i="4"/>
  <c r="G84" i="4" s="1"/>
  <c r="H85" i="4"/>
  <c r="G85" i="4" s="1"/>
  <c r="H86" i="4"/>
  <c r="G86" i="4" s="1"/>
  <c r="H87" i="4"/>
  <c r="G87" i="4" s="1"/>
  <c r="H88" i="4"/>
  <c r="G88" i="4" s="1"/>
  <c r="H89" i="4"/>
  <c r="G89" i="4" s="1"/>
  <c r="H90" i="4"/>
  <c r="G90" i="4" s="1"/>
  <c r="H91" i="4"/>
  <c r="G91" i="4" s="1"/>
  <c r="H92" i="4"/>
  <c r="G92" i="4" s="1"/>
  <c r="H93" i="4"/>
  <c r="G93" i="4" s="1"/>
  <c r="H94" i="4"/>
  <c r="G94" i="4" s="1"/>
  <c r="H95" i="4"/>
  <c r="G95" i="4" s="1"/>
  <c r="H96" i="4"/>
  <c r="G96" i="4" s="1"/>
  <c r="H97" i="4"/>
  <c r="G97" i="4" s="1"/>
  <c r="H98" i="4"/>
  <c r="G98" i="4" s="1"/>
  <c r="H99" i="4"/>
  <c r="G99" i="4" s="1"/>
  <c r="H100" i="4"/>
  <c r="G100" i="4" s="1"/>
  <c r="H101" i="4"/>
  <c r="G101" i="4" s="1"/>
  <c r="H102" i="4"/>
  <c r="G102" i="4" s="1"/>
  <c r="H103" i="4"/>
  <c r="G103" i="4" s="1"/>
  <c r="H104" i="4"/>
  <c r="G104" i="4" s="1"/>
  <c r="H105" i="4"/>
  <c r="G105" i="4" s="1"/>
  <c r="H106" i="4"/>
  <c r="G106" i="4" s="1"/>
  <c r="H107" i="4"/>
  <c r="G107" i="4" s="1"/>
  <c r="H108" i="4"/>
  <c r="G108" i="4" s="1"/>
  <c r="H109" i="4"/>
  <c r="G109" i="4" s="1"/>
  <c r="H111" i="4"/>
  <c r="G111" i="4" s="1"/>
  <c r="H112" i="4"/>
  <c r="G112" i="4" s="1"/>
  <c r="H114" i="4"/>
  <c r="G114" i="4" s="1"/>
  <c r="H115" i="4"/>
  <c r="G115" i="4" s="1"/>
  <c r="H116" i="4"/>
  <c r="G116" i="4" s="1"/>
  <c r="H118" i="4"/>
  <c r="G118" i="4" s="1"/>
  <c r="H120" i="4"/>
  <c r="G120" i="4" s="1"/>
  <c r="H121" i="4"/>
  <c r="G121" i="4" s="1"/>
  <c r="H122" i="4"/>
  <c r="G122" i="4" s="1"/>
  <c r="H124" i="4"/>
  <c r="G124" i="4" s="1"/>
  <c r="H125" i="4"/>
  <c r="G125" i="4" s="1"/>
  <c r="H126" i="4"/>
  <c r="G126" i="4" s="1"/>
  <c r="H128" i="4"/>
  <c r="G128" i="4" s="1"/>
  <c r="H129" i="4"/>
  <c r="G129" i="4" s="1"/>
  <c r="H130" i="4"/>
  <c r="G130" i="4" s="1"/>
  <c r="H131" i="4"/>
  <c r="G131" i="4" s="1"/>
  <c r="H132" i="4"/>
  <c r="G132" i="4" s="1"/>
  <c r="H133" i="4"/>
  <c r="G133" i="4" s="1"/>
  <c r="H134" i="4"/>
  <c r="G134" i="4" s="1"/>
  <c r="H135" i="4"/>
  <c r="G135" i="4" s="1"/>
  <c r="H136" i="4"/>
  <c r="G136" i="4" s="1"/>
  <c r="H137" i="4"/>
  <c r="G137" i="4" s="1"/>
  <c r="H138" i="4"/>
  <c r="G138" i="4" s="1"/>
  <c r="H139" i="4"/>
  <c r="G139" i="4" s="1"/>
  <c r="H140" i="4"/>
  <c r="G140" i="4" s="1"/>
  <c r="H141" i="4"/>
  <c r="G141" i="4" s="1"/>
  <c r="H142" i="4"/>
  <c r="G142" i="4" s="1"/>
  <c r="H143" i="4"/>
  <c r="G143" i="4" s="1"/>
  <c r="H144" i="4"/>
  <c r="G144" i="4" s="1"/>
  <c r="H145" i="4"/>
  <c r="G145" i="4" s="1"/>
  <c r="H146" i="4"/>
  <c r="G146" i="4" s="1"/>
  <c r="H147" i="4"/>
  <c r="G147" i="4" s="1"/>
  <c r="H148" i="4"/>
  <c r="G148" i="4" s="1"/>
  <c r="H149" i="4"/>
  <c r="G149" i="4" s="1"/>
  <c r="H150" i="4"/>
  <c r="G150" i="4" s="1"/>
  <c r="H151" i="4"/>
  <c r="G151" i="4" s="1"/>
  <c r="H152" i="4"/>
  <c r="G152" i="4" s="1"/>
  <c r="H153" i="4"/>
  <c r="G153" i="4" s="1"/>
  <c r="H154" i="4"/>
  <c r="G154" i="4" s="1"/>
  <c r="H155" i="4"/>
  <c r="G155" i="4" s="1"/>
  <c r="H156" i="4"/>
  <c r="G156" i="4" s="1"/>
  <c r="H157" i="4"/>
  <c r="G157" i="4" s="1"/>
  <c r="H158" i="4"/>
  <c r="G158" i="4" s="1"/>
  <c r="H159" i="4"/>
  <c r="G159" i="4" s="1"/>
  <c r="H160" i="4"/>
  <c r="G160" i="4" s="1"/>
  <c r="H161" i="4"/>
  <c r="G161" i="4" s="1"/>
  <c r="H162" i="4"/>
  <c r="G162" i="4" s="1"/>
  <c r="H163" i="4"/>
  <c r="G163" i="4" s="1"/>
  <c r="H164" i="4"/>
  <c r="G164" i="4" s="1"/>
  <c r="H165" i="4"/>
  <c r="G165" i="4" s="1"/>
  <c r="H166" i="4"/>
  <c r="G166" i="4" s="1"/>
  <c r="H167" i="4"/>
  <c r="G167" i="4" s="1"/>
  <c r="H168" i="4"/>
  <c r="G168" i="4" s="1"/>
  <c r="H169" i="4"/>
  <c r="G169" i="4" s="1"/>
  <c r="H170" i="4"/>
  <c r="G170" i="4" s="1"/>
  <c r="H171" i="4"/>
  <c r="G171" i="4" s="1"/>
  <c r="H172" i="4"/>
  <c r="G172" i="4" s="1"/>
  <c r="H173" i="4"/>
  <c r="G173" i="4" s="1"/>
  <c r="H174" i="4"/>
  <c r="G174" i="4" s="1"/>
  <c r="H2" i="4"/>
  <c r="G2" i="4" s="1"/>
  <c r="CF91" i="4" l="1"/>
  <c r="BT91" i="4"/>
  <c r="BT48" i="4"/>
  <c r="CF48" i="4"/>
  <c r="CF73" i="4"/>
  <c r="BT73" i="4"/>
  <c r="CF112" i="4"/>
  <c r="BT112" i="4"/>
  <c r="BT173" i="4"/>
  <c r="CF173" i="4"/>
  <c r="BT153" i="4"/>
  <c r="CF153" i="4"/>
  <c r="BT133" i="4"/>
  <c r="CF133" i="4"/>
  <c r="BT107" i="4"/>
  <c r="CF107" i="4"/>
  <c r="BT87" i="4"/>
  <c r="CF87" i="4"/>
  <c r="BT67" i="4"/>
  <c r="CF67" i="4"/>
  <c r="BT47" i="4"/>
  <c r="CF47" i="4"/>
  <c r="BT27" i="4"/>
  <c r="CF27" i="4"/>
  <c r="BT7" i="4"/>
  <c r="CF7" i="4"/>
  <c r="BT75" i="4"/>
  <c r="CF75" i="4"/>
  <c r="CF140" i="4"/>
  <c r="BT140" i="4"/>
  <c r="CF34" i="4"/>
  <c r="BT34" i="4"/>
  <c r="CF93" i="4"/>
  <c r="BT93" i="4"/>
  <c r="CF13" i="4"/>
  <c r="BT13" i="4"/>
  <c r="CF158" i="4"/>
  <c r="BT158" i="4"/>
  <c r="CF92" i="4"/>
  <c r="BT92" i="4"/>
  <c r="BT31" i="4"/>
  <c r="CF31" i="4"/>
  <c r="CF136" i="4"/>
  <c r="BT136" i="4"/>
  <c r="CF50" i="4"/>
  <c r="BT50" i="4"/>
  <c r="CF155" i="4"/>
  <c r="BT155" i="4"/>
  <c r="CF49" i="4"/>
  <c r="BT49" i="4"/>
  <c r="BT154" i="4"/>
  <c r="CF154" i="4"/>
  <c r="BT108" i="4"/>
  <c r="CF108" i="4"/>
  <c r="BT68" i="4"/>
  <c r="CF68" i="4"/>
  <c r="BT26" i="4"/>
  <c r="CF26" i="4"/>
  <c r="CF171" i="4"/>
  <c r="BT171" i="4"/>
  <c r="CF32" i="4"/>
  <c r="BT32" i="4"/>
  <c r="CF137" i="4"/>
  <c r="BT137" i="4"/>
  <c r="CF89" i="4"/>
  <c r="BT89" i="4"/>
  <c r="BT8" i="4"/>
  <c r="CF8" i="4"/>
  <c r="CF5" i="4"/>
  <c r="BT5" i="4"/>
  <c r="CF170" i="4"/>
  <c r="BT170" i="4"/>
  <c r="CF150" i="4"/>
  <c r="BT150" i="4"/>
  <c r="CF130" i="4"/>
  <c r="BT130" i="4"/>
  <c r="CF104" i="4"/>
  <c r="BT104" i="4"/>
  <c r="CF84" i="4"/>
  <c r="BT84" i="4"/>
  <c r="CF64" i="4"/>
  <c r="BT64" i="4"/>
  <c r="CF44" i="4"/>
  <c r="BT44" i="4"/>
  <c r="CF24" i="4"/>
  <c r="BT24" i="4"/>
  <c r="CF4" i="4"/>
  <c r="BT4" i="4"/>
  <c r="BT131" i="4"/>
  <c r="CF131" i="4"/>
  <c r="BT105" i="4"/>
  <c r="CF105" i="4"/>
  <c r="BT65" i="4"/>
  <c r="CF65" i="4"/>
  <c r="CF25" i="4"/>
  <c r="BT25" i="4"/>
  <c r="CF169" i="4"/>
  <c r="BT169" i="4"/>
  <c r="CF149" i="4"/>
  <c r="BT149" i="4"/>
  <c r="CF129" i="4"/>
  <c r="BT129" i="4"/>
  <c r="CF103" i="4"/>
  <c r="BT103" i="4"/>
  <c r="CF83" i="4"/>
  <c r="BT83" i="4"/>
  <c r="CF63" i="4"/>
  <c r="BT63" i="4"/>
  <c r="CF43" i="4"/>
  <c r="BT43" i="4"/>
  <c r="CF23" i="4"/>
  <c r="BT23" i="4"/>
  <c r="CF3" i="4"/>
  <c r="BT3" i="4"/>
  <c r="BT15" i="4"/>
  <c r="CF15" i="4"/>
  <c r="CF54" i="4"/>
  <c r="BT54" i="4"/>
  <c r="CF139" i="4"/>
  <c r="BT139" i="4"/>
  <c r="BT69" i="4"/>
  <c r="CF69" i="4"/>
  <c r="BT168" i="4"/>
  <c r="CF168" i="4"/>
  <c r="BT148" i="4"/>
  <c r="CF148" i="4"/>
  <c r="CF128" i="4"/>
  <c r="BT128" i="4"/>
  <c r="CF102" i="4"/>
  <c r="BT102" i="4"/>
  <c r="CF82" i="4"/>
  <c r="BT82" i="4"/>
  <c r="CF62" i="4"/>
  <c r="BT62" i="4"/>
  <c r="BT42" i="4"/>
  <c r="CF42" i="4"/>
  <c r="CF22" i="4"/>
  <c r="BT22" i="4"/>
  <c r="CF94" i="4"/>
  <c r="BT94" i="4"/>
  <c r="BT71" i="4"/>
  <c r="CF71" i="4"/>
  <c r="BT172" i="4"/>
  <c r="CF172" i="4"/>
  <c r="CF167" i="4"/>
  <c r="BT167" i="4"/>
  <c r="BT147" i="4"/>
  <c r="CF147" i="4"/>
  <c r="CF126" i="4"/>
  <c r="BT126" i="4"/>
  <c r="BT101" i="4"/>
  <c r="CF101" i="4"/>
  <c r="CF81" i="4"/>
  <c r="BT81" i="4"/>
  <c r="CF61" i="4"/>
  <c r="BT61" i="4"/>
  <c r="BT41" i="4"/>
  <c r="CF41" i="4"/>
  <c r="CF21" i="4"/>
  <c r="BT21" i="4"/>
  <c r="BT141" i="4"/>
  <c r="CF141" i="4"/>
  <c r="CF115" i="4"/>
  <c r="BT115" i="4"/>
  <c r="CF9" i="4"/>
  <c r="BT9" i="4"/>
  <c r="BT166" i="4"/>
  <c r="CF166" i="4"/>
  <c r="BT146" i="4"/>
  <c r="CF146" i="4"/>
  <c r="BT125" i="4"/>
  <c r="CF125" i="4"/>
  <c r="BT100" i="4"/>
  <c r="CF100" i="4"/>
  <c r="BT80" i="4"/>
  <c r="CF80" i="4"/>
  <c r="BT60" i="4"/>
  <c r="CF60" i="4"/>
  <c r="BT40" i="4"/>
  <c r="CF40" i="4"/>
  <c r="BT20" i="4"/>
  <c r="CF20" i="4"/>
  <c r="BT95" i="4"/>
  <c r="CF95" i="4"/>
  <c r="CF12" i="4"/>
  <c r="BT12" i="4"/>
  <c r="CF90" i="4"/>
  <c r="BT90" i="4"/>
  <c r="BT165" i="4"/>
  <c r="CF165" i="4"/>
  <c r="BT145" i="4"/>
  <c r="CF145" i="4"/>
  <c r="BT124" i="4"/>
  <c r="CF124" i="4"/>
  <c r="BT99" i="4"/>
  <c r="CF99" i="4"/>
  <c r="BT79" i="4"/>
  <c r="CF79" i="4"/>
  <c r="BT59" i="4"/>
  <c r="CF59" i="4"/>
  <c r="BT39" i="4"/>
  <c r="CF39" i="4"/>
  <c r="BT19" i="4"/>
  <c r="CF19" i="4"/>
  <c r="CF52" i="4"/>
  <c r="BT52" i="4"/>
  <c r="BT70" i="4"/>
  <c r="CF70" i="4"/>
  <c r="BT152" i="4"/>
  <c r="CF152" i="4"/>
  <c r="BT164" i="4"/>
  <c r="CF164" i="4"/>
  <c r="BT144" i="4"/>
  <c r="CF144" i="4"/>
  <c r="BT122" i="4"/>
  <c r="CF122" i="4"/>
  <c r="BT98" i="4"/>
  <c r="CF98" i="4"/>
  <c r="BT78" i="4"/>
  <c r="CF78" i="4"/>
  <c r="BT58" i="4"/>
  <c r="CF58" i="4"/>
  <c r="BT38" i="4"/>
  <c r="CF38" i="4"/>
  <c r="BT18" i="4"/>
  <c r="CF18" i="4"/>
  <c r="BT118" i="4"/>
  <c r="CF118" i="4"/>
  <c r="BT35" i="4"/>
  <c r="CF35" i="4"/>
  <c r="CF116" i="4"/>
  <c r="BT116" i="4"/>
  <c r="CF14" i="4"/>
  <c r="BT14" i="4"/>
  <c r="CF33" i="4"/>
  <c r="BT33" i="4"/>
  <c r="CF114" i="4"/>
  <c r="BT114" i="4"/>
  <c r="BT51" i="4"/>
  <c r="CF51" i="4"/>
  <c r="CF111" i="4"/>
  <c r="BT111" i="4"/>
  <c r="CF10" i="4"/>
  <c r="BT10" i="4"/>
  <c r="BT109" i="4"/>
  <c r="CF109" i="4"/>
  <c r="BT163" i="4"/>
  <c r="CF163" i="4"/>
  <c r="CF143" i="4"/>
  <c r="BT143" i="4"/>
  <c r="BT121" i="4"/>
  <c r="CF121" i="4"/>
  <c r="CF97" i="4"/>
  <c r="BT97" i="4"/>
  <c r="BT77" i="4"/>
  <c r="CF77" i="4"/>
  <c r="CF57" i="4"/>
  <c r="BT57" i="4"/>
  <c r="BT37" i="4"/>
  <c r="CF37" i="4"/>
  <c r="CF17" i="4"/>
  <c r="BT17" i="4"/>
  <c r="BT161" i="4"/>
  <c r="CF161" i="4"/>
  <c r="BT55" i="4"/>
  <c r="CF55" i="4"/>
  <c r="CF160" i="4"/>
  <c r="BT160" i="4"/>
  <c r="CF74" i="4"/>
  <c r="BT74" i="4"/>
  <c r="CF159" i="4"/>
  <c r="BT159" i="4"/>
  <c r="CF53" i="4"/>
  <c r="BT53" i="4"/>
  <c r="CF138" i="4"/>
  <c r="BT138" i="4"/>
  <c r="CF72" i="4"/>
  <c r="BT72" i="4"/>
  <c r="CF157" i="4"/>
  <c r="BT157" i="4"/>
  <c r="CF11" i="4"/>
  <c r="BT11" i="4"/>
  <c r="CF156" i="4"/>
  <c r="BT156" i="4"/>
  <c r="BT30" i="4"/>
  <c r="CF30" i="4"/>
  <c r="BT2" i="4"/>
  <c r="CF2" i="4"/>
  <c r="CF135" i="4"/>
  <c r="BT135" i="4"/>
  <c r="BT29" i="4"/>
  <c r="CF29" i="4"/>
  <c r="BT174" i="4"/>
  <c r="CF174" i="4"/>
  <c r="BT134" i="4"/>
  <c r="CF134" i="4"/>
  <c r="BT88" i="4"/>
  <c r="CF88" i="4"/>
  <c r="BT28" i="4"/>
  <c r="CF28" i="4"/>
  <c r="BT132" i="4"/>
  <c r="CF132" i="4"/>
  <c r="BT106" i="4"/>
  <c r="CF106" i="4"/>
  <c r="BT86" i="4"/>
  <c r="CF86" i="4"/>
  <c r="BT66" i="4"/>
  <c r="CF66" i="4"/>
  <c r="BT46" i="4"/>
  <c r="CF46" i="4"/>
  <c r="BT6" i="4"/>
  <c r="CF6" i="4"/>
  <c r="BT151" i="4"/>
  <c r="CF151" i="4"/>
  <c r="CF85" i="4"/>
  <c r="BT85" i="4"/>
  <c r="BT45" i="4"/>
  <c r="CF45" i="4"/>
  <c r="BT162" i="4"/>
  <c r="CF162" i="4"/>
  <c r="BT142" i="4"/>
  <c r="CF142" i="4"/>
  <c r="BT120" i="4"/>
  <c r="CF120" i="4"/>
  <c r="BT96" i="4"/>
  <c r="CF96" i="4"/>
  <c r="BT76" i="4"/>
  <c r="CF76" i="4"/>
  <c r="BT56" i="4"/>
  <c r="CF56" i="4"/>
  <c r="BT36" i="4"/>
  <c r="CF36" i="4"/>
  <c r="BT16" i="4"/>
  <c r="CF16" i="4"/>
  <c r="G648" i="4" l="1"/>
</calcChain>
</file>

<file path=xl/sharedStrings.xml><?xml version="1.0" encoding="utf-8"?>
<sst xmlns="http://schemas.openxmlformats.org/spreadsheetml/2006/main" count="2080" uniqueCount="152">
  <si>
    <t>Boring</t>
  </si>
  <si>
    <t>PL</t>
  </si>
  <si>
    <t>LL</t>
  </si>
  <si>
    <t>PI</t>
  </si>
  <si>
    <t>Latitude</t>
  </si>
  <si>
    <t>Longitude</t>
  </si>
  <si>
    <t>USCS</t>
  </si>
  <si>
    <t>B-1</t>
  </si>
  <si>
    <t>SM</t>
  </si>
  <si>
    <t>B-2</t>
  </si>
  <si>
    <t>SP</t>
  </si>
  <si>
    <t>CL</t>
  </si>
  <si>
    <t>B-3</t>
  </si>
  <si>
    <t>B-4</t>
  </si>
  <si>
    <t>LW-1</t>
  </si>
  <si>
    <t>SP-SC</t>
  </si>
  <si>
    <t>SP-SM</t>
  </si>
  <si>
    <t>SC</t>
  </si>
  <si>
    <t>SC-SM</t>
  </si>
  <si>
    <t>SW-SM</t>
  </si>
  <si>
    <t>Boring_ID</t>
  </si>
  <si>
    <t>SPT</t>
  </si>
  <si>
    <t>N60</t>
  </si>
  <si>
    <t>Cc</t>
  </si>
  <si>
    <t>LI</t>
  </si>
  <si>
    <t>Es</t>
  </si>
  <si>
    <t>phi_Source</t>
  </si>
  <si>
    <t>c_source</t>
  </si>
  <si>
    <t>Cr</t>
  </si>
  <si>
    <t>Cv</t>
  </si>
  <si>
    <t>calpha</t>
  </si>
  <si>
    <t>PP_Source</t>
  </si>
  <si>
    <t>UC_Source</t>
  </si>
  <si>
    <t>UU_Source</t>
  </si>
  <si>
    <t>CU_Source</t>
  </si>
  <si>
    <t>DS_Source</t>
  </si>
  <si>
    <t>CONS_Source</t>
  </si>
  <si>
    <t>PERM_Source</t>
  </si>
  <si>
    <t>UW_Source</t>
  </si>
  <si>
    <t>Cc_Source</t>
  </si>
  <si>
    <t>Cr_Source</t>
  </si>
  <si>
    <t>calpha_source</t>
  </si>
  <si>
    <t>e_source</t>
  </si>
  <si>
    <t>Cv_Source</t>
  </si>
  <si>
    <t>Es_Source</t>
  </si>
  <si>
    <t>D100</t>
  </si>
  <si>
    <t>D60</t>
  </si>
  <si>
    <t>D30</t>
  </si>
  <si>
    <t>D10</t>
  </si>
  <si>
    <t>Shelby Tube</t>
  </si>
  <si>
    <t>Ground_Surface_Elevation</t>
  </si>
  <si>
    <t>Top_Elevation</t>
  </si>
  <si>
    <t>Bottom_Elevation</t>
  </si>
  <si>
    <t>Sample_Type</t>
  </si>
  <si>
    <t>Soil_Description</t>
  </si>
  <si>
    <t>N_Value</t>
  </si>
  <si>
    <t>Moisture_Content</t>
  </si>
  <si>
    <t>Passing_200</t>
  </si>
  <si>
    <t>per_Gravel</t>
  </si>
  <si>
    <t>per_Sand</t>
  </si>
  <si>
    <t>Energy_Correction_Factor</t>
  </si>
  <si>
    <t>N160_Liao_and_Whitman_1986</t>
  </si>
  <si>
    <t>Unit_Weight_source</t>
  </si>
  <si>
    <t>Tested_Unit_Weight_pcf</t>
  </si>
  <si>
    <t>PP_Su_psf</t>
  </si>
  <si>
    <t>UC_Su_psf</t>
  </si>
  <si>
    <t>UC_per_strain</t>
  </si>
  <si>
    <t>UC_eo</t>
  </si>
  <si>
    <t>UU_phi</t>
  </si>
  <si>
    <t>UU_c_psf</t>
  </si>
  <si>
    <t>UU_eo</t>
  </si>
  <si>
    <t>CU_c_psf</t>
  </si>
  <si>
    <t>CU_phi_deg</t>
  </si>
  <si>
    <t>CU_eo</t>
  </si>
  <si>
    <t>DS_phi</t>
  </si>
  <si>
    <t>DS_eff_c_psf</t>
  </si>
  <si>
    <t>CU_eff_phi_psf</t>
  </si>
  <si>
    <t>CU_eff_c_psf</t>
  </si>
  <si>
    <t>CONS_Cc</t>
  </si>
  <si>
    <t>CONS_Cr</t>
  </si>
  <si>
    <t>CONS_Cv</t>
  </si>
  <si>
    <t>CONS_Ch</t>
  </si>
  <si>
    <t>CONS_Gs</t>
  </si>
  <si>
    <t>CONS_eo</t>
  </si>
  <si>
    <t>CONS_overburden_ksf</t>
  </si>
  <si>
    <t>CONS_pc_ksf</t>
  </si>
  <si>
    <t>PERM_cm_sec</t>
  </si>
  <si>
    <t>PERM_kv_cm_sec</t>
  </si>
  <si>
    <t>PERM_kh_cm_s</t>
  </si>
  <si>
    <t>Uwm_SPT</t>
  </si>
  <si>
    <t>phi</t>
  </si>
  <si>
    <t>clay_phi_Source</t>
  </si>
  <si>
    <t>Clay_eff_phi</t>
  </si>
  <si>
    <t>c_psf</t>
  </si>
  <si>
    <t>pc_Source</t>
  </si>
  <si>
    <t>pc</t>
  </si>
  <si>
    <t>e_Gs_2.67</t>
  </si>
  <si>
    <t>Sand_Perm_Source</t>
  </si>
  <si>
    <t>Perm_cm_s</t>
  </si>
  <si>
    <t>Sample_ID</t>
  </si>
  <si>
    <t>General_Description</t>
  </si>
  <si>
    <t>Lab_Verified</t>
  </si>
  <si>
    <t>DD-A</t>
  </si>
  <si>
    <t>DD-B</t>
  </si>
  <si>
    <t>DD-D</t>
  </si>
  <si>
    <t>DD-E</t>
  </si>
  <si>
    <t>PS-01</t>
  </si>
  <si>
    <t>PS-02</t>
  </si>
  <si>
    <t>PS-03</t>
  </si>
  <si>
    <t>PS-04</t>
  </si>
  <si>
    <t>PS-05</t>
  </si>
  <si>
    <t>PS-06</t>
  </si>
  <si>
    <t>Topsoil 3 Inches</t>
  </si>
  <si>
    <t>CH</t>
  </si>
  <si>
    <t>Topsoil 6 Inches</t>
  </si>
  <si>
    <t>7 inches Topsoil</t>
  </si>
  <si>
    <t>FILL</t>
  </si>
  <si>
    <t>BAY - 401</t>
  </si>
  <si>
    <t>BAY - 402</t>
  </si>
  <si>
    <t>BMP - 401</t>
  </si>
  <si>
    <t>BMP - 402</t>
  </si>
  <si>
    <t>BMP - 403</t>
  </si>
  <si>
    <t>C - 401</t>
  </si>
  <si>
    <t>C - 402</t>
  </si>
  <si>
    <t>EGC - 401</t>
  </si>
  <si>
    <t>FB - 201</t>
  </si>
  <si>
    <t>FB - 202</t>
  </si>
  <si>
    <t>FB - 203</t>
  </si>
  <si>
    <t>FB - 204</t>
  </si>
  <si>
    <t>FB - 205</t>
  </si>
  <si>
    <t>FB - 206</t>
  </si>
  <si>
    <t>FB - 207</t>
  </si>
  <si>
    <t>FB - 208</t>
  </si>
  <si>
    <t>P - 401</t>
  </si>
  <si>
    <t>P - 402</t>
  </si>
  <si>
    <t>P - 403</t>
  </si>
  <si>
    <t>P - 404</t>
  </si>
  <si>
    <t>P - 405</t>
  </si>
  <si>
    <t>P - 406</t>
  </si>
  <si>
    <t>P - 407</t>
  </si>
  <si>
    <t>PS - 401</t>
  </si>
  <si>
    <t>RW - 401</t>
  </si>
  <si>
    <t>RW - 404</t>
  </si>
  <si>
    <t>RW - 405</t>
  </si>
  <si>
    <t>RW - 406</t>
  </si>
  <si>
    <t>RW - 407</t>
  </si>
  <si>
    <t>TG - 401</t>
  </si>
  <si>
    <t>GP</t>
  </si>
  <si>
    <t/>
  </si>
  <si>
    <t>S-1A</t>
  </si>
  <si>
    <t>S-1B</t>
  </si>
  <si>
    <t>DD-C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</si>
</sst>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1" fontId="0" fillId="0" borderId="0" xfId="0" applyNumberFormat="1"/>
    <xf numFmtId="0" fontId="0" fillId="0" borderId="0" xfId="0" applyAlignment="1">
      <alignment wrapText="1"/>
    </xf>
    <xf numFmtId="0" fontId="0" fillId="2" borderId="2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Fill="1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6" borderId="1" xfId="0" applyFill="1" applyBorder="1" applyAlignment="1">
      <alignment wrapText="1"/>
    </xf>
    <xf numFmtId="0" fontId="0" fillId="6" borderId="2" xfId="0" applyFill="1" applyBorder="1" applyAlignment="1">
      <alignment wrapText="1"/>
    </xf>
    <xf numFmtId="0" fontId="0" fillId="6" borderId="3" xfId="0" applyFill="1" applyBorder="1" applyAlignment="1">
      <alignment wrapText="1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7" borderId="1" xfId="0" applyFill="1" applyBorder="1" applyAlignment="1">
      <alignment wrapText="1"/>
    </xf>
    <xf numFmtId="0" fontId="0" fillId="7" borderId="3" xfId="0" applyFill="1" applyBorder="1" applyAlignment="1">
      <alignment wrapText="1"/>
    </xf>
    <xf numFmtId="0" fontId="0" fillId="7" borderId="4" xfId="0" applyFill="1" applyBorder="1"/>
    <xf numFmtId="0" fontId="0" fillId="7" borderId="5" xfId="0" applyFill="1" applyBorder="1"/>
    <xf numFmtId="0" fontId="0" fillId="2" borderId="0" xfId="0" applyFill="1" applyAlignment="1">
      <alignment wrapText="1"/>
    </xf>
    <xf numFmtId="0" fontId="0" fillId="8" borderId="4" xfId="0" applyFill="1" applyBorder="1" applyAlignment="1">
      <alignment wrapText="1"/>
    </xf>
    <xf numFmtId="0" fontId="0" fillId="8" borderId="4" xfId="0" applyFill="1" applyBorder="1"/>
    <xf numFmtId="0" fontId="0" fillId="8" borderId="0" xfId="0" applyFill="1" applyAlignment="1">
      <alignment wrapText="1"/>
    </xf>
    <xf numFmtId="0" fontId="0" fillId="8" borderId="0" xfId="0" applyFill="1"/>
    <xf numFmtId="0" fontId="0" fillId="5" borderId="2" xfId="0" applyFill="1" applyBorder="1" applyAlignment="1">
      <alignment wrapText="1"/>
    </xf>
    <xf numFmtId="0" fontId="0" fillId="5" borderId="0" xfId="0" applyFill="1"/>
    <xf numFmtId="0" fontId="0" fillId="5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0" fillId="0" borderId="0" xfId="0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168130</xdr:colOff>
      <xdr:row>34</xdr:row>
      <xdr:rowOff>107228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61B0CE-64A7-A17B-E118-F2CDA84E4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654530" cy="632514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C4CA-AE6B-4A2B-88B9-185AABFDA051}">
  <sheetPr codeName="Sheet1"/>
  <dimension ref="B1:CJ749"/>
  <sheetViews>
    <sheetView tabSelected="1" zoomScale="85" zoomScaleNormal="85" workbookViewId="0">
      <pane ySplit="1" topLeftCell="A2" activePane="bottomLeft" state="frozen"/>
      <selection pane="bottomLeft" activeCell="D2" sqref="D2:E2"/>
    </sheetView>
  </sheetViews>
  <sheetFormatPr defaultRowHeight="14.4" x14ac:dyDescent="0.3"/>
  <cols>
    <col min="1" max="1" width="9.109375" customWidth="1"/>
    <col min="2" max="2" width="9.109375" hidden="1" customWidth="1"/>
    <col min="3" max="3" width="9.109375" customWidth="1"/>
    <col min="5" max="5" width="10.6640625" customWidth="1"/>
    <col min="6" max="6" width="8.33203125" customWidth="1"/>
    <col min="7" max="7" width="9.33203125" hidden="1" customWidth="1"/>
    <col min="8" max="8" width="8.33203125" customWidth="1"/>
    <col min="9" max="9" width="11.33203125" customWidth="1"/>
    <col min="10" max="10" width="11.6640625" bestFit="1" customWidth="1"/>
    <col min="11" max="11" width="14.5546875" bestFit="1" customWidth="1"/>
    <col min="12" max="12" width="8.21875" customWidth="1"/>
    <col min="13" max="13" width="7.88671875" bestFit="1" customWidth="1"/>
    <col min="14" max="14" width="9.5546875" customWidth="1"/>
    <col min="15" max="15" width="4.21875" customWidth="1"/>
    <col min="16" max="16" width="4.88671875" customWidth="1"/>
    <col min="17" max="17" width="6.109375" customWidth="1"/>
    <col min="18" max="18" width="8.44140625" customWidth="1"/>
    <col min="19" max="19" width="18.21875" customWidth="1"/>
    <col min="20" max="26" width="11" customWidth="1"/>
    <col min="27" max="27" width="16.5546875" customWidth="1"/>
    <col min="28" max="31" width="11" customWidth="1"/>
    <col min="32" max="32" width="12.6640625" customWidth="1"/>
    <col min="33" max="33" width="12.6640625" style="21" customWidth="1"/>
    <col min="34" max="34" width="12.6640625" style="23" customWidth="1"/>
    <col min="35" max="37" width="8.88671875" style="6"/>
    <col min="38" max="38" width="5.109375" style="6" customWidth="1"/>
    <col min="39" max="41" width="8.88671875" style="7"/>
    <col min="42" max="42" width="5.5546875" style="7" customWidth="1"/>
    <col min="43" max="44" width="7.44140625" style="8" customWidth="1"/>
    <col min="45" max="45" width="8.88671875" style="8"/>
    <col min="46" max="46" width="7.6640625" style="8" customWidth="1"/>
    <col min="47" max="47" width="8.88671875" style="8"/>
    <col min="48" max="48" width="4.77734375" style="8" customWidth="1"/>
    <col min="49" max="51" width="7.77734375" style="25" customWidth="1"/>
    <col min="52" max="52" width="7.6640625" style="12" customWidth="1"/>
    <col min="53" max="53" width="7.6640625" style="13" customWidth="1"/>
    <col min="54" max="54" width="6.44140625" style="13" customWidth="1"/>
    <col min="55" max="55" width="7.33203125" style="13" customWidth="1"/>
    <col min="56" max="57" width="7.21875" style="13" customWidth="1"/>
    <col min="58" max="58" width="6.5546875" style="13" customWidth="1"/>
    <col min="59" max="59" width="16.109375" style="13" customWidth="1"/>
    <col min="60" max="60" width="8.5546875" style="14" customWidth="1"/>
    <col min="61" max="61" width="8.88671875" style="17"/>
    <col min="62" max="62" width="11" style="28" bestFit="1" customWidth="1"/>
    <col min="63" max="63" width="8.88671875" style="28"/>
    <col min="64" max="64" width="8.88671875" style="18"/>
    <col min="70" max="71" width="15.44140625" customWidth="1"/>
  </cols>
  <sheetData>
    <row r="1" spans="2:88" s="2" customFormat="1" ht="30" customHeight="1" x14ac:dyDescent="0.3">
      <c r="B1" s="2" t="s">
        <v>20</v>
      </c>
      <c r="C1" s="2" t="s">
        <v>0</v>
      </c>
      <c r="D1" s="2" t="s">
        <v>4</v>
      </c>
      <c r="E1" s="2" t="s">
        <v>5</v>
      </c>
      <c r="F1" s="2" t="s">
        <v>50</v>
      </c>
      <c r="G1" s="2" t="s">
        <v>99</v>
      </c>
      <c r="H1" s="2" t="s">
        <v>51</v>
      </c>
      <c r="I1" s="2" t="s">
        <v>52</v>
      </c>
      <c r="J1" s="2" t="s">
        <v>53</v>
      </c>
      <c r="K1" s="2" t="s">
        <v>54</v>
      </c>
      <c r="L1" s="2" t="s">
        <v>6</v>
      </c>
      <c r="M1" s="2" t="s">
        <v>55</v>
      </c>
      <c r="N1" s="2" t="s">
        <v>56</v>
      </c>
      <c r="O1" s="2" t="s">
        <v>1</v>
      </c>
      <c r="P1" s="2" t="s">
        <v>2</v>
      </c>
      <c r="Q1" s="2" t="s">
        <v>3</v>
      </c>
      <c r="R1" s="2" t="s">
        <v>57</v>
      </c>
      <c r="S1" s="2" t="s">
        <v>100</v>
      </c>
      <c r="T1" s="2" t="s">
        <v>101</v>
      </c>
      <c r="U1" s="2" t="s">
        <v>45</v>
      </c>
      <c r="V1" s="2" t="s">
        <v>46</v>
      </c>
      <c r="W1" s="2" t="s">
        <v>47</v>
      </c>
      <c r="X1" s="2" t="s">
        <v>48</v>
      </c>
      <c r="Y1" s="2" t="s">
        <v>58</v>
      </c>
      <c r="Z1" s="2" t="s">
        <v>59</v>
      </c>
      <c r="AA1" s="2" t="s">
        <v>60</v>
      </c>
      <c r="AB1" s="2" t="s">
        <v>22</v>
      </c>
      <c r="AC1" s="2" t="s">
        <v>61</v>
      </c>
      <c r="AD1" s="2" t="s">
        <v>24</v>
      </c>
      <c r="AE1" s="2" t="s">
        <v>62</v>
      </c>
      <c r="AF1" s="2" t="s">
        <v>63</v>
      </c>
      <c r="AG1" s="20" t="s">
        <v>31</v>
      </c>
      <c r="AH1" s="22" t="s">
        <v>64</v>
      </c>
      <c r="AI1" s="19" t="s">
        <v>32</v>
      </c>
      <c r="AJ1" s="19" t="s">
        <v>65</v>
      </c>
      <c r="AK1" s="3" t="s">
        <v>66</v>
      </c>
      <c r="AL1" s="3" t="s">
        <v>67</v>
      </c>
      <c r="AM1" s="4" t="s">
        <v>33</v>
      </c>
      <c r="AN1" s="4" t="s">
        <v>68</v>
      </c>
      <c r="AO1" s="4" t="s">
        <v>69</v>
      </c>
      <c r="AP1" s="4" t="s">
        <v>70</v>
      </c>
      <c r="AQ1" s="5" t="s">
        <v>34</v>
      </c>
      <c r="AR1" s="5" t="s">
        <v>71</v>
      </c>
      <c r="AS1" s="5" t="s">
        <v>72</v>
      </c>
      <c r="AT1" s="5" t="s">
        <v>77</v>
      </c>
      <c r="AU1" s="5" t="s">
        <v>76</v>
      </c>
      <c r="AV1" s="5" t="s">
        <v>73</v>
      </c>
      <c r="AW1" s="24" t="s">
        <v>35</v>
      </c>
      <c r="AX1" s="26" t="s">
        <v>74</v>
      </c>
      <c r="AY1" s="26" t="s">
        <v>75</v>
      </c>
      <c r="AZ1" s="9" t="s">
        <v>36</v>
      </c>
      <c r="BA1" s="10" t="s">
        <v>78</v>
      </c>
      <c r="BB1" s="10" t="s">
        <v>79</v>
      </c>
      <c r="BC1" s="10" t="s">
        <v>80</v>
      </c>
      <c r="BD1" s="10" t="s">
        <v>81</v>
      </c>
      <c r="BE1" s="10" t="s">
        <v>82</v>
      </c>
      <c r="BF1" s="10" t="s">
        <v>83</v>
      </c>
      <c r="BG1" s="10" t="s">
        <v>84</v>
      </c>
      <c r="BH1" s="11" t="s">
        <v>85</v>
      </c>
      <c r="BI1" s="15" t="s">
        <v>37</v>
      </c>
      <c r="BJ1" s="27" t="s">
        <v>86</v>
      </c>
      <c r="BK1" s="27" t="s">
        <v>87</v>
      </c>
      <c r="BL1" s="16" t="s">
        <v>88</v>
      </c>
      <c r="BM1" s="2" t="s">
        <v>38</v>
      </c>
      <c r="BN1" s="2" t="s">
        <v>89</v>
      </c>
      <c r="BO1" s="2" t="s">
        <v>26</v>
      </c>
      <c r="BP1" s="2" t="s">
        <v>90</v>
      </c>
      <c r="BQ1" s="2" t="s">
        <v>91</v>
      </c>
      <c r="BR1" s="2" t="s">
        <v>92</v>
      </c>
      <c r="BS1" s="2" t="s">
        <v>27</v>
      </c>
      <c r="BT1" s="2" t="s">
        <v>93</v>
      </c>
      <c r="BU1" s="2" t="s">
        <v>39</v>
      </c>
      <c r="BV1" s="2" t="s">
        <v>23</v>
      </c>
      <c r="BW1" s="2" t="s">
        <v>40</v>
      </c>
      <c r="BX1" s="2" t="s">
        <v>28</v>
      </c>
      <c r="BY1" s="2" t="s">
        <v>41</v>
      </c>
      <c r="BZ1" s="2" t="s">
        <v>30</v>
      </c>
      <c r="CA1" s="2" t="s">
        <v>43</v>
      </c>
      <c r="CB1" s="2" t="s">
        <v>29</v>
      </c>
      <c r="CC1" s="2" t="s">
        <v>94</v>
      </c>
      <c r="CD1" s="2" t="s">
        <v>95</v>
      </c>
      <c r="CE1" s="2" t="s">
        <v>44</v>
      </c>
      <c r="CF1" s="2" t="s">
        <v>25</v>
      </c>
      <c r="CG1" s="2" t="s">
        <v>42</v>
      </c>
      <c r="CH1" s="2" t="s">
        <v>96</v>
      </c>
      <c r="CI1" s="2" t="s">
        <v>97</v>
      </c>
      <c r="CJ1" s="2" t="s">
        <v>98</v>
      </c>
    </row>
    <row r="2" spans="2:88" x14ac:dyDescent="0.3">
      <c r="B2" t="str">
        <f>""&amp;D2&amp;""&amp;E2</f>
        <v>36.831919-76.120058</v>
      </c>
      <c r="C2" t="s">
        <v>7</v>
      </c>
      <c r="D2">
        <v>36.831918999999999</v>
      </c>
      <c r="E2">
        <v>-76.120058</v>
      </c>
      <c r="F2">
        <v>7.5</v>
      </c>
      <c r="G2" t="str">
        <f>""&amp;H2&amp;""&amp;I2&amp;""&amp;D2&amp;""&amp;E2</f>
        <v>7.55.536.831919-76.120058</v>
      </c>
      <c r="H2">
        <f>I2+2</f>
        <v>7.5</v>
      </c>
      <c r="I2">
        <v>5.5</v>
      </c>
      <c r="J2" t="s">
        <v>21</v>
      </c>
      <c r="L2" t="s">
        <v>11</v>
      </c>
      <c r="M2">
        <v>6</v>
      </c>
      <c r="Q2" s="1" t="str">
        <f>IF(OR(O2="",P2=""),"",P2-O2)</f>
        <v/>
      </c>
      <c r="S2" t="str">
        <f t="shared" ref="S2:S33" si="0">IF(OR(L2="CL",L2="CH",L2="CL_ML"),"Clay",IF(OR(L2="SM",L2="SC",L2="SP",L2="SP-SM",L2="SP-SC",L2="SC-SM",L2="SW",L2="SW-SM"),"Sand",IF(OR(L2="GP", L2="GM",L2="GC", L2="GP-GM",L2="GW"),"Gravel",IF(OR(L2="ML",L2="MH"),"Silt",IF(OR(L2="OL",L2="OH",L2="PT"),"Organic")))))</f>
        <v>Clay</v>
      </c>
      <c r="T2">
        <f>IF(OR(Q2&lt;&gt;"",R2&lt;&gt;""),2,1)</f>
        <v>1</v>
      </c>
      <c r="AA2">
        <v>80</v>
      </c>
      <c r="AB2" s="1">
        <f>ROUND(M2*AA2/60,0)</f>
        <v>8</v>
      </c>
      <c r="AC2">
        <f>ROUNDDOWN(((1/((((F2-I2)*110)*0.047880258888889)/100))^(0.5))*AB2,0)</f>
        <v>24</v>
      </c>
      <c r="AD2" t="str">
        <f>IF(OR(N2="",O2=""),"",(N2-O2)/(P2-O2))</f>
        <v/>
      </c>
      <c r="AE2" t="str">
        <f>IF(AF2="","","Tested")</f>
        <v/>
      </c>
      <c r="AG2" s="21" t="str">
        <f>IF(AH2="","","Pocket Pentrometer")</f>
        <v/>
      </c>
      <c r="AI2" s="6" t="str">
        <f>IF(AJ2="","","Unconfined Compression")</f>
        <v/>
      </c>
      <c r="AM2" s="7" t="str">
        <f>IF(AN2="","","Undrained Unconsolidated Triaxial")</f>
        <v/>
      </c>
      <c r="AQ2" s="8" t="str">
        <f>IF(AR2="","","Consolidated Undrained Triaxial")</f>
        <v/>
      </c>
      <c r="AW2" s="25" t="str">
        <f>IF(AX2="","","Direct Shear")</f>
        <v/>
      </c>
      <c r="AZ2" s="12" t="str">
        <f>IF(BA2="","","Consolidation Test")</f>
        <v/>
      </c>
      <c r="BI2" s="17" t="str">
        <f>IF(BJ2="","","Permeability Test")</f>
        <v/>
      </c>
      <c r="BM2" t="str">
        <f>IF(BN2="","","SPT Relationship")</f>
        <v>SPT Relationship</v>
      </c>
      <c r="BN2">
        <f t="shared" ref="BN2:BN33" si="1">IFERROR(IF(M2=0,95,ROUND(95*M2^0.095,0)),"")</f>
        <v>113</v>
      </c>
      <c r="BO2" t="str">
        <f>IF(BP2="","","Wolff, 1989")</f>
        <v>Wolff, 1989</v>
      </c>
      <c r="BP2">
        <f t="shared" ref="BP2:BP33" si="2">ROUNDDOWN(27.1+0.3*AC2-0.00054*AC2^2,0)</f>
        <v>33</v>
      </c>
      <c r="BQ2" t="str">
        <f>IF(BR2="","","GTENG-2476")</f>
        <v/>
      </c>
      <c r="BR2" t="str">
        <f>IF(P2="","",ROUNDDOWN(28-0.1533*P2+0.000564*P2^2-0.0000008414*P2^3,0))</f>
        <v/>
      </c>
      <c r="BS2" t="str">
        <f>IF(BT2="","", "Stroud 1974 (K=3.5)")</f>
        <v>Stroud 1974 (K=3.5)</v>
      </c>
      <c r="BT2">
        <f t="shared" ref="BT2:BT33" si="3">IF(S2="Clay",ROUND((3.5*AB2)*20.885434273039,0),"")</f>
        <v>585</v>
      </c>
      <c r="BU2" t="str">
        <f>IF(BV2="","","Kulhawy and Mayne 1990")</f>
        <v/>
      </c>
      <c r="BV2" t="str">
        <f>IF(Q2="","",ROUND(Q2/74,3))</f>
        <v/>
      </c>
      <c r="BW2" t="str">
        <f>IF(BX2="","","Kulhawy and Mayne 1990")</f>
        <v/>
      </c>
      <c r="BX2" t="str">
        <f>IF(Q2="","",ROUND(Q2/370,3))</f>
        <v/>
      </c>
      <c r="BY2" t="str">
        <f>IF(BZ2="","","Mesri 1990")</f>
        <v/>
      </c>
      <c r="BZ2" t="str">
        <f>IF(BV2="","",ROUND(0.03*BV2,4))</f>
        <v/>
      </c>
      <c r="CA2" t="str">
        <f>IF(CB2="","","NAVFAC Vol. 7.1 Figure 4")</f>
        <v/>
      </c>
      <c r="CB2" t="str">
        <f t="shared" ref="CB2:CB33" si="4">IF(P2="","",-0.0000000002*P2^5+0.00000009*P2^4-0.00002*P2^3+0.0019*P2^2-0.0999*P2+2.2178)</f>
        <v/>
      </c>
      <c r="CC2" t="str">
        <f>IF(CD2="","","Stas and Kulhawy 1984")</f>
        <v/>
      </c>
      <c r="CD2" t="str">
        <f t="shared" ref="CD2:CD33" si="5">IF(AD2="","",(10^(1.11-1.62*AD2)*100)*20.885434273039)</f>
        <v/>
      </c>
      <c r="CE2" t="str">
        <f>IF(CF2="","","Bowles 5th edition")</f>
        <v/>
      </c>
      <c r="CF2" t="str">
        <f t="shared" ref="CF2:CF33" si="6">IF(S2="Clay","",IF(AB2="","",ROUND((AB2+15)*6.4,0)))</f>
        <v/>
      </c>
      <c r="CG2" t="str">
        <f>IF(CH2="","","Relationship (Gs=2.67)")</f>
        <v/>
      </c>
      <c r="CH2" t="str">
        <f t="shared" ref="CH2:CH33" si="7">IF(N2="","",ROUND(N2/100*2.67,2))</f>
        <v/>
      </c>
      <c r="CI2" t="str">
        <f>IF(CJ2="","","Hazen, 1911 (c=1.5)")</f>
        <v/>
      </c>
      <c r="CJ2" t="str">
        <f>IF(OR(S2="Clay",X2=""),"",1.5*X2^2)</f>
        <v/>
      </c>
    </row>
    <row r="3" spans="2:88" x14ac:dyDescent="0.3">
      <c r="B3" t="str">
        <f t="shared" ref="B3:B66" si="8">""&amp;D3&amp;""&amp;E3</f>
        <v>36.831919-76.120058</v>
      </c>
      <c r="C3" t="s">
        <v>7</v>
      </c>
      <c r="D3">
        <v>36.831918999999999</v>
      </c>
      <c r="E3">
        <v>-76.120058</v>
      </c>
      <c r="F3">
        <v>7.5</v>
      </c>
      <c r="G3" t="str">
        <f t="shared" ref="G3:G66" si="9">""&amp;H3&amp;""&amp;I3&amp;""&amp;D3&amp;""&amp;E3</f>
        <v>5.53.536.831919-76.120058</v>
      </c>
      <c r="H3">
        <f t="shared" ref="H3:H66" si="10">I3+2</f>
        <v>5.5</v>
      </c>
      <c r="I3">
        <v>3.5</v>
      </c>
      <c r="J3" t="s">
        <v>21</v>
      </c>
      <c r="L3" t="s">
        <v>11</v>
      </c>
      <c r="M3">
        <v>12</v>
      </c>
      <c r="N3">
        <v>15</v>
      </c>
      <c r="O3">
        <v>12</v>
      </c>
      <c r="P3">
        <v>24</v>
      </c>
      <c r="Q3" s="1">
        <f t="shared" ref="Q3:Q66" si="11">IF(OR(O3="",P3=""),"",P3-O3)</f>
        <v>12</v>
      </c>
      <c r="R3">
        <v>70</v>
      </c>
      <c r="S3" t="str">
        <f t="shared" si="0"/>
        <v>Clay</v>
      </c>
      <c r="T3">
        <f t="shared" ref="T3:T66" si="12">IF(OR(Q3&lt;&gt;"",R3&lt;&gt;""),2,1)</f>
        <v>2</v>
      </c>
      <c r="AA3">
        <v>80</v>
      </c>
      <c r="AB3" s="1">
        <f t="shared" ref="AB3:AB66" si="13">ROUND(M3*AA3/60,0)</f>
        <v>16</v>
      </c>
      <c r="AC3">
        <f t="shared" ref="AC3:AC66" si="14">ROUNDDOWN(((1/((((F3-I3)*110)*0.047880258888889)/100))^(0.5))*AB3,0)</f>
        <v>34</v>
      </c>
      <c r="AD3">
        <f t="shared" ref="AD3:AD66" si="15">IF(OR(N3="",O3=""),"",(N3-O3)/(P3-O3))</f>
        <v>0.25</v>
      </c>
      <c r="AE3" t="str">
        <f t="shared" ref="AE3:AE66" si="16">IF(AF3="","","Tested")</f>
        <v/>
      </c>
      <c r="AG3" s="21" t="str">
        <f t="shared" ref="AG3:AG66" si="17">IF(AH3="","","Pocket Pentrometer")</f>
        <v/>
      </c>
      <c r="AI3" s="6" t="str">
        <f t="shared" ref="AI3:AI66" si="18">IF(AJ3="","","Unconfined Compression")</f>
        <v/>
      </c>
      <c r="AM3" s="7" t="str">
        <f t="shared" ref="AM3:AM66" si="19">IF(AN3="","","Undrained Unconsolidated Triaxial")</f>
        <v/>
      </c>
      <c r="AQ3" s="8" t="str">
        <f t="shared" ref="AQ3:AQ66" si="20">IF(AR3="","","Consolidated Undrained Triaxial")</f>
        <v/>
      </c>
      <c r="AW3" s="25" t="str">
        <f t="shared" ref="AW3:AW66" si="21">IF(AX3="","","Direct Shear")</f>
        <v/>
      </c>
      <c r="AZ3" s="12" t="str">
        <f t="shared" ref="AZ3:AZ66" si="22">IF(BA3="","","Consolidation Test")</f>
        <v/>
      </c>
      <c r="BI3" s="17" t="str">
        <f t="shared" ref="BI3:BI66" si="23">IF(BJ3="","","Permeability Test")</f>
        <v/>
      </c>
      <c r="BM3" t="str">
        <f t="shared" ref="BM3:BM66" si="24">IF(BN3="","","SPT Relationship")</f>
        <v>SPT Relationship</v>
      </c>
      <c r="BN3">
        <f t="shared" si="1"/>
        <v>120</v>
      </c>
      <c r="BO3" t="str">
        <f t="shared" ref="BO3:BO66" si="25">IF(BP3="","","Wolff, 1989")</f>
        <v>Wolff, 1989</v>
      </c>
      <c r="BP3">
        <f t="shared" si="2"/>
        <v>36</v>
      </c>
      <c r="BQ3" t="str">
        <f t="shared" ref="BQ3:BQ66" si="26">IF(BR3="","","GTENG-2476")</f>
        <v>GTENG-2476</v>
      </c>
      <c r="BR3">
        <f t="shared" ref="BR3:BR66" si="27">IF(P3="","",ROUNDDOWN(28-0.1533*P3+0.000564*P3^2-0.0000008414*P3^3,0))</f>
        <v>24</v>
      </c>
      <c r="BS3" t="str">
        <f t="shared" ref="BS3:BS66" si="28">IF(BT3="","", "Stroud 1974 (K=3.5)")</f>
        <v>Stroud 1974 (K=3.5)</v>
      </c>
      <c r="BT3">
        <f t="shared" si="3"/>
        <v>1170</v>
      </c>
      <c r="BU3" t="str">
        <f t="shared" ref="BU3:BU66" si="29">IF(BV3="","","Kulhawy and Mayne 1990")</f>
        <v>Kulhawy and Mayne 1990</v>
      </c>
      <c r="BV3">
        <f t="shared" ref="BV3:BV66" si="30">IF(Q3="","",ROUND(Q3/74,3))</f>
        <v>0.16200000000000001</v>
      </c>
      <c r="BW3" t="str">
        <f t="shared" ref="BW3:BW66" si="31">IF(BX3="","","Kulhawy and Mayne 1990")</f>
        <v>Kulhawy and Mayne 1990</v>
      </c>
      <c r="BX3">
        <f t="shared" ref="BX3:BX66" si="32">IF(Q3="","",ROUND(Q3/370,3))</f>
        <v>3.2000000000000001E-2</v>
      </c>
      <c r="BY3" t="str">
        <f t="shared" ref="BY3:BY66" si="33">IF(BZ3="","","Mesri 1990")</f>
        <v>Mesri 1990</v>
      </c>
      <c r="BZ3">
        <f t="shared" ref="BZ3:BZ66" si="34">IF(BV3="","",ROUND(0.03*BV3,4))</f>
        <v>4.8999999999999998E-3</v>
      </c>
      <c r="CA3" t="str">
        <f t="shared" ref="CA3:CA66" si="35">IF(CB3="","","NAVFAC Vol. 7.1 Figure 4")</f>
        <v>NAVFAC Vol. 7.1 Figure 4</v>
      </c>
      <c r="CB3">
        <f t="shared" si="4"/>
        <v>0.66638731519999972</v>
      </c>
      <c r="CC3" t="str">
        <f t="shared" ref="CC3:CC66" si="36">IF(CD3="","","Stas and Kulhawy 1984")</f>
        <v>Stas and Kulhawy 1984</v>
      </c>
      <c r="CD3">
        <f t="shared" si="5"/>
        <v>10588.721114712831</v>
      </c>
      <c r="CE3" t="str">
        <f t="shared" ref="CE3:CE66" si="37">IF(CF3="","","Bowles 5th edition")</f>
        <v/>
      </c>
      <c r="CF3" t="str">
        <f t="shared" si="6"/>
        <v/>
      </c>
      <c r="CG3" t="str">
        <f t="shared" ref="CG3:CG66" si="38">IF(CH3="","","Relationship (Gs=2.67)")</f>
        <v>Relationship (Gs=2.67)</v>
      </c>
      <c r="CH3">
        <f t="shared" si="7"/>
        <v>0.4</v>
      </c>
      <c r="CI3" t="str">
        <f t="shared" ref="CI3:CI66" si="39">IF(CJ3="","","Hazen, 1911 (c=1.5)")</f>
        <v/>
      </c>
      <c r="CJ3" t="str">
        <f t="shared" ref="CJ3:CJ66" si="40">IF(OR(S3="Clay",X3=""),"",1.5*X3^2)</f>
        <v/>
      </c>
    </row>
    <row r="4" spans="2:88" x14ac:dyDescent="0.3">
      <c r="B4" t="str">
        <f t="shared" si="8"/>
        <v>36.831919-76.120058</v>
      </c>
      <c r="C4" t="s">
        <v>7</v>
      </c>
      <c r="D4">
        <v>36.831918999999999</v>
      </c>
      <c r="E4">
        <v>-76.120058</v>
      </c>
      <c r="F4">
        <v>7.5</v>
      </c>
      <c r="G4" t="str">
        <f t="shared" si="9"/>
        <v>3.51.536.831919-76.120058</v>
      </c>
      <c r="H4">
        <f t="shared" si="10"/>
        <v>3.5</v>
      </c>
      <c r="I4">
        <v>1.5</v>
      </c>
      <c r="J4" t="s">
        <v>21</v>
      </c>
      <c r="L4" t="s">
        <v>10</v>
      </c>
      <c r="M4">
        <v>20</v>
      </c>
      <c r="Q4" s="1" t="str">
        <f t="shared" si="11"/>
        <v/>
      </c>
      <c r="S4" t="str">
        <f t="shared" si="0"/>
        <v>Sand</v>
      </c>
      <c r="T4">
        <f t="shared" si="12"/>
        <v>1</v>
      </c>
      <c r="AA4">
        <v>80</v>
      </c>
      <c r="AB4" s="1">
        <f t="shared" si="13"/>
        <v>27</v>
      </c>
      <c r="AC4">
        <f t="shared" si="14"/>
        <v>48</v>
      </c>
      <c r="AD4" t="str">
        <f t="shared" si="15"/>
        <v/>
      </c>
      <c r="AE4" t="str">
        <f t="shared" si="16"/>
        <v/>
      </c>
      <c r="AG4" s="21" t="str">
        <f t="shared" si="17"/>
        <v/>
      </c>
      <c r="AI4" s="6" t="str">
        <f t="shared" si="18"/>
        <v/>
      </c>
      <c r="AM4" s="7" t="str">
        <f t="shared" si="19"/>
        <v/>
      </c>
      <c r="AQ4" s="8" t="str">
        <f t="shared" si="20"/>
        <v/>
      </c>
      <c r="AW4" s="25" t="str">
        <f t="shared" si="21"/>
        <v/>
      </c>
      <c r="AZ4" s="12" t="str">
        <f t="shared" si="22"/>
        <v/>
      </c>
      <c r="BI4" s="17" t="str">
        <f t="shared" si="23"/>
        <v/>
      </c>
      <c r="BM4" t="str">
        <f t="shared" si="24"/>
        <v>SPT Relationship</v>
      </c>
      <c r="BN4">
        <f t="shared" si="1"/>
        <v>126</v>
      </c>
      <c r="BO4" t="str">
        <f t="shared" si="25"/>
        <v>Wolff, 1989</v>
      </c>
      <c r="BP4">
        <f t="shared" si="2"/>
        <v>40</v>
      </c>
      <c r="BQ4" t="str">
        <f t="shared" si="26"/>
        <v/>
      </c>
      <c r="BR4" t="str">
        <f t="shared" si="27"/>
        <v/>
      </c>
      <c r="BS4" t="str">
        <f t="shared" si="28"/>
        <v/>
      </c>
      <c r="BT4" t="str">
        <f t="shared" si="3"/>
        <v/>
      </c>
      <c r="BU4" t="str">
        <f t="shared" si="29"/>
        <v/>
      </c>
      <c r="BV4" t="str">
        <f t="shared" si="30"/>
        <v/>
      </c>
      <c r="BW4" t="str">
        <f t="shared" si="31"/>
        <v/>
      </c>
      <c r="BX4" t="str">
        <f t="shared" si="32"/>
        <v/>
      </c>
      <c r="BY4" t="str">
        <f t="shared" si="33"/>
        <v/>
      </c>
      <c r="BZ4" t="str">
        <f t="shared" si="34"/>
        <v/>
      </c>
      <c r="CA4" t="str">
        <f t="shared" si="35"/>
        <v/>
      </c>
      <c r="CB4" t="str">
        <f t="shared" si="4"/>
        <v/>
      </c>
      <c r="CC4" t="str">
        <f t="shared" si="36"/>
        <v/>
      </c>
      <c r="CD4" t="str">
        <f t="shared" si="5"/>
        <v/>
      </c>
      <c r="CE4" t="str">
        <f t="shared" si="37"/>
        <v>Bowles 5th edition</v>
      </c>
      <c r="CF4">
        <f t="shared" si="6"/>
        <v>269</v>
      </c>
      <c r="CG4" t="str">
        <f t="shared" si="38"/>
        <v/>
      </c>
      <c r="CH4" t="str">
        <f t="shared" si="7"/>
        <v/>
      </c>
      <c r="CI4" t="str">
        <f t="shared" si="39"/>
        <v/>
      </c>
      <c r="CJ4" t="str">
        <f t="shared" si="40"/>
        <v/>
      </c>
    </row>
    <row r="5" spans="2:88" x14ac:dyDescent="0.3">
      <c r="B5" t="str">
        <f t="shared" si="8"/>
        <v>36.831919-76.120058</v>
      </c>
      <c r="C5" t="s">
        <v>7</v>
      </c>
      <c r="D5">
        <v>36.831918999999999</v>
      </c>
      <c r="E5">
        <v>-76.120058</v>
      </c>
      <c r="F5">
        <v>7.5</v>
      </c>
      <c r="G5" t="str">
        <f t="shared" si="9"/>
        <v>1.5-0.536.831919-76.120058</v>
      </c>
      <c r="H5">
        <f t="shared" si="10"/>
        <v>1.5</v>
      </c>
      <c r="I5">
        <v>-0.5</v>
      </c>
      <c r="J5" t="s">
        <v>21</v>
      </c>
      <c r="L5" t="s">
        <v>8</v>
      </c>
      <c r="M5">
        <v>27</v>
      </c>
      <c r="Q5" s="1" t="str">
        <f t="shared" si="11"/>
        <v/>
      </c>
      <c r="S5" t="str">
        <f t="shared" si="0"/>
        <v>Sand</v>
      </c>
      <c r="T5">
        <f t="shared" si="12"/>
        <v>1</v>
      </c>
      <c r="AA5">
        <v>80</v>
      </c>
      <c r="AB5" s="1">
        <f t="shared" si="13"/>
        <v>36</v>
      </c>
      <c r="AC5">
        <f t="shared" si="14"/>
        <v>55</v>
      </c>
      <c r="AD5" t="str">
        <f t="shared" si="15"/>
        <v/>
      </c>
      <c r="AE5" t="str">
        <f t="shared" si="16"/>
        <v/>
      </c>
      <c r="AG5" s="21" t="str">
        <f t="shared" si="17"/>
        <v/>
      </c>
      <c r="AI5" s="6" t="str">
        <f t="shared" si="18"/>
        <v/>
      </c>
      <c r="AM5" s="7" t="str">
        <f t="shared" si="19"/>
        <v/>
      </c>
      <c r="AQ5" s="8" t="str">
        <f t="shared" si="20"/>
        <v/>
      </c>
      <c r="AW5" s="25" t="str">
        <f t="shared" si="21"/>
        <v/>
      </c>
      <c r="AZ5" s="12" t="str">
        <f t="shared" si="22"/>
        <v/>
      </c>
      <c r="BI5" s="17" t="str">
        <f t="shared" si="23"/>
        <v/>
      </c>
      <c r="BM5" t="str">
        <f t="shared" si="24"/>
        <v>SPT Relationship</v>
      </c>
      <c r="BN5">
        <f t="shared" si="1"/>
        <v>130</v>
      </c>
      <c r="BO5" t="str">
        <f t="shared" si="25"/>
        <v>Wolff, 1989</v>
      </c>
      <c r="BP5">
        <f t="shared" si="2"/>
        <v>41</v>
      </c>
      <c r="BQ5" t="str">
        <f t="shared" si="26"/>
        <v/>
      </c>
      <c r="BR5" t="str">
        <f t="shared" si="27"/>
        <v/>
      </c>
      <c r="BS5" t="str">
        <f t="shared" si="28"/>
        <v/>
      </c>
      <c r="BT5" t="str">
        <f t="shared" si="3"/>
        <v/>
      </c>
      <c r="BU5" t="str">
        <f t="shared" si="29"/>
        <v/>
      </c>
      <c r="BV5" t="str">
        <f t="shared" si="30"/>
        <v/>
      </c>
      <c r="BW5" t="str">
        <f t="shared" si="31"/>
        <v/>
      </c>
      <c r="BX5" t="str">
        <f t="shared" si="32"/>
        <v/>
      </c>
      <c r="BY5" t="str">
        <f t="shared" si="33"/>
        <v/>
      </c>
      <c r="BZ5" t="str">
        <f t="shared" si="34"/>
        <v/>
      </c>
      <c r="CA5" t="str">
        <f t="shared" si="35"/>
        <v/>
      </c>
      <c r="CB5" t="str">
        <f t="shared" si="4"/>
        <v/>
      </c>
      <c r="CC5" t="str">
        <f t="shared" si="36"/>
        <v/>
      </c>
      <c r="CD5" t="str">
        <f t="shared" si="5"/>
        <v/>
      </c>
      <c r="CE5" t="str">
        <f t="shared" si="37"/>
        <v>Bowles 5th edition</v>
      </c>
      <c r="CF5">
        <f t="shared" si="6"/>
        <v>326</v>
      </c>
      <c r="CG5" t="str">
        <f t="shared" si="38"/>
        <v/>
      </c>
      <c r="CH5" t="str">
        <f t="shared" si="7"/>
        <v/>
      </c>
      <c r="CI5" t="str">
        <f t="shared" si="39"/>
        <v/>
      </c>
      <c r="CJ5" t="str">
        <f t="shared" si="40"/>
        <v/>
      </c>
    </row>
    <row r="6" spans="2:88" x14ac:dyDescent="0.3">
      <c r="B6" t="str">
        <f t="shared" si="8"/>
        <v>36.831919-76.120058</v>
      </c>
      <c r="C6" t="s">
        <v>7</v>
      </c>
      <c r="D6">
        <v>36.831918999999999</v>
      </c>
      <c r="E6">
        <v>-76.120058</v>
      </c>
      <c r="F6">
        <v>7.5</v>
      </c>
      <c r="G6" t="str">
        <f t="shared" si="9"/>
        <v>-0.5-2.536.831919-76.120058</v>
      </c>
      <c r="H6">
        <f t="shared" si="10"/>
        <v>-0.5</v>
      </c>
      <c r="I6">
        <v>-2.5</v>
      </c>
      <c r="J6" t="s">
        <v>21</v>
      </c>
      <c r="L6" t="s">
        <v>15</v>
      </c>
      <c r="M6">
        <v>22</v>
      </c>
      <c r="N6">
        <v>20</v>
      </c>
      <c r="Q6" s="1" t="str">
        <f t="shared" si="11"/>
        <v/>
      </c>
      <c r="R6">
        <v>7</v>
      </c>
      <c r="S6" t="str">
        <f t="shared" si="0"/>
        <v>Sand</v>
      </c>
      <c r="T6">
        <f t="shared" si="12"/>
        <v>2</v>
      </c>
      <c r="AA6">
        <v>80</v>
      </c>
      <c r="AB6" s="1">
        <f t="shared" si="13"/>
        <v>29</v>
      </c>
      <c r="AC6">
        <f t="shared" si="14"/>
        <v>39</v>
      </c>
      <c r="AD6" t="str">
        <f t="shared" si="15"/>
        <v/>
      </c>
      <c r="AE6" t="str">
        <f t="shared" si="16"/>
        <v/>
      </c>
      <c r="AG6" s="21" t="str">
        <f t="shared" si="17"/>
        <v/>
      </c>
      <c r="AI6" s="6" t="str">
        <f t="shared" si="18"/>
        <v/>
      </c>
      <c r="AM6" s="7" t="str">
        <f t="shared" si="19"/>
        <v/>
      </c>
      <c r="AQ6" s="8" t="str">
        <f t="shared" si="20"/>
        <v/>
      </c>
      <c r="AW6" s="25" t="str">
        <f t="shared" si="21"/>
        <v/>
      </c>
      <c r="AZ6" s="12" t="str">
        <f t="shared" si="22"/>
        <v/>
      </c>
      <c r="BI6" s="17" t="str">
        <f t="shared" si="23"/>
        <v/>
      </c>
      <c r="BM6" t="str">
        <f t="shared" si="24"/>
        <v>SPT Relationship</v>
      </c>
      <c r="BN6">
        <f t="shared" si="1"/>
        <v>127</v>
      </c>
      <c r="BO6" t="str">
        <f t="shared" si="25"/>
        <v>Wolff, 1989</v>
      </c>
      <c r="BP6">
        <f t="shared" si="2"/>
        <v>37</v>
      </c>
      <c r="BQ6" t="str">
        <f t="shared" si="26"/>
        <v/>
      </c>
      <c r="BR6" t="str">
        <f t="shared" si="27"/>
        <v/>
      </c>
      <c r="BS6" t="str">
        <f t="shared" si="28"/>
        <v/>
      </c>
      <c r="BT6" t="str">
        <f t="shared" si="3"/>
        <v/>
      </c>
      <c r="BU6" t="str">
        <f t="shared" si="29"/>
        <v/>
      </c>
      <c r="BV6" t="str">
        <f t="shared" si="30"/>
        <v/>
      </c>
      <c r="BW6" t="str">
        <f t="shared" si="31"/>
        <v/>
      </c>
      <c r="BX6" t="str">
        <f t="shared" si="32"/>
        <v/>
      </c>
      <c r="BY6" t="str">
        <f t="shared" si="33"/>
        <v/>
      </c>
      <c r="BZ6" t="str">
        <f t="shared" si="34"/>
        <v/>
      </c>
      <c r="CA6" t="str">
        <f t="shared" si="35"/>
        <v/>
      </c>
      <c r="CB6" t="str">
        <f t="shared" si="4"/>
        <v/>
      </c>
      <c r="CC6" t="str">
        <f t="shared" si="36"/>
        <v/>
      </c>
      <c r="CD6" t="str">
        <f t="shared" si="5"/>
        <v/>
      </c>
      <c r="CE6" t="str">
        <f t="shared" si="37"/>
        <v>Bowles 5th edition</v>
      </c>
      <c r="CF6">
        <f t="shared" si="6"/>
        <v>282</v>
      </c>
      <c r="CG6" t="str">
        <f t="shared" si="38"/>
        <v>Relationship (Gs=2.67)</v>
      </c>
      <c r="CH6">
        <f t="shared" si="7"/>
        <v>0.53</v>
      </c>
      <c r="CI6" t="str">
        <f t="shared" si="39"/>
        <v/>
      </c>
      <c r="CJ6" t="str">
        <f t="shared" si="40"/>
        <v/>
      </c>
    </row>
    <row r="7" spans="2:88" x14ac:dyDescent="0.3">
      <c r="B7" t="str">
        <f t="shared" si="8"/>
        <v>36.831919-76.120058</v>
      </c>
      <c r="C7" t="s">
        <v>7</v>
      </c>
      <c r="D7">
        <v>36.831918999999999</v>
      </c>
      <c r="E7">
        <v>-76.120058</v>
      </c>
      <c r="F7">
        <v>7.5</v>
      </c>
      <c r="G7" t="str">
        <f t="shared" si="9"/>
        <v>-5.5-7.536.831919-76.120058</v>
      </c>
      <c r="H7">
        <f t="shared" si="10"/>
        <v>-5.5</v>
      </c>
      <c r="I7">
        <v>-7.5</v>
      </c>
      <c r="J7" t="s">
        <v>21</v>
      </c>
      <c r="L7" t="s">
        <v>16</v>
      </c>
      <c r="M7">
        <v>3</v>
      </c>
      <c r="Q7" s="1" t="str">
        <f t="shared" si="11"/>
        <v/>
      </c>
      <c r="S7" t="str">
        <f t="shared" si="0"/>
        <v>Sand</v>
      </c>
      <c r="T7">
        <f t="shared" si="12"/>
        <v>1</v>
      </c>
      <c r="AA7">
        <v>80</v>
      </c>
      <c r="AB7" s="1">
        <f t="shared" si="13"/>
        <v>4</v>
      </c>
      <c r="AC7">
        <f t="shared" si="14"/>
        <v>4</v>
      </c>
      <c r="AD7" t="str">
        <f t="shared" si="15"/>
        <v/>
      </c>
      <c r="AE7" t="str">
        <f t="shared" si="16"/>
        <v/>
      </c>
      <c r="AG7" s="21" t="str">
        <f t="shared" si="17"/>
        <v/>
      </c>
      <c r="AI7" s="6" t="str">
        <f t="shared" si="18"/>
        <v/>
      </c>
      <c r="AM7" s="7" t="str">
        <f t="shared" si="19"/>
        <v/>
      </c>
      <c r="AQ7" s="8" t="str">
        <f t="shared" si="20"/>
        <v/>
      </c>
      <c r="AW7" s="25" t="str">
        <f t="shared" si="21"/>
        <v/>
      </c>
      <c r="AZ7" s="12" t="str">
        <f t="shared" si="22"/>
        <v/>
      </c>
      <c r="BI7" s="17" t="str">
        <f t="shared" si="23"/>
        <v/>
      </c>
      <c r="BM7" t="str">
        <f t="shared" si="24"/>
        <v>SPT Relationship</v>
      </c>
      <c r="BN7">
        <f t="shared" si="1"/>
        <v>105</v>
      </c>
      <c r="BO7" t="str">
        <f t="shared" si="25"/>
        <v>Wolff, 1989</v>
      </c>
      <c r="BP7">
        <f t="shared" si="2"/>
        <v>28</v>
      </c>
      <c r="BQ7" t="str">
        <f t="shared" si="26"/>
        <v/>
      </c>
      <c r="BR7" t="str">
        <f t="shared" si="27"/>
        <v/>
      </c>
      <c r="BS7" t="str">
        <f t="shared" si="28"/>
        <v/>
      </c>
      <c r="BT7" t="str">
        <f t="shared" si="3"/>
        <v/>
      </c>
      <c r="BU7" t="str">
        <f t="shared" si="29"/>
        <v/>
      </c>
      <c r="BV7" t="str">
        <f t="shared" si="30"/>
        <v/>
      </c>
      <c r="BW7" t="str">
        <f t="shared" si="31"/>
        <v/>
      </c>
      <c r="BX7" t="str">
        <f t="shared" si="32"/>
        <v/>
      </c>
      <c r="BY7" t="str">
        <f t="shared" si="33"/>
        <v/>
      </c>
      <c r="BZ7" t="str">
        <f t="shared" si="34"/>
        <v/>
      </c>
      <c r="CA7" t="str">
        <f t="shared" si="35"/>
        <v/>
      </c>
      <c r="CB7" t="str">
        <f t="shared" si="4"/>
        <v/>
      </c>
      <c r="CC7" t="str">
        <f t="shared" si="36"/>
        <v/>
      </c>
      <c r="CD7" t="str">
        <f t="shared" si="5"/>
        <v/>
      </c>
      <c r="CE7" t="str">
        <f t="shared" si="37"/>
        <v>Bowles 5th edition</v>
      </c>
      <c r="CF7">
        <f t="shared" si="6"/>
        <v>122</v>
      </c>
      <c r="CG7" t="str">
        <f t="shared" si="38"/>
        <v/>
      </c>
      <c r="CH7" t="str">
        <f t="shared" si="7"/>
        <v/>
      </c>
      <c r="CI7" t="str">
        <f t="shared" si="39"/>
        <v/>
      </c>
      <c r="CJ7" t="str">
        <f t="shared" si="40"/>
        <v/>
      </c>
    </row>
    <row r="8" spans="2:88" x14ac:dyDescent="0.3">
      <c r="B8" t="str">
        <f t="shared" si="8"/>
        <v>36.831919-76.120058</v>
      </c>
      <c r="C8" t="s">
        <v>7</v>
      </c>
      <c r="D8">
        <v>36.831918999999999</v>
      </c>
      <c r="E8">
        <v>-76.120058</v>
      </c>
      <c r="F8">
        <v>7.5</v>
      </c>
      <c r="G8" t="str">
        <f t="shared" si="9"/>
        <v>-10.5-12.536.831919-76.120058</v>
      </c>
      <c r="H8">
        <f t="shared" si="10"/>
        <v>-10.5</v>
      </c>
      <c r="I8">
        <v>-12.5</v>
      </c>
      <c r="J8" t="s">
        <v>21</v>
      </c>
      <c r="L8" t="s">
        <v>8</v>
      </c>
      <c r="M8">
        <v>4</v>
      </c>
      <c r="Q8" s="1" t="str">
        <f t="shared" si="11"/>
        <v/>
      </c>
      <c r="S8" t="str">
        <f t="shared" si="0"/>
        <v>Sand</v>
      </c>
      <c r="T8">
        <f t="shared" si="12"/>
        <v>1</v>
      </c>
      <c r="AA8">
        <v>80</v>
      </c>
      <c r="AB8" s="1">
        <f t="shared" si="13"/>
        <v>5</v>
      </c>
      <c r="AC8">
        <f t="shared" si="14"/>
        <v>4</v>
      </c>
      <c r="AD8" t="str">
        <f t="shared" si="15"/>
        <v/>
      </c>
      <c r="AE8" t="str">
        <f t="shared" si="16"/>
        <v/>
      </c>
      <c r="AG8" s="21" t="str">
        <f t="shared" si="17"/>
        <v/>
      </c>
      <c r="AI8" s="6" t="str">
        <f t="shared" si="18"/>
        <v/>
      </c>
      <c r="AM8" s="7" t="str">
        <f t="shared" si="19"/>
        <v/>
      </c>
      <c r="AQ8" s="8" t="str">
        <f t="shared" si="20"/>
        <v/>
      </c>
      <c r="AW8" s="25" t="str">
        <f t="shared" si="21"/>
        <v/>
      </c>
      <c r="AZ8" s="12" t="str">
        <f t="shared" si="22"/>
        <v/>
      </c>
      <c r="BI8" s="17" t="str">
        <f t="shared" si="23"/>
        <v/>
      </c>
      <c r="BM8" t="str">
        <f t="shared" si="24"/>
        <v>SPT Relationship</v>
      </c>
      <c r="BN8">
        <f t="shared" si="1"/>
        <v>108</v>
      </c>
      <c r="BO8" t="str">
        <f t="shared" si="25"/>
        <v>Wolff, 1989</v>
      </c>
      <c r="BP8">
        <f t="shared" si="2"/>
        <v>28</v>
      </c>
      <c r="BQ8" t="str">
        <f t="shared" si="26"/>
        <v/>
      </c>
      <c r="BR8" t="str">
        <f t="shared" si="27"/>
        <v/>
      </c>
      <c r="BS8" t="str">
        <f t="shared" si="28"/>
        <v/>
      </c>
      <c r="BT8" t="str">
        <f t="shared" si="3"/>
        <v/>
      </c>
      <c r="BU8" t="str">
        <f t="shared" si="29"/>
        <v/>
      </c>
      <c r="BV8" t="str">
        <f t="shared" si="30"/>
        <v/>
      </c>
      <c r="BW8" t="str">
        <f t="shared" si="31"/>
        <v/>
      </c>
      <c r="BX8" t="str">
        <f t="shared" si="32"/>
        <v/>
      </c>
      <c r="BY8" t="str">
        <f t="shared" si="33"/>
        <v/>
      </c>
      <c r="BZ8" t="str">
        <f t="shared" si="34"/>
        <v/>
      </c>
      <c r="CA8" t="str">
        <f t="shared" si="35"/>
        <v/>
      </c>
      <c r="CB8" t="str">
        <f t="shared" si="4"/>
        <v/>
      </c>
      <c r="CC8" t="str">
        <f t="shared" si="36"/>
        <v/>
      </c>
      <c r="CD8" t="str">
        <f t="shared" si="5"/>
        <v/>
      </c>
      <c r="CE8" t="str">
        <f t="shared" si="37"/>
        <v>Bowles 5th edition</v>
      </c>
      <c r="CF8">
        <f t="shared" si="6"/>
        <v>128</v>
      </c>
      <c r="CG8" t="str">
        <f t="shared" si="38"/>
        <v/>
      </c>
      <c r="CH8" t="str">
        <f t="shared" si="7"/>
        <v/>
      </c>
      <c r="CI8" t="str">
        <f t="shared" si="39"/>
        <v/>
      </c>
      <c r="CJ8" t="str">
        <f t="shared" si="40"/>
        <v/>
      </c>
    </row>
    <row r="9" spans="2:88" x14ac:dyDescent="0.3">
      <c r="B9" t="str">
        <f t="shared" si="8"/>
        <v>36.831919-76.120058</v>
      </c>
      <c r="C9" t="s">
        <v>7</v>
      </c>
      <c r="D9">
        <v>36.831918999999999</v>
      </c>
      <c r="E9">
        <v>-76.120058</v>
      </c>
      <c r="F9">
        <v>7.5</v>
      </c>
      <c r="G9" t="str">
        <f t="shared" si="9"/>
        <v>-15.5-17.536.831919-76.120058</v>
      </c>
      <c r="H9">
        <f t="shared" si="10"/>
        <v>-15.5</v>
      </c>
      <c r="I9">
        <v>-17.5</v>
      </c>
      <c r="J9" t="s">
        <v>21</v>
      </c>
      <c r="L9" t="s">
        <v>8</v>
      </c>
      <c r="M9">
        <v>5</v>
      </c>
      <c r="Q9" s="1" t="str">
        <f t="shared" si="11"/>
        <v/>
      </c>
      <c r="S9" t="str">
        <f t="shared" si="0"/>
        <v>Sand</v>
      </c>
      <c r="T9">
        <f t="shared" si="12"/>
        <v>1</v>
      </c>
      <c r="AA9">
        <v>80</v>
      </c>
      <c r="AB9" s="1">
        <f t="shared" si="13"/>
        <v>7</v>
      </c>
      <c r="AC9">
        <f t="shared" si="14"/>
        <v>6</v>
      </c>
      <c r="AD9" t="str">
        <f t="shared" si="15"/>
        <v/>
      </c>
      <c r="AE9" t="str">
        <f t="shared" si="16"/>
        <v/>
      </c>
      <c r="AG9" s="21" t="str">
        <f t="shared" si="17"/>
        <v/>
      </c>
      <c r="AI9" s="6" t="str">
        <f t="shared" si="18"/>
        <v/>
      </c>
      <c r="AM9" s="7" t="str">
        <f t="shared" si="19"/>
        <v/>
      </c>
      <c r="AQ9" s="8" t="str">
        <f t="shared" si="20"/>
        <v/>
      </c>
      <c r="AW9" s="25" t="str">
        <f t="shared" si="21"/>
        <v/>
      </c>
      <c r="AZ9" s="12" t="str">
        <f t="shared" si="22"/>
        <v/>
      </c>
      <c r="BI9" s="17" t="str">
        <f t="shared" si="23"/>
        <v/>
      </c>
      <c r="BM9" t="str">
        <f t="shared" si="24"/>
        <v>SPT Relationship</v>
      </c>
      <c r="BN9">
        <f t="shared" si="1"/>
        <v>111</v>
      </c>
      <c r="BO9" t="str">
        <f t="shared" si="25"/>
        <v>Wolff, 1989</v>
      </c>
      <c r="BP9">
        <f t="shared" si="2"/>
        <v>28</v>
      </c>
      <c r="BQ9" t="str">
        <f t="shared" si="26"/>
        <v/>
      </c>
      <c r="BR9" t="str">
        <f t="shared" si="27"/>
        <v/>
      </c>
      <c r="BS9" t="str">
        <f t="shared" si="28"/>
        <v/>
      </c>
      <c r="BT9" t="str">
        <f t="shared" si="3"/>
        <v/>
      </c>
      <c r="BU9" t="str">
        <f t="shared" si="29"/>
        <v/>
      </c>
      <c r="BV9" t="str">
        <f t="shared" si="30"/>
        <v/>
      </c>
      <c r="BW9" t="str">
        <f t="shared" si="31"/>
        <v/>
      </c>
      <c r="BX9" t="str">
        <f t="shared" si="32"/>
        <v/>
      </c>
      <c r="BY9" t="str">
        <f t="shared" si="33"/>
        <v/>
      </c>
      <c r="BZ9" t="str">
        <f t="shared" si="34"/>
        <v/>
      </c>
      <c r="CA9" t="str">
        <f t="shared" si="35"/>
        <v/>
      </c>
      <c r="CB9" t="str">
        <f t="shared" si="4"/>
        <v/>
      </c>
      <c r="CC9" t="str">
        <f t="shared" si="36"/>
        <v/>
      </c>
      <c r="CD9" t="str">
        <f t="shared" si="5"/>
        <v/>
      </c>
      <c r="CE9" t="str">
        <f t="shared" si="37"/>
        <v>Bowles 5th edition</v>
      </c>
      <c r="CF9">
        <f t="shared" si="6"/>
        <v>141</v>
      </c>
      <c r="CG9" t="str">
        <f t="shared" si="38"/>
        <v/>
      </c>
      <c r="CH9" t="str">
        <f t="shared" si="7"/>
        <v/>
      </c>
      <c r="CI9" t="str">
        <f t="shared" si="39"/>
        <v/>
      </c>
      <c r="CJ9" t="str">
        <f t="shared" si="40"/>
        <v/>
      </c>
    </row>
    <row r="10" spans="2:88" x14ac:dyDescent="0.3">
      <c r="B10" t="str">
        <f t="shared" si="8"/>
        <v>36.831919-76.120058</v>
      </c>
      <c r="C10" t="s">
        <v>7</v>
      </c>
      <c r="D10">
        <v>36.831918999999999</v>
      </c>
      <c r="E10">
        <v>-76.120058</v>
      </c>
      <c r="F10">
        <v>7.5</v>
      </c>
      <c r="G10" t="str">
        <f t="shared" si="9"/>
        <v>-20.5-22.536.831919-76.120058</v>
      </c>
      <c r="H10">
        <f t="shared" si="10"/>
        <v>-20.5</v>
      </c>
      <c r="I10">
        <v>-22.5</v>
      </c>
      <c r="J10" t="s">
        <v>21</v>
      </c>
      <c r="L10" t="s">
        <v>8</v>
      </c>
      <c r="M10">
        <v>11</v>
      </c>
      <c r="Q10" s="1" t="str">
        <f t="shared" si="11"/>
        <v/>
      </c>
      <c r="S10" t="str">
        <f t="shared" si="0"/>
        <v>Sand</v>
      </c>
      <c r="T10">
        <f t="shared" si="12"/>
        <v>1</v>
      </c>
      <c r="AA10">
        <v>80</v>
      </c>
      <c r="AB10" s="1">
        <f t="shared" si="13"/>
        <v>15</v>
      </c>
      <c r="AC10">
        <f t="shared" si="14"/>
        <v>11</v>
      </c>
      <c r="AD10" t="str">
        <f t="shared" si="15"/>
        <v/>
      </c>
      <c r="AE10" t="str">
        <f t="shared" si="16"/>
        <v/>
      </c>
      <c r="AG10" s="21" t="str">
        <f t="shared" si="17"/>
        <v/>
      </c>
      <c r="AI10" s="6" t="str">
        <f t="shared" si="18"/>
        <v/>
      </c>
      <c r="AM10" s="7" t="str">
        <f t="shared" si="19"/>
        <v/>
      </c>
      <c r="AQ10" s="8" t="str">
        <f t="shared" si="20"/>
        <v/>
      </c>
      <c r="AW10" s="25" t="str">
        <f t="shared" si="21"/>
        <v/>
      </c>
      <c r="AZ10" s="12" t="str">
        <f t="shared" si="22"/>
        <v/>
      </c>
      <c r="BI10" s="17" t="str">
        <f t="shared" si="23"/>
        <v/>
      </c>
      <c r="BM10" t="str">
        <f t="shared" si="24"/>
        <v>SPT Relationship</v>
      </c>
      <c r="BN10">
        <f t="shared" si="1"/>
        <v>119</v>
      </c>
      <c r="BO10" t="str">
        <f t="shared" si="25"/>
        <v>Wolff, 1989</v>
      </c>
      <c r="BP10">
        <f t="shared" si="2"/>
        <v>30</v>
      </c>
      <c r="BQ10" t="str">
        <f t="shared" si="26"/>
        <v/>
      </c>
      <c r="BR10" t="str">
        <f t="shared" si="27"/>
        <v/>
      </c>
      <c r="BS10" t="str">
        <f t="shared" si="28"/>
        <v/>
      </c>
      <c r="BT10" t="str">
        <f t="shared" si="3"/>
        <v/>
      </c>
      <c r="BU10" t="str">
        <f t="shared" si="29"/>
        <v/>
      </c>
      <c r="BV10" t="str">
        <f t="shared" si="30"/>
        <v/>
      </c>
      <c r="BW10" t="str">
        <f t="shared" si="31"/>
        <v/>
      </c>
      <c r="BX10" t="str">
        <f t="shared" si="32"/>
        <v/>
      </c>
      <c r="BY10" t="str">
        <f t="shared" si="33"/>
        <v/>
      </c>
      <c r="BZ10" t="str">
        <f t="shared" si="34"/>
        <v/>
      </c>
      <c r="CA10" t="str">
        <f t="shared" si="35"/>
        <v/>
      </c>
      <c r="CB10" t="str">
        <f t="shared" si="4"/>
        <v/>
      </c>
      <c r="CC10" t="str">
        <f t="shared" si="36"/>
        <v/>
      </c>
      <c r="CD10" t="str">
        <f t="shared" si="5"/>
        <v/>
      </c>
      <c r="CE10" t="str">
        <f t="shared" si="37"/>
        <v>Bowles 5th edition</v>
      </c>
      <c r="CF10">
        <f t="shared" si="6"/>
        <v>192</v>
      </c>
      <c r="CG10" t="str">
        <f t="shared" si="38"/>
        <v/>
      </c>
      <c r="CH10" t="str">
        <f t="shared" si="7"/>
        <v/>
      </c>
      <c r="CI10" t="str">
        <f t="shared" si="39"/>
        <v/>
      </c>
      <c r="CJ10" t="str">
        <f t="shared" si="40"/>
        <v/>
      </c>
    </row>
    <row r="11" spans="2:88" x14ac:dyDescent="0.3">
      <c r="B11" t="str">
        <f t="shared" si="8"/>
        <v>36.831919-76.120058</v>
      </c>
      <c r="C11" t="s">
        <v>7</v>
      </c>
      <c r="D11">
        <v>36.831918999999999</v>
      </c>
      <c r="E11">
        <v>-76.120058</v>
      </c>
      <c r="F11">
        <v>7.5</v>
      </c>
      <c r="G11" t="str">
        <f t="shared" si="9"/>
        <v>-25.5-27.536.831919-76.120058</v>
      </c>
      <c r="H11">
        <f t="shared" si="10"/>
        <v>-25.5</v>
      </c>
      <c r="I11">
        <v>-27.5</v>
      </c>
      <c r="J11" t="s">
        <v>21</v>
      </c>
      <c r="L11" t="s">
        <v>8</v>
      </c>
      <c r="M11">
        <v>4</v>
      </c>
      <c r="Q11" s="1" t="str">
        <f t="shared" si="11"/>
        <v/>
      </c>
      <c r="S11" t="str">
        <f t="shared" si="0"/>
        <v>Sand</v>
      </c>
      <c r="T11">
        <f t="shared" si="12"/>
        <v>1</v>
      </c>
      <c r="AA11">
        <v>80</v>
      </c>
      <c r="AB11" s="1">
        <f t="shared" si="13"/>
        <v>5</v>
      </c>
      <c r="AC11">
        <f t="shared" si="14"/>
        <v>3</v>
      </c>
      <c r="AD11" t="str">
        <f t="shared" si="15"/>
        <v/>
      </c>
      <c r="AE11" t="str">
        <f t="shared" si="16"/>
        <v/>
      </c>
      <c r="AG11" s="21" t="str">
        <f t="shared" si="17"/>
        <v/>
      </c>
      <c r="AI11" s="6" t="str">
        <f t="shared" si="18"/>
        <v/>
      </c>
      <c r="AM11" s="7" t="str">
        <f t="shared" si="19"/>
        <v/>
      </c>
      <c r="AQ11" s="8" t="str">
        <f t="shared" si="20"/>
        <v/>
      </c>
      <c r="AW11" s="25" t="str">
        <f t="shared" si="21"/>
        <v/>
      </c>
      <c r="AZ11" s="12" t="str">
        <f t="shared" si="22"/>
        <v/>
      </c>
      <c r="BI11" s="17" t="str">
        <f t="shared" si="23"/>
        <v/>
      </c>
      <c r="BM11" t="str">
        <f t="shared" si="24"/>
        <v>SPT Relationship</v>
      </c>
      <c r="BN11">
        <f t="shared" si="1"/>
        <v>108</v>
      </c>
      <c r="BO11" t="str">
        <f t="shared" si="25"/>
        <v>Wolff, 1989</v>
      </c>
      <c r="BP11">
        <f t="shared" si="2"/>
        <v>27</v>
      </c>
      <c r="BQ11" t="str">
        <f t="shared" si="26"/>
        <v/>
      </c>
      <c r="BR11" t="str">
        <f t="shared" si="27"/>
        <v/>
      </c>
      <c r="BS11" t="str">
        <f t="shared" si="28"/>
        <v/>
      </c>
      <c r="BT11" t="str">
        <f t="shared" si="3"/>
        <v/>
      </c>
      <c r="BU11" t="str">
        <f t="shared" si="29"/>
        <v/>
      </c>
      <c r="BV11" t="str">
        <f t="shared" si="30"/>
        <v/>
      </c>
      <c r="BW11" t="str">
        <f t="shared" si="31"/>
        <v/>
      </c>
      <c r="BX11" t="str">
        <f t="shared" si="32"/>
        <v/>
      </c>
      <c r="BY11" t="str">
        <f t="shared" si="33"/>
        <v/>
      </c>
      <c r="BZ11" t="str">
        <f t="shared" si="34"/>
        <v/>
      </c>
      <c r="CA11" t="str">
        <f t="shared" si="35"/>
        <v/>
      </c>
      <c r="CB11" t="str">
        <f t="shared" si="4"/>
        <v/>
      </c>
      <c r="CC11" t="str">
        <f t="shared" si="36"/>
        <v/>
      </c>
      <c r="CD11" t="str">
        <f t="shared" si="5"/>
        <v/>
      </c>
      <c r="CE11" t="str">
        <f t="shared" si="37"/>
        <v>Bowles 5th edition</v>
      </c>
      <c r="CF11">
        <f t="shared" si="6"/>
        <v>128</v>
      </c>
      <c r="CG11" t="str">
        <f t="shared" si="38"/>
        <v/>
      </c>
      <c r="CH11" t="str">
        <f t="shared" si="7"/>
        <v/>
      </c>
      <c r="CI11" t="str">
        <f t="shared" si="39"/>
        <v/>
      </c>
      <c r="CJ11" t="str">
        <f t="shared" si="40"/>
        <v/>
      </c>
    </row>
    <row r="12" spans="2:88" x14ac:dyDescent="0.3">
      <c r="B12" t="str">
        <f t="shared" si="8"/>
        <v>36.831919-76.120058</v>
      </c>
      <c r="C12" t="s">
        <v>7</v>
      </c>
      <c r="D12">
        <v>36.831918999999999</v>
      </c>
      <c r="E12">
        <v>-76.120058</v>
      </c>
      <c r="F12">
        <v>7.5</v>
      </c>
      <c r="G12" t="str">
        <f t="shared" si="9"/>
        <v>-30.5-32.536.831919-76.120058</v>
      </c>
      <c r="H12">
        <f t="shared" si="10"/>
        <v>-30.5</v>
      </c>
      <c r="I12">
        <v>-32.5</v>
      </c>
      <c r="J12" t="s">
        <v>21</v>
      </c>
      <c r="L12" t="s">
        <v>8</v>
      </c>
      <c r="M12">
        <v>2</v>
      </c>
      <c r="N12">
        <v>32</v>
      </c>
      <c r="Q12" s="1" t="str">
        <f t="shared" si="11"/>
        <v/>
      </c>
      <c r="R12">
        <v>10</v>
      </c>
      <c r="S12" t="str">
        <f t="shared" si="0"/>
        <v>Sand</v>
      </c>
      <c r="T12">
        <f t="shared" si="12"/>
        <v>2</v>
      </c>
      <c r="AA12">
        <v>80</v>
      </c>
      <c r="AB12" s="1">
        <f t="shared" si="13"/>
        <v>3</v>
      </c>
      <c r="AC12">
        <f t="shared" si="14"/>
        <v>2</v>
      </c>
      <c r="AD12" t="str">
        <f t="shared" si="15"/>
        <v/>
      </c>
      <c r="AE12" t="str">
        <f t="shared" si="16"/>
        <v/>
      </c>
      <c r="AG12" s="21" t="str">
        <f t="shared" si="17"/>
        <v/>
      </c>
      <c r="AI12" s="6" t="str">
        <f t="shared" si="18"/>
        <v/>
      </c>
      <c r="AM12" s="7" t="str">
        <f t="shared" si="19"/>
        <v/>
      </c>
      <c r="AQ12" s="8" t="str">
        <f t="shared" si="20"/>
        <v/>
      </c>
      <c r="AW12" s="25" t="str">
        <f t="shared" si="21"/>
        <v/>
      </c>
      <c r="AZ12" s="12" t="str">
        <f t="shared" si="22"/>
        <v/>
      </c>
      <c r="BI12" s="17" t="str">
        <f t="shared" si="23"/>
        <v/>
      </c>
      <c r="BM12" t="str">
        <f t="shared" si="24"/>
        <v>SPT Relationship</v>
      </c>
      <c r="BN12">
        <f t="shared" si="1"/>
        <v>101</v>
      </c>
      <c r="BO12" t="str">
        <f t="shared" si="25"/>
        <v>Wolff, 1989</v>
      </c>
      <c r="BP12">
        <f t="shared" si="2"/>
        <v>27</v>
      </c>
      <c r="BQ12" t="str">
        <f t="shared" si="26"/>
        <v/>
      </c>
      <c r="BR12" t="str">
        <f t="shared" si="27"/>
        <v/>
      </c>
      <c r="BS12" t="str">
        <f t="shared" si="28"/>
        <v/>
      </c>
      <c r="BT12" t="str">
        <f t="shared" si="3"/>
        <v/>
      </c>
      <c r="BU12" t="str">
        <f t="shared" si="29"/>
        <v/>
      </c>
      <c r="BV12" t="str">
        <f t="shared" si="30"/>
        <v/>
      </c>
      <c r="BW12" t="str">
        <f t="shared" si="31"/>
        <v/>
      </c>
      <c r="BX12" t="str">
        <f t="shared" si="32"/>
        <v/>
      </c>
      <c r="BY12" t="str">
        <f t="shared" si="33"/>
        <v/>
      </c>
      <c r="BZ12" t="str">
        <f t="shared" si="34"/>
        <v/>
      </c>
      <c r="CA12" t="str">
        <f t="shared" si="35"/>
        <v/>
      </c>
      <c r="CB12" t="str">
        <f t="shared" si="4"/>
        <v/>
      </c>
      <c r="CC12" t="str">
        <f t="shared" si="36"/>
        <v/>
      </c>
      <c r="CD12" t="str">
        <f t="shared" si="5"/>
        <v/>
      </c>
      <c r="CE12" t="str">
        <f t="shared" si="37"/>
        <v>Bowles 5th edition</v>
      </c>
      <c r="CF12">
        <f t="shared" si="6"/>
        <v>115</v>
      </c>
      <c r="CG12" t="str">
        <f t="shared" si="38"/>
        <v>Relationship (Gs=2.67)</v>
      </c>
      <c r="CH12">
        <f t="shared" si="7"/>
        <v>0.85</v>
      </c>
      <c r="CI12" t="str">
        <f t="shared" si="39"/>
        <v/>
      </c>
      <c r="CJ12" t="str">
        <f t="shared" si="40"/>
        <v/>
      </c>
    </row>
    <row r="13" spans="2:88" x14ac:dyDescent="0.3">
      <c r="B13" t="str">
        <f t="shared" si="8"/>
        <v>36.831919-76.120058</v>
      </c>
      <c r="C13" t="s">
        <v>7</v>
      </c>
      <c r="D13">
        <v>36.831918999999999</v>
      </c>
      <c r="E13">
        <v>-76.120058</v>
      </c>
      <c r="F13">
        <v>7.5</v>
      </c>
      <c r="G13" t="str">
        <f t="shared" si="9"/>
        <v>-35.5-37.536.831919-76.120058</v>
      </c>
      <c r="H13">
        <f t="shared" si="10"/>
        <v>-35.5</v>
      </c>
      <c r="I13">
        <v>-37.5</v>
      </c>
      <c r="J13" t="s">
        <v>21</v>
      </c>
      <c r="L13" t="s">
        <v>11</v>
      </c>
      <c r="M13">
        <v>0</v>
      </c>
      <c r="O13">
        <v>13</v>
      </c>
      <c r="P13">
        <v>36</v>
      </c>
      <c r="Q13" s="1">
        <f t="shared" si="11"/>
        <v>23</v>
      </c>
      <c r="R13">
        <v>60</v>
      </c>
      <c r="S13" t="str">
        <f t="shared" si="0"/>
        <v>Clay</v>
      </c>
      <c r="T13">
        <f t="shared" si="12"/>
        <v>2</v>
      </c>
      <c r="AA13">
        <v>80</v>
      </c>
      <c r="AB13" s="1">
        <f t="shared" si="13"/>
        <v>0</v>
      </c>
      <c r="AC13">
        <f t="shared" si="14"/>
        <v>0</v>
      </c>
      <c r="AD13" t="str">
        <f t="shared" si="15"/>
        <v/>
      </c>
      <c r="AE13" t="str">
        <f t="shared" si="16"/>
        <v/>
      </c>
      <c r="AG13" s="21" t="str">
        <f t="shared" si="17"/>
        <v/>
      </c>
      <c r="AI13" s="6" t="str">
        <f t="shared" si="18"/>
        <v/>
      </c>
      <c r="AM13" s="7" t="str">
        <f t="shared" si="19"/>
        <v/>
      </c>
      <c r="AQ13" s="8" t="str">
        <f t="shared" si="20"/>
        <v/>
      </c>
      <c r="AW13" s="25" t="str">
        <f t="shared" si="21"/>
        <v/>
      </c>
      <c r="AZ13" s="12" t="str">
        <f t="shared" si="22"/>
        <v/>
      </c>
      <c r="BI13" s="17" t="str">
        <f t="shared" si="23"/>
        <v/>
      </c>
      <c r="BM13" t="str">
        <f t="shared" si="24"/>
        <v>SPT Relationship</v>
      </c>
      <c r="BN13">
        <f t="shared" si="1"/>
        <v>95</v>
      </c>
      <c r="BO13" t="str">
        <f t="shared" si="25"/>
        <v>Wolff, 1989</v>
      </c>
      <c r="BP13">
        <f t="shared" si="2"/>
        <v>27</v>
      </c>
      <c r="BQ13" t="str">
        <f t="shared" si="26"/>
        <v>GTENG-2476</v>
      </c>
      <c r="BR13">
        <f t="shared" si="27"/>
        <v>23</v>
      </c>
      <c r="BS13" t="str">
        <f t="shared" si="28"/>
        <v>Stroud 1974 (K=3.5)</v>
      </c>
      <c r="BT13">
        <f t="shared" si="3"/>
        <v>0</v>
      </c>
      <c r="BU13" t="str">
        <f t="shared" si="29"/>
        <v>Kulhawy and Mayne 1990</v>
      </c>
      <c r="BV13">
        <f t="shared" si="30"/>
        <v>0.311</v>
      </c>
      <c r="BW13" t="str">
        <f t="shared" si="31"/>
        <v>Kulhawy and Mayne 1990</v>
      </c>
      <c r="BX13">
        <f t="shared" si="32"/>
        <v>6.2E-2</v>
      </c>
      <c r="BY13" t="str">
        <f t="shared" si="33"/>
        <v>Mesri 1990</v>
      </c>
      <c r="BZ13">
        <f t="shared" si="34"/>
        <v>9.2999999999999992E-3</v>
      </c>
      <c r="CA13" t="str">
        <f t="shared" si="35"/>
        <v>NAVFAC Vol. 7.1 Figure 4</v>
      </c>
      <c r="CB13">
        <f t="shared" si="4"/>
        <v>0.28975220480000008</v>
      </c>
      <c r="CC13" t="str">
        <f t="shared" si="36"/>
        <v/>
      </c>
      <c r="CD13" t="str">
        <f t="shared" si="5"/>
        <v/>
      </c>
      <c r="CE13" t="str">
        <f t="shared" si="37"/>
        <v/>
      </c>
      <c r="CF13" t="str">
        <f t="shared" si="6"/>
        <v/>
      </c>
      <c r="CG13" t="str">
        <f t="shared" si="38"/>
        <v/>
      </c>
      <c r="CH13" t="str">
        <f t="shared" si="7"/>
        <v/>
      </c>
      <c r="CI13" t="str">
        <f t="shared" si="39"/>
        <v/>
      </c>
      <c r="CJ13" t="str">
        <f t="shared" si="40"/>
        <v/>
      </c>
    </row>
    <row r="14" spans="2:88" x14ac:dyDescent="0.3">
      <c r="B14" t="str">
        <f t="shared" si="8"/>
        <v>36.831919-76.120058</v>
      </c>
      <c r="C14" t="s">
        <v>7</v>
      </c>
      <c r="D14">
        <v>36.831918999999999</v>
      </c>
      <c r="E14">
        <v>-76.120058</v>
      </c>
      <c r="F14">
        <v>7.5</v>
      </c>
      <c r="G14" t="str">
        <f t="shared" si="9"/>
        <v>-40.5-42.536.831919-76.120058</v>
      </c>
      <c r="H14">
        <f t="shared" si="10"/>
        <v>-40.5</v>
      </c>
      <c r="I14">
        <v>-42.5</v>
      </c>
      <c r="J14" t="s">
        <v>21</v>
      </c>
      <c r="L14" t="s">
        <v>17</v>
      </c>
      <c r="M14">
        <v>0</v>
      </c>
      <c r="Q14" s="1" t="str">
        <f t="shared" si="11"/>
        <v/>
      </c>
      <c r="S14" t="str">
        <f t="shared" si="0"/>
        <v>Sand</v>
      </c>
      <c r="T14">
        <f t="shared" si="12"/>
        <v>1</v>
      </c>
      <c r="AA14">
        <v>80</v>
      </c>
      <c r="AB14" s="1">
        <f t="shared" si="13"/>
        <v>0</v>
      </c>
      <c r="AC14">
        <f t="shared" si="14"/>
        <v>0</v>
      </c>
      <c r="AD14" t="str">
        <f t="shared" si="15"/>
        <v/>
      </c>
      <c r="AE14" t="str">
        <f t="shared" si="16"/>
        <v/>
      </c>
      <c r="AG14" s="21" t="str">
        <f t="shared" si="17"/>
        <v/>
      </c>
      <c r="AI14" s="6" t="str">
        <f t="shared" si="18"/>
        <v/>
      </c>
      <c r="AM14" s="7" t="str">
        <f t="shared" si="19"/>
        <v/>
      </c>
      <c r="AQ14" s="8" t="str">
        <f t="shared" si="20"/>
        <v/>
      </c>
      <c r="AW14" s="25" t="str">
        <f t="shared" si="21"/>
        <v/>
      </c>
      <c r="AZ14" s="12" t="str">
        <f t="shared" si="22"/>
        <v/>
      </c>
      <c r="BI14" s="17" t="str">
        <f t="shared" si="23"/>
        <v/>
      </c>
      <c r="BM14" t="str">
        <f t="shared" si="24"/>
        <v>SPT Relationship</v>
      </c>
      <c r="BN14">
        <f t="shared" si="1"/>
        <v>95</v>
      </c>
      <c r="BO14" t="str">
        <f t="shared" si="25"/>
        <v>Wolff, 1989</v>
      </c>
      <c r="BP14">
        <f t="shared" si="2"/>
        <v>27</v>
      </c>
      <c r="BQ14" t="str">
        <f t="shared" si="26"/>
        <v/>
      </c>
      <c r="BR14" t="str">
        <f t="shared" si="27"/>
        <v/>
      </c>
      <c r="BS14" t="str">
        <f t="shared" si="28"/>
        <v/>
      </c>
      <c r="BT14" t="str">
        <f t="shared" si="3"/>
        <v/>
      </c>
      <c r="BU14" t="str">
        <f t="shared" si="29"/>
        <v/>
      </c>
      <c r="BV14" t="str">
        <f t="shared" si="30"/>
        <v/>
      </c>
      <c r="BW14" t="str">
        <f t="shared" si="31"/>
        <v/>
      </c>
      <c r="BX14" t="str">
        <f t="shared" si="32"/>
        <v/>
      </c>
      <c r="BY14" t="str">
        <f t="shared" si="33"/>
        <v/>
      </c>
      <c r="BZ14" t="str">
        <f t="shared" si="34"/>
        <v/>
      </c>
      <c r="CA14" t="str">
        <f t="shared" si="35"/>
        <v/>
      </c>
      <c r="CB14" t="str">
        <f t="shared" si="4"/>
        <v/>
      </c>
      <c r="CC14" t="str">
        <f t="shared" si="36"/>
        <v/>
      </c>
      <c r="CD14" t="str">
        <f t="shared" si="5"/>
        <v/>
      </c>
      <c r="CE14" t="str">
        <f t="shared" si="37"/>
        <v>Bowles 5th edition</v>
      </c>
      <c r="CF14">
        <f t="shared" si="6"/>
        <v>96</v>
      </c>
      <c r="CG14" t="str">
        <f t="shared" si="38"/>
        <v/>
      </c>
      <c r="CH14" t="str">
        <f t="shared" si="7"/>
        <v/>
      </c>
      <c r="CI14" t="str">
        <f t="shared" si="39"/>
        <v/>
      </c>
      <c r="CJ14" t="str">
        <f t="shared" si="40"/>
        <v/>
      </c>
    </row>
    <row r="15" spans="2:88" x14ac:dyDescent="0.3">
      <c r="B15" t="str">
        <f t="shared" si="8"/>
        <v>36.831919-76.120058</v>
      </c>
      <c r="C15" t="s">
        <v>7</v>
      </c>
      <c r="D15">
        <v>36.831918999999999</v>
      </c>
      <c r="E15">
        <v>-76.120058</v>
      </c>
      <c r="F15">
        <v>7.5</v>
      </c>
      <c r="G15" t="str">
        <f t="shared" si="9"/>
        <v>-45.5-47.536.831919-76.120058</v>
      </c>
      <c r="H15">
        <f t="shared" si="10"/>
        <v>-45.5</v>
      </c>
      <c r="I15">
        <v>-47.5</v>
      </c>
      <c r="J15" t="s">
        <v>21</v>
      </c>
      <c r="L15" t="s">
        <v>17</v>
      </c>
      <c r="M15">
        <v>0</v>
      </c>
      <c r="Q15" s="1" t="str">
        <f t="shared" si="11"/>
        <v/>
      </c>
      <c r="S15" t="str">
        <f t="shared" si="0"/>
        <v>Sand</v>
      </c>
      <c r="T15">
        <f t="shared" si="12"/>
        <v>1</v>
      </c>
      <c r="AA15">
        <v>80</v>
      </c>
      <c r="AB15" s="1">
        <f t="shared" si="13"/>
        <v>0</v>
      </c>
      <c r="AC15">
        <f t="shared" si="14"/>
        <v>0</v>
      </c>
      <c r="AD15" t="str">
        <f t="shared" si="15"/>
        <v/>
      </c>
      <c r="AE15" t="str">
        <f t="shared" si="16"/>
        <v/>
      </c>
      <c r="AG15" s="21" t="str">
        <f t="shared" si="17"/>
        <v/>
      </c>
      <c r="AI15" s="6" t="str">
        <f t="shared" si="18"/>
        <v/>
      </c>
      <c r="AM15" s="7" t="str">
        <f t="shared" si="19"/>
        <v/>
      </c>
      <c r="AQ15" s="8" t="str">
        <f t="shared" si="20"/>
        <v/>
      </c>
      <c r="AW15" s="25" t="str">
        <f t="shared" si="21"/>
        <v/>
      </c>
      <c r="AZ15" s="12" t="str">
        <f t="shared" si="22"/>
        <v/>
      </c>
      <c r="BI15" s="17" t="str">
        <f t="shared" si="23"/>
        <v/>
      </c>
      <c r="BM15" t="str">
        <f t="shared" si="24"/>
        <v>SPT Relationship</v>
      </c>
      <c r="BN15">
        <f t="shared" si="1"/>
        <v>95</v>
      </c>
      <c r="BO15" t="str">
        <f t="shared" si="25"/>
        <v>Wolff, 1989</v>
      </c>
      <c r="BP15">
        <f t="shared" si="2"/>
        <v>27</v>
      </c>
      <c r="BQ15" t="str">
        <f t="shared" si="26"/>
        <v/>
      </c>
      <c r="BR15" t="str">
        <f t="shared" si="27"/>
        <v/>
      </c>
      <c r="BS15" t="str">
        <f t="shared" si="28"/>
        <v/>
      </c>
      <c r="BT15" t="str">
        <f t="shared" si="3"/>
        <v/>
      </c>
      <c r="BU15" t="str">
        <f t="shared" si="29"/>
        <v/>
      </c>
      <c r="BV15" t="str">
        <f t="shared" si="30"/>
        <v/>
      </c>
      <c r="BW15" t="str">
        <f t="shared" si="31"/>
        <v/>
      </c>
      <c r="BX15" t="str">
        <f t="shared" si="32"/>
        <v/>
      </c>
      <c r="BY15" t="str">
        <f t="shared" si="33"/>
        <v/>
      </c>
      <c r="BZ15" t="str">
        <f t="shared" si="34"/>
        <v/>
      </c>
      <c r="CA15" t="str">
        <f t="shared" si="35"/>
        <v/>
      </c>
      <c r="CB15" t="str">
        <f t="shared" si="4"/>
        <v/>
      </c>
      <c r="CC15" t="str">
        <f t="shared" si="36"/>
        <v/>
      </c>
      <c r="CD15" t="str">
        <f t="shared" si="5"/>
        <v/>
      </c>
      <c r="CE15" t="str">
        <f t="shared" si="37"/>
        <v>Bowles 5th edition</v>
      </c>
      <c r="CF15">
        <f t="shared" si="6"/>
        <v>96</v>
      </c>
      <c r="CG15" t="str">
        <f t="shared" si="38"/>
        <v/>
      </c>
      <c r="CH15" t="str">
        <f t="shared" si="7"/>
        <v/>
      </c>
      <c r="CI15" t="str">
        <f t="shared" si="39"/>
        <v/>
      </c>
      <c r="CJ15" t="str">
        <f t="shared" si="40"/>
        <v/>
      </c>
    </row>
    <row r="16" spans="2:88" x14ac:dyDescent="0.3">
      <c r="B16" t="str">
        <f t="shared" si="8"/>
        <v>36.831919-76.120058</v>
      </c>
      <c r="C16" t="s">
        <v>7</v>
      </c>
      <c r="D16">
        <v>36.831918999999999</v>
      </c>
      <c r="E16">
        <v>-76.120058</v>
      </c>
      <c r="F16">
        <v>7.5</v>
      </c>
      <c r="G16" t="str">
        <f t="shared" si="9"/>
        <v>-50.5-52.536.831919-76.120058</v>
      </c>
      <c r="H16">
        <f t="shared" si="10"/>
        <v>-50.5</v>
      </c>
      <c r="I16">
        <v>-52.5</v>
      </c>
      <c r="J16" t="s">
        <v>21</v>
      </c>
      <c r="L16" t="s">
        <v>8</v>
      </c>
      <c r="M16">
        <v>5</v>
      </c>
      <c r="N16">
        <v>27</v>
      </c>
      <c r="Q16" s="1" t="str">
        <f t="shared" si="11"/>
        <v/>
      </c>
      <c r="R16">
        <v>20</v>
      </c>
      <c r="S16" t="str">
        <f t="shared" si="0"/>
        <v>Sand</v>
      </c>
      <c r="T16">
        <f t="shared" si="12"/>
        <v>2</v>
      </c>
      <c r="AA16">
        <v>80</v>
      </c>
      <c r="AB16" s="1">
        <f t="shared" si="13"/>
        <v>7</v>
      </c>
      <c r="AC16">
        <f t="shared" si="14"/>
        <v>3</v>
      </c>
      <c r="AD16" t="str">
        <f t="shared" si="15"/>
        <v/>
      </c>
      <c r="AE16" t="str">
        <f t="shared" si="16"/>
        <v/>
      </c>
      <c r="AG16" s="21" t="str">
        <f t="shared" si="17"/>
        <v/>
      </c>
      <c r="AI16" s="6" t="str">
        <f t="shared" si="18"/>
        <v/>
      </c>
      <c r="AM16" s="7" t="str">
        <f t="shared" si="19"/>
        <v/>
      </c>
      <c r="AQ16" s="8" t="str">
        <f t="shared" si="20"/>
        <v/>
      </c>
      <c r="AW16" s="25" t="str">
        <f t="shared" si="21"/>
        <v/>
      </c>
      <c r="AZ16" s="12" t="str">
        <f t="shared" si="22"/>
        <v/>
      </c>
      <c r="BI16" s="17" t="str">
        <f t="shared" si="23"/>
        <v/>
      </c>
      <c r="BM16" t="str">
        <f t="shared" si="24"/>
        <v>SPT Relationship</v>
      </c>
      <c r="BN16">
        <f t="shared" si="1"/>
        <v>111</v>
      </c>
      <c r="BO16" t="str">
        <f t="shared" si="25"/>
        <v>Wolff, 1989</v>
      </c>
      <c r="BP16">
        <f t="shared" si="2"/>
        <v>27</v>
      </c>
      <c r="BQ16" t="str">
        <f t="shared" si="26"/>
        <v/>
      </c>
      <c r="BR16" t="str">
        <f t="shared" si="27"/>
        <v/>
      </c>
      <c r="BS16" t="str">
        <f t="shared" si="28"/>
        <v/>
      </c>
      <c r="BT16" t="str">
        <f t="shared" si="3"/>
        <v/>
      </c>
      <c r="BU16" t="str">
        <f t="shared" si="29"/>
        <v/>
      </c>
      <c r="BV16" t="str">
        <f t="shared" si="30"/>
        <v/>
      </c>
      <c r="BW16" t="str">
        <f t="shared" si="31"/>
        <v/>
      </c>
      <c r="BX16" t="str">
        <f t="shared" si="32"/>
        <v/>
      </c>
      <c r="BY16" t="str">
        <f t="shared" si="33"/>
        <v/>
      </c>
      <c r="BZ16" t="str">
        <f t="shared" si="34"/>
        <v/>
      </c>
      <c r="CA16" t="str">
        <f t="shared" si="35"/>
        <v/>
      </c>
      <c r="CB16" t="str">
        <f t="shared" si="4"/>
        <v/>
      </c>
      <c r="CC16" t="str">
        <f t="shared" si="36"/>
        <v/>
      </c>
      <c r="CD16" t="str">
        <f t="shared" si="5"/>
        <v/>
      </c>
      <c r="CE16" t="str">
        <f t="shared" si="37"/>
        <v>Bowles 5th edition</v>
      </c>
      <c r="CF16">
        <f t="shared" si="6"/>
        <v>141</v>
      </c>
      <c r="CG16" t="str">
        <f t="shared" si="38"/>
        <v>Relationship (Gs=2.67)</v>
      </c>
      <c r="CH16">
        <f t="shared" si="7"/>
        <v>0.72</v>
      </c>
      <c r="CI16" t="str">
        <f t="shared" si="39"/>
        <v/>
      </c>
      <c r="CJ16" t="str">
        <f t="shared" si="40"/>
        <v/>
      </c>
    </row>
    <row r="17" spans="2:88" x14ac:dyDescent="0.3">
      <c r="B17" t="str">
        <f t="shared" si="8"/>
        <v>36.831919-76.120058</v>
      </c>
      <c r="C17" t="s">
        <v>7</v>
      </c>
      <c r="D17">
        <v>36.831918999999999</v>
      </c>
      <c r="E17">
        <v>-76.120058</v>
      </c>
      <c r="F17">
        <v>7.5</v>
      </c>
      <c r="G17" t="str">
        <f t="shared" si="9"/>
        <v>-55.5-57.536.831919-76.120058</v>
      </c>
      <c r="H17">
        <f t="shared" si="10"/>
        <v>-55.5</v>
      </c>
      <c r="I17">
        <v>-57.5</v>
      </c>
      <c r="J17" t="s">
        <v>21</v>
      </c>
      <c r="L17" t="s">
        <v>8</v>
      </c>
      <c r="M17">
        <v>10</v>
      </c>
      <c r="Q17" s="1" t="str">
        <f t="shared" si="11"/>
        <v/>
      </c>
      <c r="S17" t="str">
        <f t="shared" si="0"/>
        <v>Sand</v>
      </c>
      <c r="T17">
        <f t="shared" si="12"/>
        <v>1</v>
      </c>
      <c r="AA17">
        <v>80</v>
      </c>
      <c r="AB17" s="1">
        <f t="shared" si="13"/>
        <v>13</v>
      </c>
      <c r="AC17">
        <f t="shared" si="14"/>
        <v>7</v>
      </c>
      <c r="AD17" t="str">
        <f t="shared" si="15"/>
        <v/>
      </c>
      <c r="AE17" t="str">
        <f t="shared" si="16"/>
        <v/>
      </c>
      <c r="AG17" s="21" t="str">
        <f t="shared" si="17"/>
        <v/>
      </c>
      <c r="AI17" s="6" t="str">
        <f t="shared" si="18"/>
        <v/>
      </c>
      <c r="AM17" s="7" t="str">
        <f t="shared" si="19"/>
        <v/>
      </c>
      <c r="AQ17" s="8" t="str">
        <f t="shared" si="20"/>
        <v/>
      </c>
      <c r="AW17" s="25" t="str">
        <f t="shared" si="21"/>
        <v/>
      </c>
      <c r="AZ17" s="12" t="str">
        <f t="shared" si="22"/>
        <v/>
      </c>
      <c r="BI17" s="17" t="str">
        <f t="shared" si="23"/>
        <v/>
      </c>
      <c r="BM17" t="str">
        <f t="shared" si="24"/>
        <v>SPT Relationship</v>
      </c>
      <c r="BN17">
        <f t="shared" si="1"/>
        <v>118</v>
      </c>
      <c r="BO17" t="str">
        <f t="shared" si="25"/>
        <v>Wolff, 1989</v>
      </c>
      <c r="BP17">
        <f t="shared" si="2"/>
        <v>29</v>
      </c>
      <c r="BQ17" t="str">
        <f t="shared" si="26"/>
        <v/>
      </c>
      <c r="BR17" t="str">
        <f t="shared" si="27"/>
        <v/>
      </c>
      <c r="BS17" t="str">
        <f t="shared" si="28"/>
        <v/>
      </c>
      <c r="BT17" t="str">
        <f t="shared" si="3"/>
        <v/>
      </c>
      <c r="BU17" t="str">
        <f t="shared" si="29"/>
        <v/>
      </c>
      <c r="BV17" t="str">
        <f t="shared" si="30"/>
        <v/>
      </c>
      <c r="BW17" t="str">
        <f t="shared" si="31"/>
        <v/>
      </c>
      <c r="BX17" t="str">
        <f t="shared" si="32"/>
        <v/>
      </c>
      <c r="BY17" t="str">
        <f t="shared" si="33"/>
        <v/>
      </c>
      <c r="BZ17" t="str">
        <f t="shared" si="34"/>
        <v/>
      </c>
      <c r="CA17" t="str">
        <f t="shared" si="35"/>
        <v/>
      </c>
      <c r="CB17" t="str">
        <f t="shared" si="4"/>
        <v/>
      </c>
      <c r="CC17" t="str">
        <f t="shared" si="36"/>
        <v/>
      </c>
      <c r="CD17" t="str">
        <f t="shared" si="5"/>
        <v/>
      </c>
      <c r="CE17" t="str">
        <f t="shared" si="37"/>
        <v>Bowles 5th edition</v>
      </c>
      <c r="CF17">
        <f t="shared" si="6"/>
        <v>179</v>
      </c>
      <c r="CG17" t="str">
        <f t="shared" si="38"/>
        <v/>
      </c>
      <c r="CH17" t="str">
        <f t="shared" si="7"/>
        <v/>
      </c>
      <c r="CI17" t="str">
        <f t="shared" si="39"/>
        <v/>
      </c>
      <c r="CJ17" t="str">
        <f t="shared" si="40"/>
        <v/>
      </c>
    </row>
    <row r="18" spans="2:88" x14ac:dyDescent="0.3">
      <c r="B18" t="str">
        <f t="shared" si="8"/>
        <v>36.831919-76.120058</v>
      </c>
      <c r="C18" t="s">
        <v>7</v>
      </c>
      <c r="D18">
        <v>36.831918999999999</v>
      </c>
      <c r="E18">
        <v>-76.120058</v>
      </c>
      <c r="F18">
        <v>7.5</v>
      </c>
      <c r="G18" t="str">
        <f t="shared" si="9"/>
        <v>-60.5-62.536.831919-76.120058</v>
      </c>
      <c r="H18">
        <f t="shared" si="10"/>
        <v>-60.5</v>
      </c>
      <c r="I18">
        <v>-62.5</v>
      </c>
      <c r="J18" t="s">
        <v>21</v>
      </c>
      <c r="L18" t="s">
        <v>8</v>
      </c>
      <c r="M18">
        <v>41</v>
      </c>
      <c r="Q18" s="1" t="str">
        <f t="shared" si="11"/>
        <v/>
      </c>
      <c r="S18" t="str">
        <f t="shared" si="0"/>
        <v>Sand</v>
      </c>
      <c r="T18">
        <f t="shared" si="12"/>
        <v>1</v>
      </c>
      <c r="AA18">
        <v>80</v>
      </c>
      <c r="AB18" s="1">
        <f t="shared" si="13"/>
        <v>55</v>
      </c>
      <c r="AC18">
        <f t="shared" si="14"/>
        <v>28</v>
      </c>
      <c r="AD18" t="str">
        <f t="shared" si="15"/>
        <v/>
      </c>
      <c r="AE18" t="str">
        <f t="shared" si="16"/>
        <v/>
      </c>
      <c r="AG18" s="21" t="str">
        <f t="shared" si="17"/>
        <v/>
      </c>
      <c r="AI18" s="6" t="str">
        <f t="shared" si="18"/>
        <v/>
      </c>
      <c r="AM18" s="7" t="str">
        <f t="shared" si="19"/>
        <v/>
      </c>
      <c r="AQ18" s="8" t="str">
        <f t="shared" si="20"/>
        <v/>
      </c>
      <c r="AW18" s="25" t="str">
        <f t="shared" si="21"/>
        <v/>
      </c>
      <c r="AZ18" s="12" t="str">
        <f t="shared" si="22"/>
        <v/>
      </c>
      <c r="BI18" s="17" t="str">
        <f t="shared" si="23"/>
        <v/>
      </c>
      <c r="BM18" t="str">
        <f t="shared" si="24"/>
        <v>SPT Relationship</v>
      </c>
      <c r="BN18">
        <f t="shared" si="1"/>
        <v>135</v>
      </c>
      <c r="BO18" t="str">
        <f t="shared" si="25"/>
        <v>Wolff, 1989</v>
      </c>
      <c r="BP18">
        <f t="shared" si="2"/>
        <v>35</v>
      </c>
      <c r="BQ18" t="str">
        <f t="shared" si="26"/>
        <v/>
      </c>
      <c r="BR18" t="str">
        <f t="shared" si="27"/>
        <v/>
      </c>
      <c r="BS18" t="str">
        <f t="shared" si="28"/>
        <v/>
      </c>
      <c r="BT18" t="str">
        <f t="shared" si="3"/>
        <v/>
      </c>
      <c r="BU18" t="str">
        <f t="shared" si="29"/>
        <v/>
      </c>
      <c r="BV18" t="str">
        <f t="shared" si="30"/>
        <v/>
      </c>
      <c r="BW18" t="str">
        <f t="shared" si="31"/>
        <v/>
      </c>
      <c r="BX18" t="str">
        <f t="shared" si="32"/>
        <v/>
      </c>
      <c r="BY18" t="str">
        <f t="shared" si="33"/>
        <v/>
      </c>
      <c r="BZ18" t="str">
        <f t="shared" si="34"/>
        <v/>
      </c>
      <c r="CA18" t="str">
        <f t="shared" si="35"/>
        <v/>
      </c>
      <c r="CB18" t="str">
        <f t="shared" si="4"/>
        <v/>
      </c>
      <c r="CC18" t="str">
        <f t="shared" si="36"/>
        <v/>
      </c>
      <c r="CD18" t="str">
        <f t="shared" si="5"/>
        <v/>
      </c>
      <c r="CE18" t="str">
        <f t="shared" si="37"/>
        <v>Bowles 5th edition</v>
      </c>
      <c r="CF18">
        <f t="shared" si="6"/>
        <v>448</v>
      </c>
      <c r="CG18" t="str">
        <f t="shared" si="38"/>
        <v/>
      </c>
      <c r="CH18" t="str">
        <f t="shared" si="7"/>
        <v/>
      </c>
      <c r="CI18" t="str">
        <f t="shared" si="39"/>
        <v/>
      </c>
      <c r="CJ18" t="str">
        <f t="shared" si="40"/>
        <v/>
      </c>
    </row>
    <row r="19" spans="2:88" x14ac:dyDescent="0.3">
      <c r="B19" t="str">
        <f t="shared" si="8"/>
        <v>36.831919-76.120058</v>
      </c>
      <c r="C19" t="s">
        <v>7</v>
      </c>
      <c r="D19">
        <v>36.831918999999999</v>
      </c>
      <c r="E19">
        <v>-76.120058</v>
      </c>
      <c r="F19">
        <v>7.5</v>
      </c>
      <c r="G19" t="str">
        <f t="shared" si="9"/>
        <v>-65.5-67.536.831919-76.120058</v>
      </c>
      <c r="H19">
        <f t="shared" si="10"/>
        <v>-65.5</v>
      </c>
      <c r="I19">
        <v>-67.5</v>
      </c>
      <c r="J19" t="s">
        <v>21</v>
      </c>
      <c r="L19" t="s">
        <v>11</v>
      </c>
      <c r="M19">
        <v>32</v>
      </c>
      <c r="Q19" s="1" t="str">
        <f t="shared" si="11"/>
        <v/>
      </c>
      <c r="S19" t="str">
        <f t="shared" si="0"/>
        <v>Clay</v>
      </c>
      <c r="T19">
        <f t="shared" si="12"/>
        <v>1</v>
      </c>
      <c r="AA19">
        <v>80</v>
      </c>
      <c r="AB19" s="1">
        <f t="shared" si="13"/>
        <v>43</v>
      </c>
      <c r="AC19">
        <f t="shared" si="14"/>
        <v>21</v>
      </c>
      <c r="AD19" t="str">
        <f t="shared" si="15"/>
        <v/>
      </c>
      <c r="AE19" t="str">
        <f t="shared" si="16"/>
        <v/>
      </c>
      <c r="AG19" s="21" t="str">
        <f t="shared" si="17"/>
        <v/>
      </c>
      <c r="AI19" s="6" t="str">
        <f t="shared" si="18"/>
        <v/>
      </c>
      <c r="AM19" s="7" t="str">
        <f t="shared" si="19"/>
        <v/>
      </c>
      <c r="AQ19" s="8" t="str">
        <f t="shared" si="20"/>
        <v/>
      </c>
      <c r="AW19" s="25" t="str">
        <f t="shared" si="21"/>
        <v/>
      </c>
      <c r="AZ19" s="12" t="str">
        <f t="shared" si="22"/>
        <v/>
      </c>
      <c r="BI19" s="17" t="str">
        <f t="shared" si="23"/>
        <v/>
      </c>
      <c r="BM19" t="str">
        <f t="shared" si="24"/>
        <v>SPT Relationship</v>
      </c>
      <c r="BN19">
        <f t="shared" si="1"/>
        <v>132</v>
      </c>
      <c r="BO19" t="str">
        <f t="shared" si="25"/>
        <v>Wolff, 1989</v>
      </c>
      <c r="BP19">
        <f t="shared" si="2"/>
        <v>33</v>
      </c>
      <c r="BQ19" t="str">
        <f t="shared" si="26"/>
        <v/>
      </c>
      <c r="BR19" t="str">
        <f t="shared" si="27"/>
        <v/>
      </c>
      <c r="BS19" t="str">
        <f t="shared" si="28"/>
        <v>Stroud 1974 (K=3.5)</v>
      </c>
      <c r="BT19">
        <f t="shared" si="3"/>
        <v>3143</v>
      </c>
      <c r="BU19" t="str">
        <f t="shared" si="29"/>
        <v/>
      </c>
      <c r="BV19" t="str">
        <f t="shared" si="30"/>
        <v/>
      </c>
      <c r="BW19" t="str">
        <f t="shared" si="31"/>
        <v/>
      </c>
      <c r="BX19" t="str">
        <f t="shared" si="32"/>
        <v/>
      </c>
      <c r="BY19" t="str">
        <f t="shared" si="33"/>
        <v/>
      </c>
      <c r="BZ19" t="str">
        <f t="shared" si="34"/>
        <v/>
      </c>
      <c r="CA19" t="str">
        <f t="shared" si="35"/>
        <v/>
      </c>
      <c r="CB19" t="str">
        <f t="shared" si="4"/>
        <v/>
      </c>
      <c r="CC19" t="str">
        <f t="shared" si="36"/>
        <v/>
      </c>
      <c r="CD19" t="str">
        <f t="shared" si="5"/>
        <v/>
      </c>
      <c r="CE19" t="str">
        <f t="shared" si="37"/>
        <v/>
      </c>
      <c r="CF19" t="str">
        <f t="shared" si="6"/>
        <v/>
      </c>
      <c r="CG19" t="str">
        <f t="shared" si="38"/>
        <v/>
      </c>
      <c r="CH19" t="str">
        <f t="shared" si="7"/>
        <v/>
      </c>
      <c r="CI19" t="str">
        <f t="shared" si="39"/>
        <v/>
      </c>
      <c r="CJ19" t="str">
        <f t="shared" si="40"/>
        <v/>
      </c>
    </row>
    <row r="20" spans="2:88" x14ac:dyDescent="0.3">
      <c r="B20" t="str">
        <f t="shared" si="8"/>
        <v>36.831919-76.120058</v>
      </c>
      <c r="C20" t="s">
        <v>7</v>
      </c>
      <c r="D20">
        <v>36.831918999999999</v>
      </c>
      <c r="E20">
        <v>-76.120058</v>
      </c>
      <c r="F20">
        <v>7.5</v>
      </c>
      <c r="G20" t="str">
        <f t="shared" si="9"/>
        <v>-70.5-72.536.831919-76.120058</v>
      </c>
      <c r="H20">
        <f t="shared" si="10"/>
        <v>-70.5</v>
      </c>
      <c r="I20">
        <v>-72.5</v>
      </c>
      <c r="J20" t="s">
        <v>21</v>
      </c>
      <c r="L20" t="s">
        <v>11</v>
      </c>
      <c r="M20">
        <v>11</v>
      </c>
      <c r="Q20" s="1" t="str">
        <f t="shared" si="11"/>
        <v/>
      </c>
      <c r="S20" t="str">
        <f t="shared" si="0"/>
        <v>Clay</v>
      </c>
      <c r="T20">
        <f t="shared" si="12"/>
        <v>1</v>
      </c>
      <c r="AA20">
        <v>80</v>
      </c>
      <c r="AB20" s="1">
        <f t="shared" si="13"/>
        <v>15</v>
      </c>
      <c r="AC20">
        <f t="shared" si="14"/>
        <v>7</v>
      </c>
      <c r="AD20" t="str">
        <f t="shared" si="15"/>
        <v/>
      </c>
      <c r="AE20" t="str">
        <f t="shared" si="16"/>
        <v/>
      </c>
      <c r="AG20" s="21" t="str">
        <f t="shared" si="17"/>
        <v/>
      </c>
      <c r="AI20" s="6" t="str">
        <f t="shared" si="18"/>
        <v/>
      </c>
      <c r="AM20" s="7" t="str">
        <f t="shared" si="19"/>
        <v/>
      </c>
      <c r="AQ20" s="8" t="str">
        <f t="shared" si="20"/>
        <v/>
      </c>
      <c r="AW20" s="25" t="str">
        <f t="shared" si="21"/>
        <v/>
      </c>
      <c r="AZ20" s="12" t="str">
        <f t="shared" si="22"/>
        <v/>
      </c>
      <c r="BI20" s="17" t="str">
        <f t="shared" si="23"/>
        <v/>
      </c>
      <c r="BM20" t="str">
        <f t="shared" si="24"/>
        <v>SPT Relationship</v>
      </c>
      <c r="BN20">
        <f t="shared" si="1"/>
        <v>119</v>
      </c>
      <c r="BO20" t="str">
        <f t="shared" si="25"/>
        <v>Wolff, 1989</v>
      </c>
      <c r="BP20">
        <f t="shared" si="2"/>
        <v>29</v>
      </c>
      <c r="BQ20" t="str">
        <f t="shared" si="26"/>
        <v/>
      </c>
      <c r="BR20" t="str">
        <f t="shared" si="27"/>
        <v/>
      </c>
      <c r="BS20" t="str">
        <f t="shared" si="28"/>
        <v>Stroud 1974 (K=3.5)</v>
      </c>
      <c r="BT20">
        <f t="shared" si="3"/>
        <v>1096</v>
      </c>
      <c r="BU20" t="str">
        <f t="shared" si="29"/>
        <v/>
      </c>
      <c r="BV20" t="str">
        <f t="shared" si="30"/>
        <v/>
      </c>
      <c r="BW20" t="str">
        <f t="shared" si="31"/>
        <v/>
      </c>
      <c r="BX20" t="str">
        <f t="shared" si="32"/>
        <v/>
      </c>
      <c r="BY20" t="str">
        <f t="shared" si="33"/>
        <v/>
      </c>
      <c r="BZ20" t="str">
        <f t="shared" si="34"/>
        <v/>
      </c>
      <c r="CA20" t="str">
        <f t="shared" si="35"/>
        <v/>
      </c>
      <c r="CB20" t="str">
        <f t="shared" si="4"/>
        <v/>
      </c>
      <c r="CC20" t="str">
        <f t="shared" si="36"/>
        <v/>
      </c>
      <c r="CD20" t="str">
        <f t="shared" si="5"/>
        <v/>
      </c>
      <c r="CE20" t="str">
        <f t="shared" si="37"/>
        <v/>
      </c>
      <c r="CF20" t="str">
        <f t="shared" si="6"/>
        <v/>
      </c>
      <c r="CG20" t="str">
        <f t="shared" si="38"/>
        <v/>
      </c>
      <c r="CH20" t="str">
        <f t="shared" si="7"/>
        <v/>
      </c>
      <c r="CI20" t="str">
        <f t="shared" si="39"/>
        <v/>
      </c>
      <c r="CJ20" t="str">
        <f t="shared" si="40"/>
        <v/>
      </c>
    </row>
    <row r="21" spans="2:88" x14ac:dyDescent="0.3">
      <c r="B21" t="str">
        <f t="shared" si="8"/>
        <v>36.831919-76.120058</v>
      </c>
      <c r="C21" t="s">
        <v>7</v>
      </c>
      <c r="D21">
        <v>36.831918999999999</v>
      </c>
      <c r="E21">
        <v>-76.120058</v>
      </c>
      <c r="F21">
        <v>7.5</v>
      </c>
      <c r="G21" t="str">
        <f t="shared" si="9"/>
        <v>-75.5-77.536.831919-76.120058</v>
      </c>
      <c r="H21">
        <f t="shared" si="10"/>
        <v>-75.5</v>
      </c>
      <c r="I21">
        <v>-77.5</v>
      </c>
      <c r="J21" t="s">
        <v>21</v>
      </c>
      <c r="L21" t="s">
        <v>11</v>
      </c>
      <c r="M21">
        <v>12</v>
      </c>
      <c r="N21">
        <v>29</v>
      </c>
      <c r="O21">
        <v>21</v>
      </c>
      <c r="P21">
        <v>41</v>
      </c>
      <c r="Q21" s="1">
        <f t="shared" si="11"/>
        <v>20</v>
      </c>
      <c r="R21">
        <v>60</v>
      </c>
      <c r="S21" t="str">
        <f t="shared" si="0"/>
        <v>Clay</v>
      </c>
      <c r="T21">
        <f t="shared" si="12"/>
        <v>2</v>
      </c>
      <c r="AA21">
        <v>80</v>
      </c>
      <c r="AB21" s="1">
        <f t="shared" si="13"/>
        <v>16</v>
      </c>
      <c r="AC21">
        <f t="shared" si="14"/>
        <v>7</v>
      </c>
      <c r="AD21">
        <f t="shared" si="15"/>
        <v>0.4</v>
      </c>
      <c r="AE21" t="str">
        <f t="shared" si="16"/>
        <v/>
      </c>
      <c r="AG21" s="21" t="str">
        <f t="shared" si="17"/>
        <v/>
      </c>
      <c r="AI21" s="6" t="str">
        <f t="shared" si="18"/>
        <v/>
      </c>
      <c r="AM21" s="7" t="str">
        <f t="shared" si="19"/>
        <v/>
      </c>
      <c r="AQ21" s="8" t="str">
        <f t="shared" si="20"/>
        <v/>
      </c>
      <c r="AW21" s="25" t="str">
        <f t="shared" si="21"/>
        <v/>
      </c>
      <c r="AZ21" s="12" t="str">
        <f t="shared" si="22"/>
        <v/>
      </c>
      <c r="BI21" s="17" t="str">
        <f t="shared" si="23"/>
        <v/>
      </c>
      <c r="BM21" t="str">
        <f t="shared" si="24"/>
        <v>SPT Relationship</v>
      </c>
      <c r="BN21">
        <f t="shared" si="1"/>
        <v>120</v>
      </c>
      <c r="BO21" t="str">
        <f t="shared" si="25"/>
        <v>Wolff, 1989</v>
      </c>
      <c r="BP21">
        <f t="shared" si="2"/>
        <v>29</v>
      </c>
      <c r="BQ21" t="str">
        <f t="shared" si="26"/>
        <v>GTENG-2476</v>
      </c>
      <c r="BR21">
        <f t="shared" si="27"/>
        <v>22</v>
      </c>
      <c r="BS21" t="str">
        <f t="shared" si="28"/>
        <v>Stroud 1974 (K=3.5)</v>
      </c>
      <c r="BT21">
        <f t="shared" si="3"/>
        <v>1170</v>
      </c>
      <c r="BU21" t="str">
        <f t="shared" si="29"/>
        <v>Kulhawy and Mayne 1990</v>
      </c>
      <c r="BV21">
        <f t="shared" si="30"/>
        <v>0.27</v>
      </c>
      <c r="BW21" t="str">
        <f t="shared" si="31"/>
        <v>Kulhawy and Mayne 1990</v>
      </c>
      <c r="BX21">
        <f t="shared" si="32"/>
        <v>5.3999999999999999E-2</v>
      </c>
      <c r="BY21" t="str">
        <f t="shared" si="33"/>
        <v>Mesri 1990</v>
      </c>
      <c r="BZ21">
        <f t="shared" si="34"/>
        <v>8.0999999999999996E-3</v>
      </c>
      <c r="CA21" t="str">
        <f t="shared" si="35"/>
        <v>NAVFAC Vol. 7.1 Figure 4</v>
      </c>
      <c r="CB21">
        <f t="shared" si="4"/>
        <v>0.16852724979999989</v>
      </c>
      <c r="CC21" t="str">
        <f t="shared" si="36"/>
        <v>Stas and Kulhawy 1984</v>
      </c>
      <c r="CD21">
        <f t="shared" si="5"/>
        <v>6051.2279067346999</v>
      </c>
      <c r="CE21" t="str">
        <f t="shared" si="37"/>
        <v/>
      </c>
      <c r="CF21" t="str">
        <f t="shared" si="6"/>
        <v/>
      </c>
      <c r="CG21" t="str">
        <f t="shared" si="38"/>
        <v>Relationship (Gs=2.67)</v>
      </c>
      <c r="CH21">
        <f t="shared" si="7"/>
        <v>0.77</v>
      </c>
      <c r="CI21" t="str">
        <f t="shared" si="39"/>
        <v/>
      </c>
      <c r="CJ21" t="str">
        <f t="shared" si="40"/>
        <v/>
      </c>
    </row>
    <row r="22" spans="2:88" x14ac:dyDescent="0.3">
      <c r="B22" t="str">
        <f t="shared" si="8"/>
        <v>36.831919-76.120058</v>
      </c>
      <c r="C22" t="s">
        <v>7</v>
      </c>
      <c r="D22">
        <v>36.831918999999999</v>
      </c>
      <c r="E22">
        <v>-76.120058</v>
      </c>
      <c r="F22">
        <v>7.5</v>
      </c>
      <c r="G22" t="str">
        <f t="shared" si="9"/>
        <v>-80.5-82.536.831919-76.120058</v>
      </c>
      <c r="H22">
        <f t="shared" si="10"/>
        <v>-80.5</v>
      </c>
      <c r="I22">
        <v>-82.5</v>
      </c>
      <c r="J22" t="s">
        <v>21</v>
      </c>
      <c r="L22" t="s">
        <v>8</v>
      </c>
      <c r="M22">
        <v>11</v>
      </c>
      <c r="Q22" s="1" t="str">
        <f t="shared" si="11"/>
        <v/>
      </c>
      <c r="S22" t="str">
        <f t="shared" si="0"/>
        <v>Sand</v>
      </c>
      <c r="T22">
        <f t="shared" si="12"/>
        <v>1</v>
      </c>
      <c r="AA22">
        <v>80</v>
      </c>
      <c r="AB22" s="1">
        <f t="shared" si="13"/>
        <v>15</v>
      </c>
      <c r="AC22">
        <f t="shared" si="14"/>
        <v>6</v>
      </c>
      <c r="AD22" t="str">
        <f t="shared" si="15"/>
        <v/>
      </c>
      <c r="AE22" t="str">
        <f t="shared" si="16"/>
        <v/>
      </c>
      <c r="AG22" s="21" t="str">
        <f t="shared" si="17"/>
        <v/>
      </c>
      <c r="AI22" s="6" t="str">
        <f t="shared" si="18"/>
        <v/>
      </c>
      <c r="AM22" s="7" t="str">
        <f t="shared" si="19"/>
        <v/>
      </c>
      <c r="AQ22" s="8" t="str">
        <f t="shared" si="20"/>
        <v/>
      </c>
      <c r="AW22" s="25" t="str">
        <f t="shared" si="21"/>
        <v/>
      </c>
      <c r="AZ22" s="12" t="str">
        <f t="shared" si="22"/>
        <v/>
      </c>
      <c r="BI22" s="17" t="str">
        <f t="shared" si="23"/>
        <v/>
      </c>
      <c r="BM22" t="str">
        <f t="shared" si="24"/>
        <v>SPT Relationship</v>
      </c>
      <c r="BN22">
        <f t="shared" si="1"/>
        <v>119</v>
      </c>
      <c r="BO22" t="str">
        <f t="shared" si="25"/>
        <v>Wolff, 1989</v>
      </c>
      <c r="BP22">
        <f t="shared" si="2"/>
        <v>28</v>
      </c>
      <c r="BQ22" t="str">
        <f t="shared" si="26"/>
        <v/>
      </c>
      <c r="BR22" t="str">
        <f t="shared" si="27"/>
        <v/>
      </c>
      <c r="BS22" t="str">
        <f t="shared" si="28"/>
        <v/>
      </c>
      <c r="BT22" t="str">
        <f t="shared" si="3"/>
        <v/>
      </c>
      <c r="BU22" t="str">
        <f t="shared" si="29"/>
        <v/>
      </c>
      <c r="BV22" t="str">
        <f t="shared" si="30"/>
        <v/>
      </c>
      <c r="BW22" t="str">
        <f t="shared" si="31"/>
        <v/>
      </c>
      <c r="BX22" t="str">
        <f t="shared" si="32"/>
        <v/>
      </c>
      <c r="BY22" t="str">
        <f t="shared" si="33"/>
        <v/>
      </c>
      <c r="BZ22" t="str">
        <f t="shared" si="34"/>
        <v/>
      </c>
      <c r="CA22" t="str">
        <f t="shared" si="35"/>
        <v/>
      </c>
      <c r="CB22" t="str">
        <f t="shared" si="4"/>
        <v/>
      </c>
      <c r="CC22" t="str">
        <f t="shared" si="36"/>
        <v/>
      </c>
      <c r="CD22" t="str">
        <f t="shared" si="5"/>
        <v/>
      </c>
      <c r="CE22" t="str">
        <f t="shared" si="37"/>
        <v>Bowles 5th edition</v>
      </c>
      <c r="CF22">
        <f t="shared" si="6"/>
        <v>192</v>
      </c>
      <c r="CG22" t="str">
        <f t="shared" si="38"/>
        <v/>
      </c>
      <c r="CH22" t="str">
        <f t="shared" si="7"/>
        <v/>
      </c>
      <c r="CI22" t="str">
        <f t="shared" si="39"/>
        <v/>
      </c>
      <c r="CJ22" t="str">
        <f t="shared" si="40"/>
        <v/>
      </c>
    </row>
    <row r="23" spans="2:88" x14ac:dyDescent="0.3">
      <c r="B23" t="str">
        <f t="shared" si="8"/>
        <v>36.831919-76.120058</v>
      </c>
      <c r="C23" t="s">
        <v>7</v>
      </c>
      <c r="D23">
        <v>36.831918999999999</v>
      </c>
      <c r="E23">
        <v>-76.120058</v>
      </c>
      <c r="F23">
        <v>7.5</v>
      </c>
      <c r="G23" t="str">
        <f t="shared" si="9"/>
        <v>-85.5-87.536.831919-76.120058</v>
      </c>
      <c r="H23">
        <f t="shared" si="10"/>
        <v>-85.5</v>
      </c>
      <c r="I23">
        <v>-87.5</v>
      </c>
      <c r="J23" t="s">
        <v>21</v>
      </c>
      <c r="L23" t="s">
        <v>8</v>
      </c>
      <c r="M23">
        <v>9</v>
      </c>
      <c r="Q23" s="1" t="str">
        <f t="shared" si="11"/>
        <v/>
      </c>
      <c r="S23" t="str">
        <f t="shared" si="0"/>
        <v>Sand</v>
      </c>
      <c r="T23">
        <f t="shared" si="12"/>
        <v>1</v>
      </c>
      <c r="AA23">
        <v>80</v>
      </c>
      <c r="AB23" s="1">
        <f t="shared" si="13"/>
        <v>12</v>
      </c>
      <c r="AC23">
        <f t="shared" si="14"/>
        <v>5</v>
      </c>
      <c r="AD23" t="str">
        <f t="shared" si="15"/>
        <v/>
      </c>
      <c r="AE23" t="str">
        <f t="shared" si="16"/>
        <v/>
      </c>
      <c r="AG23" s="21" t="str">
        <f t="shared" si="17"/>
        <v/>
      </c>
      <c r="AI23" s="6" t="str">
        <f t="shared" si="18"/>
        <v/>
      </c>
      <c r="AM23" s="7" t="str">
        <f t="shared" si="19"/>
        <v/>
      </c>
      <c r="AQ23" s="8" t="str">
        <f t="shared" si="20"/>
        <v/>
      </c>
      <c r="AW23" s="25" t="str">
        <f t="shared" si="21"/>
        <v/>
      </c>
      <c r="AZ23" s="12" t="str">
        <f t="shared" si="22"/>
        <v/>
      </c>
      <c r="BI23" s="17" t="str">
        <f t="shared" si="23"/>
        <v/>
      </c>
      <c r="BM23" t="str">
        <f t="shared" si="24"/>
        <v>SPT Relationship</v>
      </c>
      <c r="BN23">
        <f t="shared" si="1"/>
        <v>117</v>
      </c>
      <c r="BO23" t="str">
        <f t="shared" si="25"/>
        <v>Wolff, 1989</v>
      </c>
      <c r="BP23">
        <f t="shared" si="2"/>
        <v>28</v>
      </c>
      <c r="BQ23" t="str">
        <f t="shared" si="26"/>
        <v/>
      </c>
      <c r="BR23" t="str">
        <f t="shared" si="27"/>
        <v/>
      </c>
      <c r="BS23" t="str">
        <f t="shared" si="28"/>
        <v/>
      </c>
      <c r="BT23" t="str">
        <f t="shared" si="3"/>
        <v/>
      </c>
      <c r="BU23" t="str">
        <f t="shared" si="29"/>
        <v/>
      </c>
      <c r="BV23" t="str">
        <f t="shared" si="30"/>
        <v/>
      </c>
      <c r="BW23" t="str">
        <f t="shared" si="31"/>
        <v/>
      </c>
      <c r="BX23" t="str">
        <f t="shared" si="32"/>
        <v/>
      </c>
      <c r="BY23" t="str">
        <f t="shared" si="33"/>
        <v/>
      </c>
      <c r="BZ23" t="str">
        <f t="shared" si="34"/>
        <v/>
      </c>
      <c r="CA23" t="str">
        <f t="shared" si="35"/>
        <v/>
      </c>
      <c r="CB23" t="str">
        <f t="shared" si="4"/>
        <v/>
      </c>
      <c r="CC23" t="str">
        <f t="shared" si="36"/>
        <v/>
      </c>
      <c r="CD23" t="str">
        <f t="shared" si="5"/>
        <v/>
      </c>
      <c r="CE23" t="str">
        <f t="shared" si="37"/>
        <v>Bowles 5th edition</v>
      </c>
      <c r="CF23">
        <f t="shared" si="6"/>
        <v>173</v>
      </c>
      <c r="CG23" t="str">
        <f t="shared" si="38"/>
        <v/>
      </c>
      <c r="CH23" t="str">
        <f t="shared" si="7"/>
        <v/>
      </c>
      <c r="CI23" t="str">
        <f t="shared" si="39"/>
        <v/>
      </c>
      <c r="CJ23" t="str">
        <f t="shared" si="40"/>
        <v/>
      </c>
    </row>
    <row r="24" spans="2:88" x14ac:dyDescent="0.3">
      <c r="B24" t="str">
        <f t="shared" si="8"/>
        <v>36.831919-76.120058</v>
      </c>
      <c r="C24" t="s">
        <v>7</v>
      </c>
      <c r="D24">
        <v>36.831918999999999</v>
      </c>
      <c r="E24">
        <v>-76.120058</v>
      </c>
      <c r="F24">
        <v>7.5</v>
      </c>
      <c r="G24" t="str">
        <f t="shared" si="9"/>
        <v>-90.5-92.536.831919-76.120058</v>
      </c>
      <c r="H24">
        <f t="shared" si="10"/>
        <v>-90.5</v>
      </c>
      <c r="I24">
        <v>-92.5</v>
      </c>
      <c r="J24" t="s">
        <v>21</v>
      </c>
      <c r="L24" t="s">
        <v>8</v>
      </c>
      <c r="M24">
        <v>16</v>
      </c>
      <c r="Q24" s="1" t="str">
        <f t="shared" si="11"/>
        <v/>
      </c>
      <c r="S24" t="str">
        <f t="shared" si="0"/>
        <v>Sand</v>
      </c>
      <c r="T24">
        <f t="shared" si="12"/>
        <v>1</v>
      </c>
      <c r="AA24">
        <v>80</v>
      </c>
      <c r="AB24" s="1">
        <f t="shared" si="13"/>
        <v>21</v>
      </c>
      <c r="AC24">
        <f t="shared" si="14"/>
        <v>9</v>
      </c>
      <c r="AD24" t="str">
        <f t="shared" si="15"/>
        <v/>
      </c>
      <c r="AE24" t="str">
        <f t="shared" si="16"/>
        <v/>
      </c>
      <c r="AG24" s="21" t="str">
        <f t="shared" si="17"/>
        <v/>
      </c>
      <c r="AI24" s="6" t="str">
        <f t="shared" si="18"/>
        <v/>
      </c>
      <c r="AM24" s="7" t="str">
        <f t="shared" si="19"/>
        <v/>
      </c>
      <c r="AQ24" s="8" t="str">
        <f t="shared" si="20"/>
        <v/>
      </c>
      <c r="AW24" s="25" t="str">
        <f t="shared" si="21"/>
        <v/>
      </c>
      <c r="AZ24" s="12" t="str">
        <f t="shared" si="22"/>
        <v/>
      </c>
      <c r="BI24" s="17" t="str">
        <f t="shared" si="23"/>
        <v/>
      </c>
      <c r="BM24" t="str">
        <f t="shared" si="24"/>
        <v>SPT Relationship</v>
      </c>
      <c r="BN24">
        <f t="shared" si="1"/>
        <v>124</v>
      </c>
      <c r="BO24" t="str">
        <f t="shared" si="25"/>
        <v>Wolff, 1989</v>
      </c>
      <c r="BP24">
        <f t="shared" si="2"/>
        <v>29</v>
      </c>
      <c r="BQ24" t="str">
        <f t="shared" si="26"/>
        <v/>
      </c>
      <c r="BR24" t="str">
        <f t="shared" si="27"/>
        <v/>
      </c>
      <c r="BS24" t="str">
        <f t="shared" si="28"/>
        <v/>
      </c>
      <c r="BT24" t="str">
        <f t="shared" si="3"/>
        <v/>
      </c>
      <c r="BU24" t="str">
        <f t="shared" si="29"/>
        <v/>
      </c>
      <c r="BV24" t="str">
        <f t="shared" si="30"/>
        <v/>
      </c>
      <c r="BW24" t="str">
        <f t="shared" si="31"/>
        <v/>
      </c>
      <c r="BX24" t="str">
        <f t="shared" si="32"/>
        <v/>
      </c>
      <c r="BY24" t="str">
        <f t="shared" si="33"/>
        <v/>
      </c>
      <c r="BZ24" t="str">
        <f t="shared" si="34"/>
        <v/>
      </c>
      <c r="CA24" t="str">
        <f t="shared" si="35"/>
        <v/>
      </c>
      <c r="CB24" t="str">
        <f t="shared" si="4"/>
        <v/>
      </c>
      <c r="CC24" t="str">
        <f t="shared" si="36"/>
        <v/>
      </c>
      <c r="CD24" t="str">
        <f t="shared" si="5"/>
        <v/>
      </c>
      <c r="CE24" t="str">
        <f t="shared" si="37"/>
        <v>Bowles 5th edition</v>
      </c>
      <c r="CF24">
        <f t="shared" si="6"/>
        <v>230</v>
      </c>
      <c r="CG24" t="str">
        <f t="shared" si="38"/>
        <v/>
      </c>
      <c r="CH24" t="str">
        <f t="shared" si="7"/>
        <v/>
      </c>
      <c r="CI24" t="str">
        <f t="shared" si="39"/>
        <v/>
      </c>
      <c r="CJ24" t="str">
        <f t="shared" si="40"/>
        <v/>
      </c>
    </row>
    <row r="25" spans="2:88" x14ac:dyDescent="0.3">
      <c r="B25" t="str">
        <f t="shared" si="8"/>
        <v>36.831919-76.120058</v>
      </c>
      <c r="C25" t="s">
        <v>7</v>
      </c>
      <c r="D25">
        <v>36.831918999999999</v>
      </c>
      <c r="E25">
        <v>-76.120058</v>
      </c>
      <c r="F25">
        <v>7.5</v>
      </c>
      <c r="G25" t="str">
        <f t="shared" si="9"/>
        <v>-95.5-97.536.831919-76.120058</v>
      </c>
      <c r="H25">
        <f t="shared" si="10"/>
        <v>-95.5</v>
      </c>
      <c r="I25">
        <v>-97.5</v>
      </c>
      <c r="J25" t="s">
        <v>21</v>
      </c>
      <c r="L25" t="s">
        <v>18</v>
      </c>
      <c r="M25">
        <v>15</v>
      </c>
      <c r="N25">
        <v>30</v>
      </c>
      <c r="Q25" s="1" t="str">
        <f t="shared" si="11"/>
        <v/>
      </c>
      <c r="R25">
        <v>20</v>
      </c>
      <c r="S25" t="str">
        <f t="shared" si="0"/>
        <v>Sand</v>
      </c>
      <c r="T25">
        <f t="shared" si="12"/>
        <v>2</v>
      </c>
      <c r="AA25">
        <v>80</v>
      </c>
      <c r="AB25" s="1">
        <f t="shared" si="13"/>
        <v>20</v>
      </c>
      <c r="AC25">
        <f t="shared" si="14"/>
        <v>8</v>
      </c>
      <c r="AD25" t="str">
        <f t="shared" si="15"/>
        <v/>
      </c>
      <c r="AE25" t="str">
        <f t="shared" si="16"/>
        <v/>
      </c>
      <c r="AG25" s="21" t="str">
        <f t="shared" si="17"/>
        <v/>
      </c>
      <c r="AI25" s="6" t="str">
        <f t="shared" si="18"/>
        <v/>
      </c>
      <c r="AM25" s="7" t="str">
        <f t="shared" si="19"/>
        <v/>
      </c>
      <c r="AQ25" s="8" t="str">
        <f t="shared" si="20"/>
        <v/>
      </c>
      <c r="AW25" s="25" t="str">
        <f t="shared" si="21"/>
        <v/>
      </c>
      <c r="AZ25" s="12" t="str">
        <f t="shared" si="22"/>
        <v/>
      </c>
      <c r="BI25" s="17" t="str">
        <f t="shared" si="23"/>
        <v/>
      </c>
      <c r="BM25" t="str">
        <f t="shared" si="24"/>
        <v>SPT Relationship</v>
      </c>
      <c r="BN25">
        <f t="shared" si="1"/>
        <v>123</v>
      </c>
      <c r="BO25" t="str">
        <f t="shared" si="25"/>
        <v>Wolff, 1989</v>
      </c>
      <c r="BP25">
        <f t="shared" si="2"/>
        <v>29</v>
      </c>
      <c r="BQ25" t="str">
        <f t="shared" si="26"/>
        <v/>
      </c>
      <c r="BR25" t="str">
        <f t="shared" si="27"/>
        <v/>
      </c>
      <c r="BS25" t="str">
        <f t="shared" si="28"/>
        <v/>
      </c>
      <c r="BT25" t="str">
        <f t="shared" si="3"/>
        <v/>
      </c>
      <c r="BU25" t="str">
        <f t="shared" si="29"/>
        <v/>
      </c>
      <c r="BV25" t="str">
        <f t="shared" si="30"/>
        <v/>
      </c>
      <c r="BW25" t="str">
        <f t="shared" si="31"/>
        <v/>
      </c>
      <c r="BX25" t="str">
        <f t="shared" si="32"/>
        <v/>
      </c>
      <c r="BY25" t="str">
        <f t="shared" si="33"/>
        <v/>
      </c>
      <c r="BZ25" t="str">
        <f t="shared" si="34"/>
        <v/>
      </c>
      <c r="CA25" t="str">
        <f t="shared" si="35"/>
        <v/>
      </c>
      <c r="CB25" t="str">
        <f t="shared" si="4"/>
        <v/>
      </c>
      <c r="CC25" t="str">
        <f t="shared" si="36"/>
        <v/>
      </c>
      <c r="CD25" t="str">
        <f t="shared" si="5"/>
        <v/>
      </c>
      <c r="CE25" t="str">
        <f t="shared" si="37"/>
        <v>Bowles 5th edition</v>
      </c>
      <c r="CF25">
        <f t="shared" si="6"/>
        <v>224</v>
      </c>
      <c r="CG25" t="str">
        <f t="shared" si="38"/>
        <v>Relationship (Gs=2.67)</v>
      </c>
      <c r="CH25">
        <f t="shared" si="7"/>
        <v>0.8</v>
      </c>
      <c r="CI25" t="str">
        <f t="shared" si="39"/>
        <v/>
      </c>
      <c r="CJ25" t="str">
        <f t="shared" si="40"/>
        <v/>
      </c>
    </row>
    <row r="26" spans="2:88" x14ac:dyDescent="0.3">
      <c r="B26" t="str">
        <f t="shared" si="8"/>
        <v>36.831919-76.120058</v>
      </c>
      <c r="C26" t="s">
        <v>7</v>
      </c>
      <c r="D26">
        <v>36.831918999999999</v>
      </c>
      <c r="E26">
        <v>-76.120058</v>
      </c>
      <c r="F26">
        <v>7.5</v>
      </c>
      <c r="G26" t="str">
        <f t="shared" si="9"/>
        <v>-100.5-102.536.831919-76.120058</v>
      </c>
      <c r="H26">
        <f t="shared" si="10"/>
        <v>-100.5</v>
      </c>
      <c r="I26">
        <v>-102.5</v>
      </c>
      <c r="J26" t="s">
        <v>21</v>
      </c>
      <c r="L26" t="s">
        <v>18</v>
      </c>
      <c r="M26">
        <v>18</v>
      </c>
      <c r="Q26" s="1" t="str">
        <f t="shared" si="11"/>
        <v/>
      </c>
      <c r="S26" t="str">
        <f t="shared" si="0"/>
        <v>Sand</v>
      </c>
      <c r="T26">
        <f t="shared" si="12"/>
        <v>1</v>
      </c>
      <c r="AA26">
        <v>80</v>
      </c>
      <c r="AB26" s="1">
        <f t="shared" si="13"/>
        <v>24</v>
      </c>
      <c r="AC26">
        <f t="shared" si="14"/>
        <v>9</v>
      </c>
      <c r="AD26" t="str">
        <f t="shared" si="15"/>
        <v/>
      </c>
      <c r="AE26" t="str">
        <f t="shared" si="16"/>
        <v/>
      </c>
      <c r="AG26" s="21" t="str">
        <f t="shared" si="17"/>
        <v/>
      </c>
      <c r="AI26" s="6" t="str">
        <f t="shared" si="18"/>
        <v/>
      </c>
      <c r="AM26" s="7" t="str">
        <f t="shared" si="19"/>
        <v/>
      </c>
      <c r="AQ26" s="8" t="str">
        <f t="shared" si="20"/>
        <v/>
      </c>
      <c r="AW26" s="25" t="str">
        <f t="shared" si="21"/>
        <v/>
      </c>
      <c r="AZ26" s="12" t="str">
        <f t="shared" si="22"/>
        <v/>
      </c>
      <c r="BI26" s="17" t="str">
        <f t="shared" si="23"/>
        <v/>
      </c>
      <c r="BM26" t="str">
        <f t="shared" si="24"/>
        <v>SPT Relationship</v>
      </c>
      <c r="BN26">
        <f t="shared" si="1"/>
        <v>125</v>
      </c>
      <c r="BO26" t="str">
        <f t="shared" si="25"/>
        <v>Wolff, 1989</v>
      </c>
      <c r="BP26">
        <f t="shared" si="2"/>
        <v>29</v>
      </c>
      <c r="BQ26" t="str">
        <f t="shared" si="26"/>
        <v/>
      </c>
      <c r="BR26" t="str">
        <f t="shared" si="27"/>
        <v/>
      </c>
      <c r="BS26" t="str">
        <f t="shared" si="28"/>
        <v/>
      </c>
      <c r="BT26" t="str">
        <f t="shared" si="3"/>
        <v/>
      </c>
      <c r="BU26" t="str">
        <f t="shared" si="29"/>
        <v/>
      </c>
      <c r="BV26" t="str">
        <f t="shared" si="30"/>
        <v/>
      </c>
      <c r="BW26" t="str">
        <f t="shared" si="31"/>
        <v/>
      </c>
      <c r="BX26" t="str">
        <f t="shared" si="32"/>
        <v/>
      </c>
      <c r="BY26" t="str">
        <f t="shared" si="33"/>
        <v/>
      </c>
      <c r="BZ26" t="str">
        <f t="shared" si="34"/>
        <v/>
      </c>
      <c r="CA26" t="str">
        <f t="shared" si="35"/>
        <v/>
      </c>
      <c r="CB26" t="str">
        <f t="shared" si="4"/>
        <v/>
      </c>
      <c r="CC26" t="str">
        <f t="shared" si="36"/>
        <v/>
      </c>
      <c r="CD26" t="str">
        <f t="shared" si="5"/>
        <v/>
      </c>
      <c r="CE26" t="str">
        <f t="shared" si="37"/>
        <v>Bowles 5th edition</v>
      </c>
      <c r="CF26">
        <f t="shared" si="6"/>
        <v>250</v>
      </c>
      <c r="CG26" t="str">
        <f t="shared" si="38"/>
        <v/>
      </c>
      <c r="CH26" t="str">
        <f t="shared" si="7"/>
        <v/>
      </c>
      <c r="CI26" t="str">
        <f t="shared" si="39"/>
        <v/>
      </c>
      <c r="CJ26" t="str">
        <f t="shared" si="40"/>
        <v/>
      </c>
    </row>
    <row r="27" spans="2:88" x14ac:dyDescent="0.3">
      <c r="B27" t="str">
        <f t="shared" si="8"/>
        <v>36.831919-76.120058</v>
      </c>
      <c r="C27" t="s">
        <v>7</v>
      </c>
      <c r="D27">
        <v>36.831918999999999</v>
      </c>
      <c r="E27">
        <v>-76.120058</v>
      </c>
      <c r="F27">
        <v>7.5</v>
      </c>
      <c r="G27" t="str">
        <f t="shared" si="9"/>
        <v>-105.5-107.536.831919-76.120058</v>
      </c>
      <c r="H27">
        <f t="shared" si="10"/>
        <v>-105.5</v>
      </c>
      <c r="I27">
        <v>-107.5</v>
      </c>
      <c r="J27" t="s">
        <v>21</v>
      </c>
      <c r="L27" t="s">
        <v>8</v>
      </c>
      <c r="M27">
        <v>18</v>
      </c>
      <c r="Q27" s="1" t="str">
        <f t="shared" si="11"/>
        <v/>
      </c>
      <c r="S27" t="str">
        <f t="shared" si="0"/>
        <v>Sand</v>
      </c>
      <c r="T27">
        <f t="shared" si="12"/>
        <v>1</v>
      </c>
      <c r="AA27">
        <v>80</v>
      </c>
      <c r="AB27" s="1">
        <f t="shared" si="13"/>
        <v>24</v>
      </c>
      <c r="AC27">
        <f t="shared" si="14"/>
        <v>9</v>
      </c>
      <c r="AD27" t="str">
        <f t="shared" si="15"/>
        <v/>
      </c>
      <c r="AE27" t="str">
        <f t="shared" si="16"/>
        <v/>
      </c>
      <c r="AG27" s="21" t="str">
        <f t="shared" si="17"/>
        <v/>
      </c>
      <c r="AI27" s="6" t="str">
        <f t="shared" si="18"/>
        <v/>
      </c>
      <c r="AM27" s="7" t="str">
        <f t="shared" si="19"/>
        <v/>
      </c>
      <c r="AQ27" s="8" t="str">
        <f t="shared" si="20"/>
        <v/>
      </c>
      <c r="AW27" s="25" t="str">
        <f t="shared" si="21"/>
        <v/>
      </c>
      <c r="AZ27" s="12" t="str">
        <f t="shared" si="22"/>
        <v/>
      </c>
      <c r="BI27" s="17" t="str">
        <f t="shared" si="23"/>
        <v/>
      </c>
      <c r="BM27" t="str">
        <f t="shared" si="24"/>
        <v>SPT Relationship</v>
      </c>
      <c r="BN27">
        <f t="shared" si="1"/>
        <v>125</v>
      </c>
      <c r="BO27" t="str">
        <f t="shared" si="25"/>
        <v>Wolff, 1989</v>
      </c>
      <c r="BP27">
        <f t="shared" si="2"/>
        <v>29</v>
      </c>
      <c r="BQ27" t="str">
        <f t="shared" si="26"/>
        <v/>
      </c>
      <c r="BR27" t="str">
        <f t="shared" si="27"/>
        <v/>
      </c>
      <c r="BS27" t="str">
        <f t="shared" si="28"/>
        <v/>
      </c>
      <c r="BT27" t="str">
        <f t="shared" si="3"/>
        <v/>
      </c>
      <c r="BU27" t="str">
        <f t="shared" si="29"/>
        <v/>
      </c>
      <c r="BV27" t="str">
        <f t="shared" si="30"/>
        <v/>
      </c>
      <c r="BW27" t="str">
        <f t="shared" si="31"/>
        <v/>
      </c>
      <c r="BX27" t="str">
        <f t="shared" si="32"/>
        <v/>
      </c>
      <c r="BY27" t="str">
        <f t="shared" si="33"/>
        <v/>
      </c>
      <c r="BZ27" t="str">
        <f t="shared" si="34"/>
        <v/>
      </c>
      <c r="CA27" t="str">
        <f t="shared" si="35"/>
        <v/>
      </c>
      <c r="CB27" t="str">
        <f t="shared" si="4"/>
        <v/>
      </c>
      <c r="CC27" t="str">
        <f t="shared" si="36"/>
        <v/>
      </c>
      <c r="CD27" t="str">
        <f t="shared" si="5"/>
        <v/>
      </c>
      <c r="CE27" t="str">
        <f t="shared" si="37"/>
        <v>Bowles 5th edition</v>
      </c>
      <c r="CF27">
        <f t="shared" si="6"/>
        <v>250</v>
      </c>
      <c r="CG27" t="str">
        <f t="shared" si="38"/>
        <v/>
      </c>
      <c r="CH27" t="str">
        <f t="shared" si="7"/>
        <v/>
      </c>
      <c r="CI27" t="str">
        <f t="shared" si="39"/>
        <v/>
      </c>
      <c r="CJ27" t="str">
        <f t="shared" si="40"/>
        <v/>
      </c>
    </row>
    <row r="28" spans="2:88" x14ac:dyDescent="0.3">
      <c r="B28" t="str">
        <f t="shared" si="8"/>
        <v>36.831919-76.120058</v>
      </c>
      <c r="C28" t="s">
        <v>7</v>
      </c>
      <c r="D28">
        <v>36.831918999999999</v>
      </c>
      <c r="E28">
        <v>-76.120058</v>
      </c>
      <c r="F28">
        <v>7.5</v>
      </c>
      <c r="G28" t="str">
        <f t="shared" si="9"/>
        <v>-110.5-112.536.831919-76.120058</v>
      </c>
      <c r="H28">
        <f t="shared" si="10"/>
        <v>-110.5</v>
      </c>
      <c r="I28">
        <v>-112.5</v>
      </c>
      <c r="J28" t="s">
        <v>21</v>
      </c>
      <c r="L28" t="s">
        <v>8</v>
      </c>
      <c r="M28">
        <v>31</v>
      </c>
      <c r="Q28" s="1" t="str">
        <f t="shared" si="11"/>
        <v/>
      </c>
      <c r="S28" t="str">
        <f t="shared" si="0"/>
        <v>Sand</v>
      </c>
      <c r="T28">
        <f t="shared" si="12"/>
        <v>1</v>
      </c>
      <c r="AA28">
        <v>80</v>
      </c>
      <c r="AB28" s="1">
        <f t="shared" si="13"/>
        <v>41</v>
      </c>
      <c r="AC28">
        <f t="shared" si="14"/>
        <v>16</v>
      </c>
      <c r="AD28" t="str">
        <f t="shared" si="15"/>
        <v/>
      </c>
      <c r="AE28" t="str">
        <f t="shared" si="16"/>
        <v/>
      </c>
      <c r="AG28" s="21" t="str">
        <f t="shared" si="17"/>
        <v/>
      </c>
      <c r="AI28" s="6" t="str">
        <f t="shared" si="18"/>
        <v/>
      </c>
      <c r="AM28" s="7" t="str">
        <f t="shared" si="19"/>
        <v/>
      </c>
      <c r="AQ28" s="8" t="str">
        <f t="shared" si="20"/>
        <v/>
      </c>
      <c r="AW28" s="25" t="str">
        <f t="shared" si="21"/>
        <v/>
      </c>
      <c r="AZ28" s="12" t="str">
        <f t="shared" si="22"/>
        <v/>
      </c>
      <c r="BI28" s="17" t="str">
        <f t="shared" si="23"/>
        <v/>
      </c>
      <c r="BM28" t="str">
        <f t="shared" si="24"/>
        <v>SPT Relationship</v>
      </c>
      <c r="BN28">
        <f t="shared" si="1"/>
        <v>132</v>
      </c>
      <c r="BO28" t="str">
        <f t="shared" si="25"/>
        <v>Wolff, 1989</v>
      </c>
      <c r="BP28">
        <f t="shared" si="2"/>
        <v>31</v>
      </c>
      <c r="BQ28" t="str">
        <f t="shared" si="26"/>
        <v/>
      </c>
      <c r="BR28" t="str">
        <f t="shared" si="27"/>
        <v/>
      </c>
      <c r="BS28" t="str">
        <f t="shared" si="28"/>
        <v/>
      </c>
      <c r="BT28" t="str">
        <f t="shared" si="3"/>
        <v/>
      </c>
      <c r="BU28" t="str">
        <f t="shared" si="29"/>
        <v/>
      </c>
      <c r="BV28" t="str">
        <f t="shared" si="30"/>
        <v/>
      </c>
      <c r="BW28" t="str">
        <f t="shared" si="31"/>
        <v/>
      </c>
      <c r="BX28" t="str">
        <f t="shared" si="32"/>
        <v/>
      </c>
      <c r="BY28" t="str">
        <f t="shared" si="33"/>
        <v/>
      </c>
      <c r="BZ28" t="str">
        <f t="shared" si="34"/>
        <v/>
      </c>
      <c r="CA28" t="str">
        <f t="shared" si="35"/>
        <v/>
      </c>
      <c r="CB28" t="str">
        <f t="shared" si="4"/>
        <v/>
      </c>
      <c r="CC28" t="str">
        <f t="shared" si="36"/>
        <v/>
      </c>
      <c r="CD28" t="str">
        <f t="shared" si="5"/>
        <v/>
      </c>
      <c r="CE28" t="str">
        <f t="shared" si="37"/>
        <v>Bowles 5th edition</v>
      </c>
      <c r="CF28">
        <f t="shared" si="6"/>
        <v>358</v>
      </c>
      <c r="CG28" t="str">
        <f t="shared" si="38"/>
        <v/>
      </c>
      <c r="CH28" t="str">
        <f t="shared" si="7"/>
        <v/>
      </c>
      <c r="CI28" t="str">
        <f t="shared" si="39"/>
        <v/>
      </c>
      <c r="CJ28" t="str">
        <f t="shared" si="40"/>
        <v/>
      </c>
    </row>
    <row r="29" spans="2:88" x14ac:dyDescent="0.3">
      <c r="B29" t="str">
        <f t="shared" si="8"/>
        <v>36.831919-76.120058</v>
      </c>
      <c r="C29" t="s">
        <v>7</v>
      </c>
      <c r="D29">
        <v>36.831918999999999</v>
      </c>
      <c r="E29">
        <v>-76.120058</v>
      </c>
      <c r="F29">
        <v>7.5</v>
      </c>
      <c r="G29" t="str">
        <f t="shared" si="9"/>
        <v>-115.5-117.536.831919-76.120058</v>
      </c>
      <c r="H29">
        <f t="shared" si="10"/>
        <v>-115.5</v>
      </c>
      <c r="I29">
        <v>-117.5</v>
      </c>
      <c r="J29" t="s">
        <v>21</v>
      </c>
      <c r="L29" t="s">
        <v>8</v>
      </c>
      <c r="M29">
        <v>29</v>
      </c>
      <c r="Q29" s="1" t="str">
        <f t="shared" si="11"/>
        <v/>
      </c>
      <c r="S29" t="str">
        <f t="shared" si="0"/>
        <v>Sand</v>
      </c>
      <c r="T29">
        <f t="shared" si="12"/>
        <v>1</v>
      </c>
      <c r="AA29">
        <v>80</v>
      </c>
      <c r="AB29" s="1">
        <f t="shared" si="13"/>
        <v>39</v>
      </c>
      <c r="AC29">
        <f t="shared" si="14"/>
        <v>15</v>
      </c>
      <c r="AD29" t="str">
        <f t="shared" si="15"/>
        <v/>
      </c>
      <c r="AE29" t="str">
        <f t="shared" si="16"/>
        <v/>
      </c>
      <c r="AG29" s="21" t="str">
        <f t="shared" si="17"/>
        <v/>
      </c>
      <c r="AI29" s="6" t="str">
        <f t="shared" si="18"/>
        <v/>
      </c>
      <c r="AM29" s="7" t="str">
        <f t="shared" si="19"/>
        <v/>
      </c>
      <c r="AQ29" s="8" t="str">
        <f t="shared" si="20"/>
        <v/>
      </c>
      <c r="AW29" s="25" t="str">
        <f t="shared" si="21"/>
        <v/>
      </c>
      <c r="AZ29" s="12" t="str">
        <f t="shared" si="22"/>
        <v/>
      </c>
      <c r="BI29" s="17" t="str">
        <f t="shared" si="23"/>
        <v/>
      </c>
      <c r="BM29" t="str">
        <f t="shared" si="24"/>
        <v>SPT Relationship</v>
      </c>
      <c r="BN29">
        <f t="shared" si="1"/>
        <v>131</v>
      </c>
      <c r="BO29" t="str">
        <f t="shared" si="25"/>
        <v>Wolff, 1989</v>
      </c>
      <c r="BP29">
        <f t="shared" si="2"/>
        <v>31</v>
      </c>
      <c r="BQ29" t="str">
        <f t="shared" si="26"/>
        <v/>
      </c>
      <c r="BR29" t="str">
        <f t="shared" si="27"/>
        <v/>
      </c>
      <c r="BS29" t="str">
        <f t="shared" si="28"/>
        <v/>
      </c>
      <c r="BT29" t="str">
        <f t="shared" si="3"/>
        <v/>
      </c>
      <c r="BU29" t="str">
        <f t="shared" si="29"/>
        <v/>
      </c>
      <c r="BV29" t="str">
        <f t="shared" si="30"/>
        <v/>
      </c>
      <c r="BW29" t="str">
        <f t="shared" si="31"/>
        <v/>
      </c>
      <c r="BX29" t="str">
        <f t="shared" si="32"/>
        <v/>
      </c>
      <c r="BY29" t="str">
        <f t="shared" si="33"/>
        <v/>
      </c>
      <c r="BZ29" t="str">
        <f t="shared" si="34"/>
        <v/>
      </c>
      <c r="CA29" t="str">
        <f t="shared" si="35"/>
        <v/>
      </c>
      <c r="CB29" t="str">
        <f t="shared" si="4"/>
        <v/>
      </c>
      <c r="CC29" t="str">
        <f t="shared" si="36"/>
        <v/>
      </c>
      <c r="CD29" t="str">
        <f t="shared" si="5"/>
        <v/>
      </c>
      <c r="CE29" t="str">
        <f t="shared" si="37"/>
        <v>Bowles 5th edition</v>
      </c>
      <c r="CF29">
        <f t="shared" si="6"/>
        <v>346</v>
      </c>
      <c r="CG29" t="str">
        <f t="shared" si="38"/>
        <v/>
      </c>
      <c r="CH29" t="str">
        <f t="shared" si="7"/>
        <v/>
      </c>
      <c r="CI29" t="str">
        <f t="shared" si="39"/>
        <v/>
      </c>
      <c r="CJ29" t="str">
        <f t="shared" si="40"/>
        <v/>
      </c>
    </row>
    <row r="30" spans="2:88" x14ac:dyDescent="0.3">
      <c r="B30" t="str">
        <f t="shared" si="8"/>
        <v>36.831919-76.120058</v>
      </c>
      <c r="C30" t="s">
        <v>7</v>
      </c>
      <c r="D30">
        <v>36.831918999999999</v>
      </c>
      <c r="E30">
        <v>-76.120058</v>
      </c>
      <c r="F30">
        <v>7.5</v>
      </c>
      <c r="G30" t="str">
        <f t="shared" si="9"/>
        <v>-120.5-122.536.831919-76.120058</v>
      </c>
      <c r="H30">
        <f t="shared" si="10"/>
        <v>-120.5</v>
      </c>
      <c r="I30">
        <v>-122.5</v>
      </c>
      <c r="J30" t="s">
        <v>21</v>
      </c>
      <c r="L30" t="s">
        <v>16</v>
      </c>
      <c r="M30">
        <v>32</v>
      </c>
      <c r="Q30" s="1" t="str">
        <f t="shared" si="11"/>
        <v/>
      </c>
      <c r="S30" t="str">
        <f t="shared" si="0"/>
        <v>Sand</v>
      </c>
      <c r="T30">
        <f t="shared" si="12"/>
        <v>1</v>
      </c>
      <c r="AA30">
        <v>80</v>
      </c>
      <c r="AB30" s="1">
        <f t="shared" si="13"/>
        <v>43</v>
      </c>
      <c r="AC30">
        <f t="shared" si="14"/>
        <v>16</v>
      </c>
      <c r="AD30" t="str">
        <f t="shared" si="15"/>
        <v/>
      </c>
      <c r="AE30" t="str">
        <f t="shared" si="16"/>
        <v/>
      </c>
      <c r="AG30" s="21" t="str">
        <f t="shared" si="17"/>
        <v/>
      </c>
      <c r="AI30" s="6" t="str">
        <f t="shared" si="18"/>
        <v/>
      </c>
      <c r="AM30" s="7" t="str">
        <f t="shared" si="19"/>
        <v/>
      </c>
      <c r="AQ30" s="8" t="str">
        <f t="shared" si="20"/>
        <v/>
      </c>
      <c r="AW30" s="25" t="str">
        <f t="shared" si="21"/>
        <v/>
      </c>
      <c r="AZ30" s="12" t="str">
        <f t="shared" si="22"/>
        <v/>
      </c>
      <c r="BI30" s="17" t="str">
        <f t="shared" si="23"/>
        <v/>
      </c>
      <c r="BM30" t="str">
        <f t="shared" si="24"/>
        <v>SPT Relationship</v>
      </c>
      <c r="BN30">
        <f t="shared" si="1"/>
        <v>132</v>
      </c>
      <c r="BO30" t="str">
        <f t="shared" si="25"/>
        <v>Wolff, 1989</v>
      </c>
      <c r="BP30">
        <f t="shared" si="2"/>
        <v>31</v>
      </c>
      <c r="BQ30" t="str">
        <f t="shared" si="26"/>
        <v/>
      </c>
      <c r="BR30" t="str">
        <f t="shared" si="27"/>
        <v/>
      </c>
      <c r="BS30" t="str">
        <f t="shared" si="28"/>
        <v/>
      </c>
      <c r="BT30" t="str">
        <f t="shared" si="3"/>
        <v/>
      </c>
      <c r="BU30" t="str">
        <f t="shared" si="29"/>
        <v/>
      </c>
      <c r="BV30" t="str">
        <f t="shared" si="30"/>
        <v/>
      </c>
      <c r="BW30" t="str">
        <f t="shared" si="31"/>
        <v/>
      </c>
      <c r="BX30" t="str">
        <f t="shared" si="32"/>
        <v/>
      </c>
      <c r="BY30" t="str">
        <f t="shared" si="33"/>
        <v/>
      </c>
      <c r="BZ30" t="str">
        <f t="shared" si="34"/>
        <v/>
      </c>
      <c r="CA30" t="str">
        <f t="shared" si="35"/>
        <v/>
      </c>
      <c r="CB30" t="str">
        <f t="shared" si="4"/>
        <v/>
      </c>
      <c r="CC30" t="str">
        <f t="shared" si="36"/>
        <v/>
      </c>
      <c r="CD30" t="str">
        <f t="shared" si="5"/>
        <v/>
      </c>
      <c r="CE30" t="str">
        <f t="shared" si="37"/>
        <v>Bowles 5th edition</v>
      </c>
      <c r="CF30">
        <f t="shared" si="6"/>
        <v>371</v>
      </c>
      <c r="CG30" t="str">
        <f t="shared" si="38"/>
        <v/>
      </c>
      <c r="CH30" t="str">
        <f t="shared" si="7"/>
        <v/>
      </c>
      <c r="CI30" t="str">
        <f t="shared" si="39"/>
        <v/>
      </c>
      <c r="CJ30" t="str">
        <f t="shared" si="40"/>
        <v/>
      </c>
    </row>
    <row r="31" spans="2:88" x14ac:dyDescent="0.3">
      <c r="B31" t="str">
        <f t="shared" si="8"/>
        <v>36.831919-76.120058</v>
      </c>
      <c r="C31" t="s">
        <v>7</v>
      </c>
      <c r="D31">
        <v>36.831918999999999</v>
      </c>
      <c r="E31">
        <v>-76.120058</v>
      </c>
      <c r="F31">
        <v>7.5</v>
      </c>
      <c r="G31" t="str">
        <f t="shared" si="9"/>
        <v>-125.5-127.536.831919-76.120058</v>
      </c>
      <c r="H31">
        <f t="shared" si="10"/>
        <v>-125.5</v>
      </c>
      <c r="I31">
        <v>-127.5</v>
      </c>
      <c r="J31" t="s">
        <v>21</v>
      </c>
      <c r="L31" t="s">
        <v>16</v>
      </c>
      <c r="M31">
        <v>38</v>
      </c>
      <c r="Q31" s="1" t="str">
        <f t="shared" si="11"/>
        <v/>
      </c>
      <c r="S31" t="str">
        <f t="shared" si="0"/>
        <v>Sand</v>
      </c>
      <c r="T31">
        <f t="shared" si="12"/>
        <v>1</v>
      </c>
      <c r="AA31">
        <v>80</v>
      </c>
      <c r="AB31" s="1">
        <f t="shared" si="13"/>
        <v>51</v>
      </c>
      <c r="AC31">
        <f t="shared" si="14"/>
        <v>19</v>
      </c>
      <c r="AD31" t="str">
        <f t="shared" si="15"/>
        <v/>
      </c>
      <c r="AE31" t="str">
        <f t="shared" si="16"/>
        <v/>
      </c>
      <c r="AG31" s="21" t="str">
        <f t="shared" si="17"/>
        <v/>
      </c>
      <c r="AI31" s="6" t="str">
        <f t="shared" si="18"/>
        <v/>
      </c>
      <c r="AM31" s="7" t="str">
        <f t="shared" si="19"/>
        <v/>
      </c>
      <c r="AQ31" s="8" t="str">
        <f t="shared" si="20"/>
        <v/>
      </c>
      <c r="AW31" s="25" t="str">
        <f t="shared" si="21"/>
        <v/>
      </c>
      <c r="AZ31" s="12" t="str">
        <f t="shared" si="22"/>
        <v/>
      </c>
      <c r="BI31" s="17" t="str">
        <f t="shared" si="23"/>
        <v/>
      </c>
      <c r="BM31" t="str">
        <f t="shared" si="24"/>
        <v>SPT Relationship</v>
      </c>
      <c r="BN31">
        <f t="shared" si="1"/>
        <v>134</v>
      </c>
      <c r="BO31" t="str">
        <f t="shared" si="25"/>
        <v>Wolff, 1989</v>
      </c>
      <c r="BP31">
        <f t="shared" si="2"/>
        <v>32</v>
      </c>
      <c r="BQ31" t="str">
        <f t="shared" si="26"/>
        <v/>
      </c>
      <c r="BR31" t="str">
        <f t="shared" si="27"/>
        <v/>
      </c>
      <c r="BS31" t="str">
        <f t="shared" si="28"/>
        <v/>
      </c>
      <c r="BT31" t="str">
        <f t="shared" si="3"/>
        <v/>
      </c>
      <c r="BU31" t="str">
        <f t="shared" si="29"/>
        <v/>
      </c>
      <c r="BV31" t="str">
        <f t="shared" si="30"/>
        <v/>
      </c>
      <c r="BW31" t="str">
        <f t="shared" si="31"/>
        <v/>
      </c>
      <c r="BX31" t="str">
        <f t="shared" si="32"/>
        <v/>
      </c>
      <c r="BY31" t="str">
        <f t="shared" si="33"/>
        <v/>
      </c>
      <c r="BZ31" t="str">
        <f t="shared" si="34"/>
        <v/>
      </c>
      <c r="CA31" t="str">
        <f t="shared" si="35"/>
        <v/>
      </c>
      <c r="CB31" t="str">
        <f t="shared" si="4"/>
        <v/>
      </c>
      <c r="CC31" t="str">
        <f t="shared" si="36"/>
        <v/>
      </c>
      <c r="CD31" t="str">
        <f t="shared" si="5"/>
        <v/>
      </c>
      <c r="CE31" t="str">
        <f t="shared" si="37"/>
        <v>Bowles 5th edition</v>
      </c>
      <c r="CF31">
        <f t="shared" si="6"/>
        <v>422</v>
      </c>
      <c r="CG31" t="str">
        <f t="shared" si="38"/>
        <v/>
      </c>
      <c r="CH31" t="str">
        <f t="shared" si="7"/>
        <v/>
      </c>
      <c r="CI31" t="str">
        <f t="shared" si="39"/>
        <v/>
      </c>
      <c r="CJ31" t="str">
        <f t="shared" si="40"/>
        <v/>
      </c>
    </row>
    <row r="32" spans="2:88" x14ac:dyDescent="0.3">
      <c r="B32" t="str">
        <f t="shared" si="8"/>
        <v>36.831919-76.120058</v>
      </c>
      <c r="C32" t="s">
        <v>7</v>
      </c>
      <c r="D32">
        <v>36.831918999999999</v>
      </c>
      <c r="E32">
        <v>-76.120058</v>
      </c>
      <c r="F32">
        <v>7.5</v>
      </c>
      <c r="G32" t="str">
        <f t="shared" si="9"/>
        <v>-130.5-132.536.831919-76.120058</v>
      </c>
      <c r="H32">
        <f t="shared" si="10"/>
        <v>-130.5</v>
      </c>
      <c r="I32">
        <v>-132.5</v>
      </c>
      <c r="J32" t="s">
        <v>21</v>
      </c>
      <c r="L32" t="s">
        <v>16</v>
      </c>
      <c r="M32">
        <v>56</v>
      </c>
      <c r="Q32" s="1" t="str">
        <f t="shared" si="11"/>
        <v/>
      </c>
      <c r="S32" t="str">
        <f t="shared" si="0"/>
        <v>Sand</v>
      </c>
      <c r="T32">
        <f t="shared" si="12"/>
        <v>1</v>
      </c>
      <c r="AA32">
        <v>80</v>
      </c>
      <c r="AB32" s="1">
        <f t="shared" si="13"/>
        <v>75</v>
      </c>
      <c r="AC32">
        <f t="shared" si="14"/>
        <v>27</v>
      </c>
      <c r="AD32" t="str">
        <f t="shared" si="15"/>
        <v/>
      </c>
      <c r="AE32" t="str">
        <f t="shared" si="16"/>
        <v/>
      </c>
      <c r="AG32" s="21" t="str">
        <f t="shared" si="17"/>
        <v/>
      </c>
      <c r="AI32" s="6" t="str">
        <f t="shared" si="18"/>
        <v/>
      </c>
      <c r="AM32" s="7" t="str">
        <f t="shared" si="19"/>
        <v/>
      </c>
      <c r="AQ32" s="8" t="str">
        <f t="shared" si="20"/>
        <v/>
      </c>
      <c r="AW32" s="25" t="str">
        <f t="shared" si="21"/>
        <v/>
      </c>
      <c r="AZ32" s="12" t="str">
        <f t="shared" si="22"/>
        <v/>
      </c>
      <c r="BI32" s="17" t="str">
        <f t="shared" si="23"/>
        <v/>
      </c>
      <c r="BM32" t="str">
        <f t="shared" si="24"/>
        <v>SPT Relationship</v>
      </c>
      <c r="BN32">
        <f t="shared" si="1"/>
        <v>139</v>
      </c>
      <c r="BO32" t="str">
        <f t="shared" si="25"/>
        <v>Wolff, 1989</v>
      </c>
      <c r="BP32">
        <f t="shared" si="2"/>
        <v>34</v>
      </c>
      <c r="BQ32" t="str">
        <f t="shared" si="26"/>
        <v/>
      </c>
      <c r="BR32" t="str">
        <f t="shared" si="27"/>
        <v/>
      </c>
      <c r="BS32" t="str">
        <f t="shared" si="28"/>
        <v/>
      </c>
      <c r="BT32" t="str">
        <f t="shared" si="3"/>
        <v/>
      </c>
      <c r="BU32" t="str">
        <f t="shared" si="29"/>
        <v/>
      </c>
      <c r="BV32" t="str">
        <f t="shared" si="30"/>
        <v/>
      </c>
      <c r="BW32" t="str">
        <f t="shared" si="31"/>
        <v/>
      </c>
      <c r="BX32" t="str">
        <f t="shared" si="32"/>
        <v/>
      </c>
      <c r="BY32" t="str">
        <f t="shared" si="33"/>
        <v/>
      </c>
      <c r="BZ32" t="str">
        <f t="shared" si="34"/>
        <v/>
      </c>
      <c r="CA32" t="str">
        <f t="shared" si="35"/>
        <v/>
      </c>
      <c r="CB32" t="str">
        <f t="shared" si="4"/>
        <v/>
      </c>
      <c r="CC32" t="str">
        <f t="shared" si="36"/>
        <v/>
      </c>
      <c r="CD32" t="str">
        <f t="shared" si="5"/>
        <v/>
      </c>
      <c r="CE32" t="str">
        <f t="shared" si="37"/>
        <v>Bowles 5th edition</v>
      </c>
      <c r="CF32">
        <f t="shared" si="6"/>
        <v>576</v>
      </c>
      <c r="CG32" t="str">
        <f t="shared" si="38"/>
        <v/>
      </c>
      <c r="CH32" t="str">
        <f t="shared" si="7"/>
        <v/>
      </c>
      <c r="CI32" t="str">
        <f t="shared" si="39"/>
        <v/>
      </c>
      <c r="CJ32" t="str">
        <f t="shared" si="40"/>
        <v/>
      </c>
    </row>
    <row r="33" spans="2:88" x14ac:dyDescent="0.3">
      <c r="B33" t="str">
        <f t="shared" si="8"/>
        <v>36.831919-76.120058</v>
      </c>
      <c r="C33" t="s">
        <v>7</v>
      </c>
      <c r="D33">
        <v>36.831918999999999</v>
      </c>
      <c r="E33">
        <v>-76.120058</v>
      </c>
      <c r="F33">
        <v>7.5</v>
      </c>
      <c r="G33" t="str">
        <f t="shared" si="9"/>
        <v>-135.5-137.536.831919-76.120058</v>
      </c>
      <c r="H33">
        <f t="shared" si="10"/>
        <v>-135.5</v>
      </c>
      <c r="I33">
        <v>-137.5</v>
      </c>
      <c r="J33" t="s">
        <v>21</v>
      </c>
      <c r="L33" t="s">
        <v>16</v>
      </c>
      <c r="M33">
        <v>37</v>
      </c>
      <c r="Q33" s="1" t="str">
        <f t="shared" si="11"/>
        <v/>
      </c>
      <c r="S33" t="str">
        <f t="shared" si="0"/>
        <v>Sand</v>
      </c>
      <c r="T33">
        <f t="shared" si="12"/>
        <v>1</v>
      </c>
      <c r="AA33">
        <v>80</v>
      </c>
      <c r="AB33" s="1">
        <f t="shared" si="13"/>
        <v>49</v>
      </c>
      <c r="AC33">
        <f t="shared" si="14"/>
        <v>17</v>
      </c>
      <c r="AD33" t="str">
        <f t="shared" si="15"/>
        <v/>
      </c>
      <c r="AE33" t="str">
        <f t="shared" si="16"/>
        <v/>
      </c>
      <c r="AG33" s="21" t="str">
        <f t="shared" si="17"/>
        <v/>
      </c>
      <c r="AI33" s="6" t="str">
        <f t="shared" si="18"/>
        <v/>
      </c>
      <c r="AM33" s="7" t="str">
        <f t="shared" si="19"/>
        <v/>
      </c>
      <c r="AQ33" s="8" t="str">
        <f t="shared" si="20"/>
        <v/>
      </c>
      <c r="AW33" s="25" t="str">
        <f t="shared" si="21"/>
        <v/>
      </c>
      <c r="AZ33" s="12" t="str">
        <f t="shared" si="22"/>
        <v/>
      </c>
      <c r="BI33" s="17" t="str">
        <f t="shared" si="23"/>
        <v/>
      </c>
      <c r="BM33" t="str">
        <f t="shared" si="24"/>
        <v>SPT Relationship</v>
      </c>
      <c r="BN33">
        <f t="shared" si="1"/>
        <v>134</v>
      </c>
      <c r="BO33" t="str">
        <f t="shared" si="25"/>
        <v>Wolff, 1989</v>
      </c>
      <c r="BP33">
        <f t="shared" si="2"/>
        <v>32</v>
      </c>
      <c r="BQ33" t="str">
        <f t="shared" si="26"/>
        <v/>
      </c>
      <c r="BR33" t="str">
        <f t="shared" si="27"/>
        <v/>
      </c>
      <c r="BS33" t="str">
        <f t="shared" si="28"/>
        <v/>
      </c>
      <c r="BT33" t="str">
        <f t="shared" si="3"/>
        <v/>
      </c>
      <c r="BU33" t="str">
        <f t="shared" si="29"/>
        <v/>
      </c>
      <c r="BV33" t="str">
        <f t="shared" si="30"/>
        <v/>
      </c>
      <c r="BW33" t="str">
        <f t="shared" si="31"/>
        <v/>
      </c>
      <c r="BX33" t="str">
        <f t="shared" si="32"/>
        <v/>
      </c>
      <c r="BY33" t="str">
        <f t="shared" si="33"/>
        <v/>
      </c>
      <c r="BZ33" t="str">
        <f t="shared" si="34"/>
        <v/>
      </c>
      <c r="CA33" t="str">
        <f t="shared" si="35"/>
        <v/>
      </c>
      <c r="CB33" t="str">
        <f t="shared" si="4"/>
        <v/>
      </c>
      <c r="CC33" t="str">
        <f t="shared" si="36"/>
        <v/>
      </c>
      <c r="CD33" t="str">
        <f t="shared" si="5"/>
        <v/>
      </c>
      <c r="CE33" t="str">
        <f t="shared" si="37"/>
        <v>Bowles 5th edition</v>
      </c>
      <c r="CF33">
        <f t="shared" si="6"/>
        <v>410</v>
      </c>
      <c r="CG33" t="str">
        <f t="shared" si="38"/>
        <v/>
      </c>
      <c r="CH33" t="str">
        <f t="shared" si="7"/>
        <v/>
      </c>
      <c r="CI33" t="str">
        <f t="shared" si="39"/>
        <v/>
      </c>
      <c r="CJ33" t="str">
        <f t="shared" si="40"/>
        <v/>
      </c>
    </row>
    <row r="34" spans="2:88" x14ac:dyDescent="0.3">
      <c r="B34" t="str">
        <f t="shared" si="8"/>
        <v>36.831919-76.120058</v>
      </c>
      <c r="C34" t="s">
        <v>7</v>
      </c>
      <c r="D34">
        <v>36.831918999999999</v>
      </c>
      <c r="E34">
        <v>-76.120058</v>
      </c>
      <c r="F34">
        <v>7.5</v>
      </c>
      <c r="G34" t="str">
        <f t="shared" si="9"/>
        <v>-140.5-142.536.831919-76.120058</v>
      </c>
      <c r="H34">
        <f t="shared" si="10"/>
        <v>-140.5</v>
      </c>
      <c r="I34">
        <v>-142.5</v>
      </c>
      <c r="J34" t="s">
        <v>21</v>
      </c>
      <c r="L34" t="s">
        <v>16</v>
      </c>
      <c r="M34">
        <v>47</v>
      </c>
      <c r="Q34" s="1" t="str">
        <f t="shared" si="11"/>
        <v/>
      </c>
      <c r="S34" t="str">
        <f t="shared" ref="S34:S65" si="41">IF(OR(L34="CL",L34="CH",L34="CL_ML"),"Clay",IF(OR(L34="SM",L34="SC",L34="SP",L34="SP-SM",L34="SP-SC",L34="SC-SM",L34="SW",L34="SW-SM"),"Sand",IF(OR(L34="GP", L34="GM",L34="GC", L34="GP-GM",L34="GW"),"Gravel",IF(OR(L34="ML",L34="MH"),"Silt",IF(OR(L34="OL",L34="OH",L34="PT"),"Organic")))))</f>
        <v>Sand</v>
      </c>
      <c r="T34">
        <f t="shared" si="12"/>
        <v>1</v>
      </c>
      <c r="AA34">
        <v>80</v>
      </c>
      <c r="AB34" s="1">
        <f t="shared" si="13"/>
        <v>63</v>
      </c>
      <c r="AC34">
        <f t="shared" si="14"/>
        <v>22</v>
      </c>
      <c r="AD34" t="str">
        <f t="shared" si="15"/>
        <v/>
      </c>
      <c r="AE34" t="str">
        <f t="shared" si="16"/>
        <v/>
      </c>
      <c r="AG34" s="21" t="str">
        <f t="shared" si="17"/>
        <v/>
      </c>
      <c r="AI34" s="6" t="str">
        <f t="shared" si="18"/>
        <v/>
      </c>
      <c r="AM34" s="7" t="str">
        <f t="shared" si="19"/>
        <v/>
      </c>
      <c r="AQ34" s="8" t="str">
        <f t="shared" si="20"/>
        <v/>
      </c>
      <c r="AW34" s="25" t="str">
        <f t="shared" si="21"/>
        <v/>
      </c>
      <c r="AZ34" s="12" t="str">
        <f t="shared" si="22"/>
        <v/>
      </c>
      <c r="BI34" s="17" t="str">
        <f t="shared" si="23"/>
        <v/>
      </c>
      <c r="BM34" t="str">
        <f t="shared" si="24"/>
        <v>SPT Relationship</v>
      </c>
      <c r="BN34">
        <f t="shared" ref="BN34:BN65" si="42">IFERROR(IF(M34=0,95,ROUND(95*M34^0.095,0)),"")</f>
        <v>137</v>
      </c>
      <c r="BO34" t="str">
        <f t="shared" si="25"/>
        <v>Wolff, 1989</v>
      </c>
      <c r="BP34">
        <f t="shared" ref="BP34:BP65" si="43">ROUNDDOWN(27.1+0.3*AC34-0.00054*AC34^2,0)</f>
        <v>33</v>
      </c>
      <c r="BQ34" t="str">
        <f t="shared" si="26"/>
        <v/>
      </c>
      <c r="BR34" t="str">
        <f t="shared" si="27"/>
        <v/>
      </c>
      <c r="BS34" t="str">
        <f t="shared" si="28"/>
        <v/>
      </c>
      <c r="BT34" t="str">
        <f t="shared" ref="BT34:BT65" si="44">IF(S34="Clay",ROUND((3.5*AB34)*20.885434273039,0),"")</f>
        <v/>
      </c>
      <c r="BU34" t="str">
        <f t="shared" si="29"/>
        <v/>
      </c>
      <c r="BV34" t="str">
        <f t="shared" si="30"/>
        <v/>
      </c>
      <c r="BW34" t="str">
        <f t="shared" si="31"/>
        <v/>
      </c>
      <c r="BX34" t="str">
        <f t="shared" si="32"/>
        <v/>
      </c>
      <c r="BY34" t="str">
        <f t="shared" si="33"/>
        <v/>
      </c>
      <c r="BZ34" t="str">
        <f t="shared" si="34"/>
        <v/>
      </c>
      <c r="CA34" t="str">
        <f t="shared" si="35"/>
        <v/>
      </c>
      <c r="CB34" t="str">
        <f t="shared" ref="CB34:CB65" si="45">IF(P34="","",-0.0000000002*P34^5+0.00000009*P34^4-0.00002*P34^3+0.0019*P34^2-0.0999*P34+2.2178)</f>
        <v/>
      </c>
      <c r="CC34" t="str">
        <f t="shared" si="36"/>
        <v/>
      </c>
      <c r="CD34" t="str">
        <f t="shared" ref="CD34:CD65" si="46">IF(AD34="","",(10^(1.11-1.62*AD34)*100)*20.885434273039)</f>
        <v/>
      </c>
      <c r="CE34" t="str">
        <f t="shared" si="37"/>
        <v>Bowles 5th edition</v>
      </c>
      <c r="CF34">
        <f t="shared" ref="CF34:CF65" si="47">IF(S34="Clay","",IF(AB34="","",ROUND((AB34+15)*6.4,0)))</f>
        <v>499</v>
      </c>
      <c r="CG34" t="str">
        <f t="shared" si="38"/>
        <v/>
      </c>
      <c r="CH34" t="str">
        <f t="shared" ref="CH34:CH65" si="48">IF(N34="","",ROUND(N34/100*2.67,2))</f>
        <v/>
      </c>
      <c r="CI34" t="str">
        <f t="shared" si="39"/>
        <v/>
      </c>
      <c r="CJ34" t="str">
        <f t="shared" si="40"/>
        <v/>
      </c>
    </row>
    <row r="35" spans="2:88" x14ac:dyDescent="0.3">
      <c r="B35" t="str">
        <f t="shared" si="8"/>
        <v>36.831747-76.119917</v>
      </c>
      <c r="C35" t="s">
        <v>9</v>
      </c>
      <c r="D35">
        <v>36.831747</v>
      </c>
      <c r="E35">
        <v>-76.119917000000001</v>
      </c>
      <c r="F35">
        <v>6</v>
      </c>
      <c r="G35" t="str">
        <f t="shared" si="9"/>
        <v>6436.831747-76.119917</v>
      </c>
      <c r="H35">
        <f t="shared" si="10"/>
        <v>6</v>
      </c>
      <c r="I35">
        <v>4</v>
      </c>
      <c r="J35" t="s">
        <v>21</v>
      </c>
      <c r="L35" t="s">
        <v>11</v>
      </c>
      <c r="M35">
        <v>7</v>
      </c>
      <c r="Q35" s="1" t="str">
        <f t="shared" si="11"/>
        <v/>
      </c>
      <c r="S35" t="str">
        <f t="shared" si="41"/>
        <v>Clay</v>
      </c>
      <c r="T35">
        <f t="shared" si="12"/>
        <v>1</v>
      </c>
      <c r="AA35">
        <v>80</v>
      </c>
      <c r="AB35" s="1">
        <f t="shared" si="13"/>
        <v>9</v>
      </c>
      <c r="AC35">
        <f t="shared" si="14"/>
        <v>27</v>
      </c>
      <c r="AD35" t="str">
        <f t="shared" si="15"/>
        <v/>
      </c>
      <c r="AE35" t="str">
        <f t="shared" si="16"/>
        <v/>
      </c>
      <c r="AG35" s="21" t="str">
        <f t="shared" si="17"/>
        <v/>
      </c>
      <c r="AI35" s="6" t="str">
        <f t="shared" si="18"/>
        <v/>
      </c>
      <c r="AM35" s="7" t="str">
        <f t="shared" si="19"/>
        <v/>
      </c>
      <c r="AQ35" s="8" t="str">
        <f t="shared" si="20"/>
        <v/>
      </c>
      <c r="AW35" s="25" t="str">
        <f t="shared" si="21"/>
        <v/>
      </c>
      <c r="AZ35" s="12" t="str">
        <f t="shared" si="22"/>
        <v/>
      </c>
      <c r="BI35" s="17" t="str">
        <f t="shared" si="23"/>
        <v/>
      </c>
      <c r="BM35" t="str">
        <f t="shared" si="24"/>
        <v>SPT Relationship</v>
      </c>
      <c r="BN35">
        <f t="shared" si="42"/>
        <v>114</v>
      </c>
      <c r="BO35" t="str">
        <f t="shared" si="25"/>
        <v>Wolff, 1989</v>
      </c>
      <c r="BP35">
        <f t="shared" si="43"/>
        <v>34</v>
      </c>
      <c r="BQ35" t="str">
        <f t="shared" si="26"/>
        <v/>
      </c>
      <c r="BR35" t="str">
        <f t="shared" si="27"/>
        <v/>
      </c>
      <c r="BS35" t="str">
        <f t="shared" si="28"/>
        <v>Stroud 1974 (K=3.5)</v>
      </c>
      <c r="BT35">
        <f t="shared" si="44"/>
        <v>658</v>
      </c>
      <c r="BU35" t="str">
        <f t="shared" si="29"/>
        <v/>
      </c>
      <c r="BV35" t="str">
        <f t="shared" si="30"/>
        <v/>
      </c>
      <c r="BW35" t="str">
        <f t="shared" si="31"/>
        <v/>
      </c>
      <c r="BX35" t="str">
        <f t="shared" si="32"/>
        <v/>
      </c>
      <c r="BY35" t="str">
        <f t="shared" si="33"/>
        <v/>
      </c>
      <c r="BZ35" t="str">
        <f t="shared" si="34"/>
        <v/>
      </c>
      <c r="CA35" t="str">
        <f t="shared" si="35"/>
        <v/>
      </c>
      <c r="CB35" t="str">
        <f t="shared" si="45"/>
        <v/>
      </c>
      <c r="CC35" t="str">
        <f t="shared" si="36"/>
        <v/>
      </c>
      <c r="CD35" t="str">
        <f t="shared" si="46"/>
        <v/>
      </c>
      <c r="CE35" t="str">
        <f t="shared" si="37"/>
        <v/>
      </c>
      <c r="CF35" t="str">
        <f t="shared" si="47"/>
        <v/>
      </c>
      <c r="CG35" t="str">
        <f t="shared" si="38"/>
        <v/>
      </c>
      <c r="CH35" t="str">
        <f t="shared" si="48"/>
        <v/>
      </c>
      <c r="CI35" t="str">
        <f t="shared" si="39"/>
        <v/>
      </c>
      <c r="CJ35" t="str">
        <f t="shared" si="40"/>
        <v/>
      </c>
    </row>
    <row r="36" spans="2:88" x14ac:dyDescent="0.3">
      <c r="B36" t="str">
        <f t="shared" si="8"/>
        <v>36.831747-76.119917</v>
      </c>
      <c r="C36" t="s">
        <v>9</v>
      </c>
      <c r="D36">
        <v>36.831747</v>
      </c>
      <c r="E36">
        <v>-76.119917000000001</v>
      </c>
      <c r="F36">
        <v>6</v>
      </c>
      <c r="G36" t="str">
        <f t="shared" si="9"/>
        <v>4236.831747-76.119917</v>
      </c>
      <c r="H36">
        <f t="shared" si="10"/>
        <v>4</v>
      </c>
      <c r="I36">
        <v>2</v>
      </c>
      <c r="J36" t="s">
        <v>21</v>
      </c>
      <c r="L36" t="s">
        <v>8</v>
      </c>
      <c r="M36">
        <v>16</v>
      </c>
      <c r="Q36" s="1" t="str">
        <f t="shared" si="11"/>
        <v/>
      </c>
      <c r="S36" t="str">
        <f t="shared" si="41"/>
        <v>Sand</v>
      </c>
      <c r="T36">
        <f t="shared" si="12"/>
        <v>1</v>
      </c>
      <c r="AA36">
        <v>80</v>
      </c>
      <c r="AB36" s="1">
        <f t="shared" si="13"/>
        <v>21</v>
      </c>
      <c r="AC36">
        <f t="shared" si="14"/>
        <v>45</v>
      </c>
      <c r="AD36" t="str">
        <f t="shared" si="15"/>
        <v/>
      </c>
      <c r="AE36" t="str">
        <f t="shared" si="16"/>
        <v/>
      </c>
      <c r="AG36" s="21" t="str">
        <f t="shared" si="17"/>
        <v/>
      </c>
      <c r="AI36" s="6" t="str">
        <f t="shared" si="18"/>
        <v/>
      </c>
      <c r="AM36" s="7" t="str">
        <f t="shared" si="19"/>
        <v/>
      </c>
      <c r="AQ36" s="8" t="str">
        <f t="shared" si="20"/>
        <v/>
      </c>
      <c r="AW36" s="25" t="str">
        <f t="shared" si="21"/>
        <v/>
      </c>
      <c r="AZ36" s="12" t="str">
        <f t="shared" si="22"/>
        <v/>
      </c>
      <c r="BI36" s="17" t="str">
        <f t="shared" si="23"/>
        <v/>
      </c>
      <c r="BM36" t="str">
        <f t="shared" si="24"/>
        <v>SPT Relationship</v>
      </c>
      <c r="BN36">
        <f t="shared" si="42"/>
        <v>124</v>
      </c>
      <c r="BO36" t="str">
        <f t="shared" si="25"/>
        <v>Wolff, 1989</v>
      </c>
      <c r="BP36">
        <f t="shared" si="43"/>
        <v>39</v>
      </c>
      <c r="BQ36" t="str">
        <f t="shared" si="26"/>
        <v/>
      </c>
      <c r="BR36" t="str">
        <f t="shared" si="27"/>
        <v/>
      </c>
      <c r="BS36" t="str">
        <f t="shared" si="28"/>
        <v/>
      </c>
      <c r="BT36" t="str">
        <f t="shared" si="44"/>
        <v/>
      </c>
      <c r="BU36" t="str">
        <f t="shared" si="29"/>
        <v/>
      </c>
      <c r="BV36" t="str">
        <f t="shared" si="30"/>
        <v/>
      </c>
      <c r="BW36" t="str">
        <f t="shared" si="31"/>
        <v/>
      </c>
      <c r="BX36" t="str">
        <f t="shared" si="32"/>
        <v/>
      </c>
      <c r="BY36" t="str">
        <f t="shared" si="33"/>
        <v/>
      </c>
      <c r="BZ36" t="str">
        <f t="shared" si="34"/>
        <v/>
      </c>
      <c r="CA36" t="str">
        <f t="shared" si="35"/>
        <v/>
      </c>
      <c r="CB36" t="str">
        <f t="shared" si="45"/>
        <v/>
      </c>
      <c r="CC36" t="str">
        <f t="shared" si="36"/>
        <v/>
      </c>
      <c r="CD36" t="str">
        <f t="shared" si="46"/>
        <v/>
      </c>
      <c r="CE36" t="str">
        <f t="shared" si="37"/>
        <v>Bowles 5th edition</v>
      </c>
      <c r="CF36">
        <f t="shared" si="47"/>
        <v>230</v>
      </c>
      <c r="CG36" t="str">
        <f t="shared" si="38"/>
        <v/>
      </c>
      <c r="CH36" t="str">
        <f t="shared" si="48"/>
        <v/>
      </c>
      <c r="CI36" t="str">
        <f t="shared" si="39"/>
        <v/>
      </c>
      <c r="CJ36" t="str">
        <f t="shared" si="40"/>
        <v/>
      </c>
    </row>
    <row r="37" spans="2:88" x14ac:dyDescent="0.3">
      <c r="B37" t="str">
        <f t="shared" si="8"/>
        <v>36.831747-76.119917</v>
      </c>
      <c r="C37" t="s">
        <v>9</v>
      </c>
      <c r="D37">
        <v>36.831747</v>
      </c>
      <c r="E37">
        <v>-76.119917000000001</v>
      </c>
      <c r="F37">
        <v>6</v>
      </c>
      <c r="G37" t="str">
        <f t="shared" si="9"/>
        <v>2036.831747-76.119917</v>
      </c>
      <c r="H37">
        <f t="shared" si="10"/>
        <v>2</v>
      </c>
      <c r="I37">
        <v>0</v>
      </c>
      <c r="J37" t="s">
        <v>21</v>
      </c>
      <c r="L37" t="s">
        <v>8</v>
      </c>
      <c r="M37">
        <v>17</v>
      </c>
      <c r="Q37" s="1" t="str">
        <f t="shared" si="11"/>
        <v/>
      </c>
      <c r="S37" t="str">
        <f t="shared" si="41"/>
        <v>Sand</v>
      </c>
      <c r="T37">
        <f t="shared" si="12"/>
        <v>1</v>
      </c>
      <c r="AA37">
        <v>80</v>
      </c>
      <c r="AB37" s="1">
        <f t="shared" si="13"/>
        <v>23</v>
      </c>
      <c r="AC37">
        <f t="shared" si="14"/>
        <v>40</v>
      </c>
      <c r="AD37" t="str">
        <f t="shared" si="15"/>
        <v/>
      </c>
      <c r="AE37" t="str">
        <f t="shared" si="16"/>
        <v/>
      </c>
      <c r="AG37" s="21" t="str">
        <f t="shared" si="17"/>
        <v/>
      </c>
      <c r="AI37" s="6" t="str">
        <f t="shared" si="18"/>
        <v/>
      </c>
      <c r="AM37" s="7" t="str">
        <f t="shared" si="19"/>
        <v/>
      </c>
      <c r="AQ37" s="8" t="str">
        <f t="shared" si="20"/>
        <v/>
      </c>
      <c r="AW37" s="25" t="str">
        <f t="shared" si="21"/>
        <v/>
      </c>
      <c r="AZ37" s="12" t="str">
        <f t="shared" si="22"/>
        <v/>
      </c>
      <c r="BI37" s="17" t="str">
        <f t="shared" si="23"/>
        <v/>
      </c>
      <c r="BM37" t="str">
        <f t="shared" si="24"/>
        <v>SPT Relationship</v>
      </c>
      <c r="BN37">
        <f t="shared" si="42"/>
        <v>124</v>
      </c>
      <c r="BO37" t="str">
        <f t="shared" si="25"/>
        <v>Wolff, 1989</v>
      </c>
      <c r="BP37">
        <f t="shared" si="43"/>
        <v>38</v>
      </c>
      <c r="BQ37" t="str">
        <f t="shared" si="26"/>
        <v/>
      </c>
      <c r="BR37" t="str">
        <f t="shared" si="27"/>
        <v/>
      </c>
      <c r="BS37" t="str">
        <f t="shared" si="28"/>
        <v/>
      </c>
      <c r="BT37" t="str">
        <f t="shared" si="44"/>
        <v/>
      </c>
      <c r="BU37" t="str">
        <f t="shared" si="29"/>
        <v/>
      </c>
      <c r="BV37" t="str">
        <f t="shared" si="30"/>
        <v/>
      </c>
      <c r="BW37" t="str">
        <f t="shared" si="31"/>
        <v/>
      </c>
      <c r="BX37" t="str">
        <f t="shared" si="32"/>
        <v/>
      </c>
      <c r="BY37" t="str">
        <f t="shared" si="33"/>
        <v/>
      </c>
      <c r="BZ37" t="str">
        <f t="shared" si="34"/>
        <v/>
      </c>
      <c r="CA37" t="str">
        <f t="shared" si="35"/>
        <v/>
      </c>
      <c r="CB37" t="str">
        <f t="shared" si="45"/>
        <v/>
      </c>
      <c r="CC37" t="str">
        <f t="shared" si="36"/>
        <v/>
      </c>
      <c r="CD37" t="str">
        <f t="shared" si="46"/>
        <v/>
      </c>
      <c r="CE37" t="str">
        <f t="shared" si="37"/>
        <v>Bowles 5th edition</v>
      </c>
      <c r="CF37">
        <f t="shared" si="47"/>
        <v>243</v>
      </c>
      <c r="CG37" t="str">
        <f t="shared" si="38"/>
        <v/>
      </c>
      <c r="CH37" t="str">
        <f t="shared" si="48"/>
        <v/>
      </c>
      <c r="CI37" t="str">
        <f t="shared" si="39"/>
        <v/>
      </c>
      <c r="CJ37" t="str">
        <f t="shared" si="40"/>
        <v/>
      </c>
    </row>
    <row r="38" spans="2:88" x14ac:dyDescent="0.3">
      <c r="B38" t="str">
        <f t="shared" si="8"/>
        <v>36.831747-76.119917</v>
      </c>
      <c r="C38" t="s">
        <v>9</v>
      </c>
      <c r="D38">
        <v>36.831747</v>
      </c>
      <c r="E38">
        <v>-76.119917000000001</v>
      </c>
      <c r="F38">
        <v>6</v>
      </c>
      <c r="G38" t="str">
        <f t="shared" si="9"/>
        <v>0-236.831747-76.119917</v>
      </c>
      <c r="H38">
        <f t="shared" si="10"/>
        <v>0</v>
      </c>
      <c r="I38">
        <v>-2</v>
      </c>
      <c r="J38" t="s">
        <v>21</v>
      </c>
      <c r="L38" t="s">
        <v>8</v>
      </c>
      <c r="M38">
        <v>18</v>
      </c>
      <c r="Q38" s="1" t="str">
        <f t="shared" si="11"/>
        <v/>
      </c>
      <c r="S38" t="str">
        <f t="shared" si="41"/>
        <v>Sand</v>
      </c>
      <c r="T38">
        <f t="shared" si="12"/>
        <v>1</v>
      </c>
      <c r="AA38">
        <v>80</v>
      </c>
      <c r="AB38" s="1">
        <f t="shared" si="13"/>
        <v>24</v>
      </c>
      <c r="AC38">
        <f t="shared" si="14"/>
        <v>36</v>
      </c>
      <c r="AD38" t="str">
        <f t="shared" si="15"/>
        <v/>
      </c>
      <c r="AE38" t="str">
        <f t="shared" si="16"/>
        <v/>
      </c>
      <c r="AG38" s="21" t="str">
        <f t="shared" si="17"/>
        <v/>
      </c>
      <c r="AI38" s="6" t="str">
        <f t="shared" si="18"/>
        <v/>
      </c>
      <c r="AM38" s="7" t="str">
        <f t="shared" si="19"/>
        <v/>
      </c>
      <c r="AQ38" s="8" t="str">
        <f t="shared" si="20"/>
        <v/>
      </c>
      <c r="AW38" s="25" t="str">
        <f t="shared" si="21"/>
        <v/>
      </c>
      <c r="AZ38" s="12" t="str">
        <f t="shared" si="22"/>
        <v/>
      </c>
      <c r="BI38" s="17" t="str">
        <f t="shared" si="23"/>
        <v/>
      </c>
      <c r="BM38" t="str">
        <f t="shared" si="24"/>
        <v>SPT Relationship</v>
      </c>
      <c r="BN38">
        <f t="shared" si="42"/>
        <v>125</v>
      </c>
      <c r="BO38" t="str">
        <f t="shared" si="25"/>
        <v>Wolff, 1989</v>
      </c>
      <c r="BP38">
        <f t="shared" si="43"/>
        <v>37</v>
      </c>
      <c r="BQ38" t="str">
        <f t="shared" si="26"/>
        <v/>
      </c>
      <c r="BR38" t="str">
        <f t="shared" si="27"/>
        <v/>
      </c>
      <c r="BS38" t="str">
        <f t="shared" si="28"/>
        <v/>
      </c>
      <c r="BT38" t="str">
        <f t="shared" si="44"/>
        <v/>
      </c>
      <c r="BU38" t="str">
        <f t="shared" si="29"/>
        <v/>
      </c>
      <c r="BV38" t="str">
        <f t="shared" si="30"/>
        <v/>
      </c>
      <c r="BW38" t="str">
        <f t="shared" si="31"/>
        <v/>
      </c>
      <c r="BX38" t="str">
        <f t="shared" si="32"/>
        <v/>
      </c>
      <c r="BY38" t="str">
        <f t="shared" si="33"/>
        <v/>
      </c>
      <c r="BZ38" t="str">
        <f t="shared" si="34"/>
        <v/>
      </c>
      <c r="CA38" t="str">
        <f t="shared" si="35"/>
        <v/>
      </c>
      <c r="CB38" t="str">
        <f t="shared" si="45"/>
        <v/>
      </c>
      <c r="CC38" t="str">
        <f t="shared" si="36"/>
        <v/>
      </c>
      <c r="CD38" t="str">
        <f t="shared" si="46"/>
        <v/>
      </c>
      <c r="CE38" t="str">
        <f t="shared" si="37"/>
        <v>Bowles 5th edition</v>
      </c>
      <c r="CF38">
        <f t="shared" si="47"/>
        <v>250</v>
      </c>
      <c r="CG38" t="str">
        <f t="shared" si="38"/>
        <v/>
      </c>
      <c r="CH38" t="str">
        <f t="shared" si="48"/>
        <v/>
      </c>
      <c r="CI38" t="str">
        <f t="shared" si="39"/>
        <v/>
      </c>
      <c r="CJ38" t="str">
        <f t="shared" si="40"/>
        <v/>
      </c>
    </row>
    <row r="39" spans="2:88" x14ac:dyDescent="0.3">
      <c r="B39" t="str">
        <f t="shared" si="8"/>
        <v>36.831747-76.119917</v>
      </c>
      <c r="C39" t="s">
        <v>9</v>
      </c>
      <c r="D39">
        <v>36.831747</v>
      </c>
      <c r="E39">
        <v>-76.119917000000001</v>
      </c>
      <c r="F39">
        <v>6</v>
      </c>
      <c r="G39" t="str">
        <f t="shared" si="9"/>
        <v>-2-436.831747-76.119917</v>
      </c>
      <c r="H39">
        <f t="shared" si="10"/>
        <v>-2</v>
      </c>
      <c r="I39">
        <v>-4</v>
      </c>
      <c r="J39" t="s">
        <v>21</v>
      </c>
      <c r="L39" t="s">
        <v>8</v>
      </c>
      <c r="M39">
        <v>6</v>
      </c>
      <c r="Q39" s="1" t="str">
        <f t="shared" si="11"/>
        <v/>
      </c>
      <c r="S39" t="str">
        <f t="shared" si="41"/>
        <v>Sand</v>
      </c>
      <c r="T39">
        <f t="shared" si="12"/>
        <v>1</v>
      </c>
      <c r="AA39">
        <v>80</v>
      </c>
      <c r="AB39" s="1">
        <f t="shared" si="13"/>
        <v>8</v>
      </c>
      <c r="AC39">
        <f t="shared" si="14"/>
        <v>11</v>
      </c>
      <c r="AD39" t="str">
        <f t="shared" si="15"/>
        <v/>
      </c>
      <c r="AE39" t="str">
        <f t="shared" si="16"/>
        <v/>
      </c>
      <c r="AG39" s="21" t="str">
        <f t="shared" si="17"/>
        <v/>
      </c>
      <c r="AI39" s="6" t="str">
        <f t="shared" si="18"/>
        <v/>
      </c>
      <c r="AM39" s="7" t="str">
        <f t="shared" si="19"/>
        <v/>
      </c>
      <c r="AQ39" s="8" t="str">
        <f t="shared" si="20"/>
        <v/>
      </c>
      <c r="AW39" s="25" t="str">
        <f t="shared" si="21"/>
        <v/>
      </c>
      <c r="AZ39" s="12" t="str">
        <f t="shared" si="22"/>
        <v/>
      </c>
      <c r="BI39" s="17" t="str">
        <f t="shared" si="23"/>
        <v/>
      </c>
      <c r="BM39" t="str">
        <f t="shared" si="24"/>
        <v>SPT Relationship</v>
      </c>
      <c r="BN39">
        <f t="shared" si="42"/>
        <v>113</v>
      </c>
      <c r="BO39" t="str">
        <f t="shared" si="25"/>
        <v>Wolff, 1989</v>
      </c>
      <c r="BP39">
        <f t="shared" si="43"/>
        <v>30</v>
      </c>
      <c r="BQ39" t="str">
        <f t="shared" si="26"/>
        <v/>
      </c>
      <c r="BR39" t="str">
        <f t="shared" si="27"/>
        <v/>
      </c>
      <c r="BS39" t="str">
        <f t="shared" si="28"/>
        <v/>
      </c>
      <c r="BT39" t="str">
        <f t="shared" si="44"/>
        <v/>
      </c>
      <c r="BU39" t="str">
        <f t="shared" si="29"/>
        <v/>
      </c>
      <c r="BV39" t="str">
        <f t="shared" si="30"/>
        <v/>
      </c>
      <c r="BW39" t="str">
        <f t="shared" si="31"/>
        <v/>
      </c>
      <c r="BX39" t="str">
        <f t="shared" si="32"/>
        <v/>
      </c>
      <c r="BY39" t="str">
        <f t="shared" si="33"/>
        <v/>
      </c>
      <c r="BZ39" t="str">
        <f t="shared" si="34"/>
        <v/>
      </c>
      <c r="CA39" t="str">
        <f t="shared" si="35"/>
        <v/>
      </c>
      <c r="CB39" t="str">
        <f t="shared" si="45"/>
        <v/>
      </c>
      <c r="CC39" t="str">
        <f t="shared" si="36"/>
        <v/>
      </c>
      <c r="CD39" t="str">
        <f t="shared" si="46"/>
        <v/>
      </c>
      <c r="CE39" t="str">
        <f t="shared" si="37"/>
        <v>Bowles 5th edition</v>
      </c>
      <c r="CF39">
        <f t="shared" si="47"/>
        <v>147</v>
      </c>
      <c r="CG39" t="str">
        <f t="shared" si="38"/>
        <v/>
      </c>
      <c r="CH39" t="str">
        <f t="shared" si="48"/>
        <v/>
      </c>
      <c r="CI39" t="str">
        <f t="shared" si="39"/>
        <v/>
      </c>
      <c r="CJ39" t="str">
        <f t="shared" si="40"/>
        <v/>
      </c>
    </row>
    <row r="40" spans="2:88" x14ac:dyDescent="0.3">
      <c r="B40" t="str">
        <f t="shared" si="8"/>
        <v>36.831747-76.119917</v>
      </c>
      <c r="C40" t="s">
        <v>9</v>
      </c>
      <c r="D40">
        <v>36.831747</v>
      </c>
      <c r="E40">
        <v>-76.119917000000001</v>
      </c>
      <c r="F40">
        <v>6</v>
      </c>
      <c r="G40" t="str">
        <f t="shared" si="9"/>
        <v>-7-936.831747-76.119917</v>
      </c>
      <c r="H40">
        <f t="shared" si="10"/>
        <v>-7</v>
      </c>
      <c r="I40">
        <v>-9</v>
      </c>
      <c r="J40" t="s">
        <v>21</v>
      </c>
      <c r="L40" t="s">
        <v>10</v>
      </c>
      <c r="M40">
        <v>20</v>
      </c>
      <c r="Q40" s="1" t="str">
        <f t="shared" si="11"/>
        <v/>
      </c>
      <c r="S40" t="str">
        <f t="shared" si="41"/>
        <v>Sand</v>
      </c>
      <c r="T40">
        <f t="shared" si="12"/>
        <v>1</v>
      </c>
      <c r="AA40">
        <v>80</v>
      </c>
      <c r="AB40" s="1">
        <f t="shared" si="13"/>
        <v>27</v>
      </c>
      <c r="AC40">
        <f t="shared" si="14"/>
        <v>30</v>
      </c>
      <c r="AD40" t="str">
        <f t="shared" si="15"/>
        <v/>
      </c>
      <c r="AE40" t="str">
        <f t="shared" si="16"/>
        <v/>
      </c>
      <c r="AG40" s="21" t="str">
        <f t="shared" si="17"/>
        <v/>
      </c>
      <c r="AI40" s="6" t="str">
        <f t="shared" si="18"/>
        <v/>
      </c>
      <c r="AM40" s="7" t="str">
        <f t="shared" si="19"/>
        <v/>
      </c>
      <c r="AQ40" s="8" t="str">
        <f t="shared" si="20"/>
        <v/>
      </c>
      <c r="AW40" s="25" t="str">
        <f t="shared" si="21"/>
        <v/>
      </c>
      <c r="AZ40" s="12" t="str">
        <f t="shared" si="22"/>
        <v/>
      </c>
      <c r="BI40" s="17" t="str">
        <f t="shared" si="23"/>
        <v/>
      </c>
      <c r="BM40" t="str">
        <f t="shared" si="24"/>
        <v>SPT Relationship</v>
      </c>
      <c r="BN40">
        <f t="shared" si="42"/>
        <v>126</v>
      </c>
      <c r="BO40" t="str">
        <f t="shared" si="25"/>
        <v>Wolff, 1989</v>
      </c>
      <c r="BP40">
        <f t="shared" si="43"/>
        <v>35</v>
      </c>
      <c r="BQ40" t="str">
        <f t="shared" si="26"/>
        <v/>
      </c>
      <c r="BR40" t="str">
        <f t="shared" si="27"/>
        <v/>
      </c>
      <c r="BS40" t="str">
        <f t="shared" si="28"/>
        <v/>
      </c>
      <c r="BT40" t="str">
        <f t="shared" si="44"/>
        <v/>
      </c>
      <c r="BU40" t="str">
        <f t="shared" si="29"/>
        <v/>
      </c>
      <c r="BV40" t="str">
        <f t="shared" si="30"/>
        <v/>
      </c>
      <c r="BW40" t="str">
        <f t="shared" si="31"/>
        <v/>
      </c>
      <c r="BX40" t="str">
        <f t="shared" si="32"/>
        <v/>
      </c>
      <c r="BY40" t="str">
        <f t="shared" si="33"/>
        <v/>
      </c>
      <c r="BZ40" t="str">
        <f t="shared" si="34"/>
        <v/>
      </c>
      <c r="CA40" t="str">
        <f t="shared" si="35"/>
        <v/>
      </c>
      <c r="CB40" t="str">
        <f t="shared" si="45"/>
        <v/>
      </c>
      <c r="CC40" t="str">
        <f t="shared" si="36"/>
        <v/>
      </c>
      <c r="CD40" t="str">
        <f t="shared" si="46"/>
        <v/>
      </c>
      <c r="CE40" t="str">
        <f t="shared" si="37"/>
        <v>Bowles 5th edition</v>
      </c>
      <c r="CF40">
        <f t="shared" si="47"/>
        <v>269</v>
      </c>
      <c r="CG40" t="str">
        <f t="shared" si="38"/>
        <v/>
      </c>
      <c r="CH40" t="str">
        <f t="shared" si="48"/>
        <v/>
      </c>
      <c r="CI40" t="str">
        <f t="shared" si="39"/>
        <v/>
      </c>
      <c r="CJ40" t="str">
        <f t="shared" si="40"/>
        <v/>
      </c>
    </row>
    <row r="41" spans="2:88" x14ac:dyDescent="0.3">
      <c r="B41" t="str">
        <f t="shared" si="8"/>
        <v>36.831747-76.119917</v>
      </c>
      <c r="C41" t="s">
        <v>9</v>
      </c>
      <c r="D41">
        <v>36.831747</v>
      </c>
      <c r="E41">
        <v>-76.119917000000001</v>
      </c>
      <c r="F41">
        <v>6</v>
      </c>
      <c r="G41" t="str">
        <f t="shared" si="9"/>
        <v>-12-1436.831747-76.119917</v>
      </c>
      <c r="H41">
        <f t="shared" si="10"/>
        <v>-12</v>
      </c>
      <c r="I41">
        <v>-14</v>
      </c>
      <c r="J41" t="s">
        <v>21</v>
      </c>
      <c r="L41" t="s">
        <v>8</v>
      </c>
      <c r="M41">
        <v>4</v>
      </c>
      <c r="Q41" s="1" t="str">
        <f t="shared" si="11"/>
        <v/>
      </c>
      <c r="S41" t="str">
        <f t="shared" si="41"/>
        <v>Sand</v>
      </c>
      <c r="T41">
        <f t="shared" si="12"/>
        <v>1</v>
      </c>
      <c r="AA41">
        <v>80</v>
      </c>
      <c r="AB41" s="1">
        <f t="shared" si="13"/>
        <v>5</v>
      </c>
      <c r="AC41">
        <f t="shared" si="14"/>
        <v>4</v>
      </c>
      <c r="AD41" t="str">
        <f t="shared" si="15"/>
        <v/>
      </c>
      <c r="AE41" t="str">
        <f t="shared" si="16"/>
        <v/>
      </c>
      <c r="AG41" s="21" t="str">
        <f t="shared" si="17"/>
        <v/>
      </c>
      <c r="AI41" s="6" t="str">
        <f t="shared" si="18"/>
        <v/>
      </c>
      <c r="AM41" s="7" t="str">
        <f t="shared" si="19"/>
        <v/>
      </c>
      <c r="AQ41" s="8" t="str">
        <f t="shared" si="20"/>
        <v/>
      </c>
      <c r="AW41" s="25" t="str">
        <f t="shared" si="21"/>
        <v/>
      </c>
      <c r="AZ41" s="12" t="str">
        <f t="shared" si="22"/>
        <v/>
      </c>
      <c r="BI41" s="17" t="str">
        <f t="shared" si="23"/>
        <v/>
      </c>
      <c r="BM41" t="str">
        <f t="shared" si="24"/>
        <v>SPT Relationship</v>
      </c>
      <c r="BN41">
        <f t="shared" si="42"/>
        <v>108</v>
      </c>
      <c r="BO41" t="str">
        <f t="shared" si="25"/>
        <v>Wolff, 1989</v>
      </c>
      <c r="BP41">
        <f t="shared" si="43"/>
        <v>28</v>
      </c>
      <c r="BQ41" t="str">
        <f t="shared" si="26"/>
        <v/>
      </c>
      <c r="BR41" t="str">
        <f t="shared" si="27"/>
        <v/>
      </c>
      <c r="BS41" t="str">
        <f t="shared" si="28"/>
        <v/>
      </c>
      <c r="BT41" t="str">
        <f t="shared" si="44"/>
        <v/>
      </c>
      <c r="BU41" t="str">
        <f t="shared" si="29"/>
        <v/>
      </c>
      <c r="BV41" t="str">
        <f t="shared" si="30"/>
        <v/>
      </c>
      <c r="BW41" t="str">
        <f t="shared" si="31"/>
        <v/>
      </c>
      <c r="BX41" t="str">
        <f t="shared" si="32"/>
        <v/>
      </c>
      <c r="BY41" t="str">
        <f t="shared" si="33"/>
        <v/>
      </c>
      <c r="BZ41" t="str">
        <f t="shared" si="34"/>
        <v/>
      </c>
      <c r="CA41" t="str">
        <f t="shared" si="35"/>
        <v/>
      </c>
      <c r="CB41" t="str">
        <f t="shared" si="45"/>
        <v/>
      </c>
      <c r="CC41" t="str">
        <f t="shared" si="36"/>
        <v/>
      </c>
      <c r="CD41" t="str">
        <f t="shared" si="46"/>
        <v/>
      </c>
      <c r="CE41" t="str">
        <f t="shared" si="37"/>
        <v>Bowles 5th edition</v>
      </c>
      <c r="CF41">
        <f t="shared" si="47"/>
        <v>128</v>
      </c>
      <c r="CG41" t="str">
        <f t="shared" si="38"/>
        <v/>
      </c>
      <c r="CH41" t="str">
        <f t="shared" si="48"/>
        <v/>
      </c>
      <c r="CI41" t="str">
        <f t="shared" si="39"/>
        <v/>
      </c>
      <c r="CJ41" t="str">
        <f t="shared" si="40"/>
        <v/>
      </c>
    </row>
    <row r="42" spans="2:88" x14ac:dyDescent="0.3">
      <c r="B42" t="str">
        <f t="shared" si="8"/>
        <v>36.831747-76.119917</v>
      </c>
      <c r="C42" t="s">
        <v>9</v>
      </c>
      <c r="D42">
        <v>36.831747</v>
      </c>
      <c r="E42">
        <v>-76.119917000000001</v>
      </c>
      <c r="F42">
        <v>6</v>
      </c>
      <c r="G42" t="str">
        <f t="shared" si="9"/>
        <v>-17-1936.831747-76.119917</v>
      </c>
      <c r="H42">
        <f t="shared" si="10"/>
        <v>-17</v>
      </c>
      <c r="I42">
        <v>-19</v>
      </c>
      <c r="J42" t="s">
        <v>21</v>
      </c>
      <c r="L42" t="s">
        <v>8</v>
      </c>
      <c r="M42">
        <v>4</v>
      </c>
      <c r="Q42" s="1" t="str">
        <f t="shared" si="11"/>
        <v/>
      </c>
      <c r="S42" t="str">
        <f t="shared" si="41"/>
        <v>Sand</v>
      </c>
      <c r="T42">
        <f t="shared" si="12"/>
        <v>1</v>
      </c>
      <c r="AA42">
        <v>80</v>
      </c>
      <c r="AB42" s="1">
        <f t="shared" si="13"/>
        <v>5</v>
      </c>
      <c r="AC42">
        <f t="shared" si="14"/>
        <v>4</v>
      </c>
      <c r="AD42" t="str">
        <f t="shared" si="15"/>
        <v/>
      </c>
      <c r="AE42" t="str">
        <f t="shared" si="16"/>
        <v/>
      </c>
      <c r="AG42" s="21" t="str">
        <f t="shared" si="17"/>
        <v/>
      </c>
      <c r="AI42" s="6" t="str">
        <f t="shared" si="18"/>
        <v/>
      </c>
      <c r="AM42" s="7" t="str">
        <f t="shared" si="19"/>
        <v/>
      </c>
      <c r="AQ42" s="8" t="str">
        <f t="shared" si="20"/>
        <v/>
      </c>
      <c r="AW42" s="25" t="str">
        <f t="shared" si="21"/>
        <v/>
      </c>
      <c r="AZ42" s="12" t="str">
        <f t="shared" si="22"/>
        <v/>
      </c>
      <c r="BI42" s="17" t="str">
        <f t="shared" si="23"/>
        <v/>
      </c>
      <c r="BM42" t="str">
        <f t="shared" si="24"/>
        <v>SPT Relationship</v>
      </c>
      <c r="BN42">
        <f t="shared" si="42"/>
        <v>108</v>
      </c>
      <c r="BO42" t="str">
        <f t="shared" si="25"/>
        <v>Wolff, 1989</v>
      </c>
      <c r="BP42">
        <f t="shared" si="43"/>
        <v>28</v>
      </c>
      <c r="BQ42" t="str">
        <f t="shared" si="26"/>
        <v/>
      </c>
      <c r="BR42" t="str">
        <f t="shared" si="27"/>
        <v/>
      </c>
      <c r="BS42" t="str">
        <f t="shared" si="28"/>
        <v/>
      </c>
      <c r="BT42" t="str">
        <f t="shared" si="44"/>
        <v/>
      </c>
      <c r="BU42" t="str">
        <f t="shared" si="29"/>
        <v/>
      </c>
      <c r="BV42" t="str">
        <f t="shared" si="30"/>
        <v/>
      </c>
      <c r="BW42" t="str">
        <f t="shared" si="31"/>
        <v/>
      </c>
      <c r="BX42" t="str">
        <f t="shared" si="32"/>
        <v/>
      </c>
      <c r="BY42" t="str">
        <f t="shared" si="33"/>
        <v/>
      </c>
      <c r="BZ42" t="str">
        <f t="shared" si="34"/>
        <v/>
      </c>
      <c r="CA42" t="str">
        <f t="shared" si="35"/>
        <v/>
      </c>
      <c r="CB42" t="str">
        <f t="shared" si="45"/>
        <v/>
      </c>
      <c r="CC42" t="str">
        <f t="shared" si="36"/>
        <v/>
      </c>
      <c r="CD42" t="str">
        <f t="shared" si="46"/>
        <v/>
      </c>
      <c r="CE42" t="str">
        <f t="shared" si="37"/>
        <v>Bowles 5th edition</v>
      </c>
      <c r="CF42">
        <f t="shared" si="47"/>
        <v>128</v>
      </c>
      <c r="CG42" t="str">
        <f t="shared" si="38"/>
        <v/>
      </c>
      <c r="CH42" t="str">
        <f t="shared" si="48"/>
        <v/>
      </c>
      <c r="CI42" t="str">
        <f t="shared" si="39"/>
        <v/>
      </c>
      <c r="CJ42" t="str">
        <f t="shared" si="40"/>
        <v/>
      </c>
    </row>
    <row r="43" spans="2:88" x14ac:dyDescent="0.3">
      <c r="B43" t="str">
        <f t="shared" si="8"/>
        <v>36.831747-76.119917</v>
      </c>
      <c r="C43" t="s">
        <v>9</v>
      </c>
      <c r="D43">
        <v>36.831747</v>
      </c>
      <c r="E43">
        <v>-76.119917000000001</v>
      </c>
      <c r="F43">
        <v>6</v>
      </c>
      <c r="G43" t="str">
        <f t="shared" si="9"/>
        <v>-22-2436.831747-76.119917</v>
      </c>
      <c r="H43">
        <f t="shared" si="10"/>
        <v>-22</v>
      </c>
      <c r="I43">
        <v>-24</v>
      </c>
      <c r="J43" t="s">
        <v>21</v>
      </c>
      <c r="L43" t="s">
        <v>8</v>
      </c>
      <c r="M43">
        <v>5</v>
      </c>
      <c r="Q43" s="1" t="str">
        <f t="shared" si="11"/>
        <v/>
      </c>
      <c r="S43" t="str">
        <f t="shared" si="41"/>
        <v>Sand</v>
      </c>
      <c r="T43">
        <f t="shared" si="12"/>
        <v>1</v>
      </c>
      <c r="AA43">
        <v>80</v>
      </c>
      <c r="AB43" s="1">
        <f t="shared" si="13"/>
        <v>7</v>
      </c>
      <c r="AC43">
        <f t="shared" si="14"/>
        <v>5</v>
      </c>
      <c r="AD43" t="str">
        <f t="shared" si="15"/>
        <v/>
      </c>
      <c r="AE43" t="str">
        <f t="shared" si="16"/>
        <v/>
      </c>
      <c r="AG43" s="21" t="str">
        <f t="shared" si="17"/>
        <v/>
      </c>
      <c r="AI43" s="6" t="str">
        <f t="shared" si="18"/>
        <v/>
      </c>
      <c r="AM43" s="7" t="str">
        <f t="shared" si="19"/>
        <v/>
      </c>
      <c r="AQ43" s="8" t="str">
        <f t="shared" si="20"/>
        <v/>
      </c>
      <c r="AW43" s="25" t="str">
        <f t="shared" si="21"/>
        <v/>
      </c>
      <c r="AZ43" s="12" t="str">
        <f t="shared" si="22"/>
        <v/>
      </c>
      <c r="BI43" s="17" t="str">
        <f t="shared" si="23"/>
        <v/>
      </c>
      <c r="BM43" t="str">
        <f t="shared" si="24"/>
        <v>SPT Relationship</v>
      </c>
      <c r="BN43">
        <f t="shared" si="42"/>
        <v>111</v>
      </c>
      <c r="BO43" t="str">
        <f t="shared" si="25"/>
        <v>Wolff, 1989</v>
      </c>
      <c r="BP43">
        <f t="shared" si="43"/>
        <v>28</v>
      </c>
      <c r="BQ43" t="str">
        <f t="shared" si="26"/>
        <v/>
      </c>
      <c r="BR43" t="str">
        <f t="shared" si="27"/>
        <v/>
      </c>
      <c r="BS43" t="str">
        <f t="shared" si="28"/>
        <v/>
      </c>
      <c r="BT43" t="str">
        <f t="shared" si="44"/>
        <v/>
      </c>
      <c r="BU43" t="str">
        <f t="shared" si="29"/>
        <v/>
      </c>
      <c r="BV43" t="str">
        <f t="shared" si="30"/>
        <v/>
      </c>
      <c r="BW43" t="str">
        <f t="shared" si="31"/>
        <v/>
      </c>
      <c r="BX43" t="str">
        <f t="shared" si="32"/>
        <v/>
      </c>
      <c r="BY43" t="str">
        <f t="shared" si="33"/>
        <v/>
      </c>
      <c r="BZ43" t="str">
        <f t="shared" si="34"/>
        <v/>
      </c>
      <c r="CA43" t="str">
        <f t="shared" si="35"/>
        <v/>
      </c>
      <c r="CB43" t="str">
        <f t="shared" si="45"/>
        <v/>
      </c>
      <c r="CC43" t="str">
        <f t="shared" si="36"/>
        <v/>
      </c>
      <c r="CD43" t="str">
        <f t="shared" si="46"/>
        <v/>
      </c>
      <c r="CE43" t="str">
        <f t="shared" si="37"/>
        <v>Bowles 5th edition</v>
      </c>
      <c r="CF43">
        <f t="shared" si="47"/>
        <v>141</v>
      </c>
      <c r="CG43" t="str">
        <f t="shared" si="38"/>
        <v/>
      </c>
      <c r="CH43" t="str">
        <f t="shared" si="48"/>
        <v/>
      </c>
      <c r="CI43" t="str">
        <f t="shared" si="39"/>
        <v/>
      </c>
      <c r="CJ43" t="str">
        <f t="shared" si="40"/>
        <v/>
      </c>
    </row>
    <row r="44" spans="2:88" x14ac:dyDescent="0.3">
      <c r="B44" t="str">
        <f t="shared" si="8"/>
        <v>36.831747-76.119917</v>
      </c>
      <c r="C44" t="s">
        <v>9</v>
      </c>
      <c r="D44">
        <v>36.831747</v>
      </c>
      <c r="E44">
        <v>-76.119917000000001</v>
      </c>
      <c r="F44">
        <v>6</v>
      </c>
      <c r="G44" t="str">
        <f t="shared" si="9"/>
        <v>-27-2936.831747-76.119917</v>
      </c>
      <c r="H44">
        <f t="shared" si="10"/>
        <v>-27</v>
      </c>
      <c r="I44">
        <v>-29</v>
      </c>
      <c r="J44" t="s">
        <v>21</v>
      </c>
      <c r="L44" t="s">
        <v>8</v>
      </c>
      <c r="M44">
        <v>3</v>
      </c>
      <c r="Q44" s="1" t="str">
        <f t="shared" si="11"/>
        <v/>
      </c>
      <c r="S44" t="str">
        <f t="shared" si="41"/>
        <v>Sand</v>
      </c>
      <c r="T44">
        <f t="shared" si="12"/>
        <v>1</v>
      </c>
      <c r="AA44">
        <v>80</v>
      </c>
      <c r="AB44" s="1">
        <f t="shared" si="13"/>
        <v>4</v>
      </c>
      <c r="AC44">
        <f t="shared" si="14"/>
        <v>2</v>
      </c>
      <c r="AD44" t="str">
        <f t="shared" si="15"/>
        <v/>
      </c>
      <c r="AE44" t="str">
        <f t="shared" si="16"/>
        <v/>
      </c>
      <c r="AG44" s="21" t="str">
        <f t="shared" si="17"/>
        <v/>
      </c>
      <c r="AI44" s="6" t="str">
        <f t="shared" si="18"/>
        <v/>
      </c>
      <c r="AM44" s="7" t="str">
        <f t="shared" si="19"/>
        <v/>
      </c>
      <c r="AQ44" s="8" t="str">
        <f t="shared" si="20"/>
        <v/>
      </c>
      <c r="AW44" s="25" t="str">
        <f t="shared" si="21"/>
        <v/>
      </c>
      <c r="AZ44" s="12" t="str">
        <f t="shared" si="22"/>
        <v/>
      </c>
      <c r="BI44" s="17" t="str">
        <f t="shared" si="23"/>
        <v/>
      </c>
      <c r="BM44" t="str">
        <f t="shared" si="24"/>
        <v>SPT Relationship</v>
      </c>
      <c r="BN44">
        <f t="shared" si="42"/>
        <v>105</v>
      </c>
      <c r="BO44" t="str">
        <f t="shared" si="25"/>
        <v>Wolff, 1989</v>
      </c>
      <c r="BP44">
        <f t="shared" si="43"/>
        <v>27</v>
      </c>
      <c r="BQ44" t="str">
        <f t="shared" si="26"/>
        <v/>
      </c>
      <c r="BR44" t="str">
        <f t="shared" si="27"/>
        <v/>
      </c>
      <c r="BS44" t="str">
        <f t="shared" si="28"/>
        <v/>
      </c>
      <c r="BT44" t="str">
        <f t="shared" si="44"/>
        <v/>
      </c>
      <c r="BU44" t="str">
        <f t="shared" si="29"/>
        <v/>
      </c>
      <c r="BV44" t="str">
        <f t="shared" si="30"/>
        <v/>
      </c>
      <c r="BW44" t="str">
        <f t="shared" si="31"/>
        <v/>
      </c>
      <c r="BX44" t="str">
        <f t="shared" si="32"/>
        <v/>
      </c>
      <c r="BY44" t="str">
        <f t="shared" si="33"/>
        <v/>
      </c>
      <c r="BZ44" t="str">
        <f t="shared" si="34"/>
        <v/>
      </c>
      <c r="CA44" t="str">
        <f t="shared" si="35"/>
        <v/>
      </c>
      <c r="CB44" t="str">
        <f t="shared" si="45"/>
        <v/>
      </c>
      <c r="CC44" t="str">
        <f t="shared" si="36"/>
        <v/>
      </c>
      <c r="CD44" t="str">
        <f t="shared" si="46"/>
        <v/>
      </c>
      <c r="CE44" t="str">
        <f t="shared" si="37"/>
        <v>Bowles 5th edition</v>
      </c>
      <c r="CF44">
        <f t="shared" si="47"/>
        <v>122</v>
      </c>
      <c r="CG44" t="str">
        <f t="shared" si="38"/>
        <v/>
      </c>
      <c r="CH44" t="str">
        <f t="shared" si="48"/>
        <v/>
      </c>
      <c r="CI44" t="str">
        <f t="shared" si="39"/>
        <v/>
      </c>
      <c r="CJ44" t="str">
        <f t="shared" si="40"/>
        <v/>
      </c>
    </row>
    <row r="45" spans="2:88" x14ac:dyDescent="0.3">
      <c r="B45" t="str">
        <f t="shared" si="8"/>
        <v>36.831747-76.119917</v>
      </c>
      <c r="C45" t="s">
        <v>9</v>
      </c>
      <c r="D45">
        <v>36.831747</v>
      </c>
      <c r="E45">
        <v>-76.119917000000001</v>
      </c>
      <c r="F45">
        <v>6</v>
      </c>
      <c r="G45" t="str">
        <f t="shared" si="9"/>
        <v>-32-3436.831747-76.119917</v>
      </c>
      <c r="H45">
        <f t="shared" si="10"/>
        <v>-32</v>
      </c>
      <c r="I45">
        <v>-34</v>
      </c>
      <c r="J45" t="s">
        <v>21</v>
      </c>
      <c r="L45" t="s">
        <v>8</v>
      </c>
      <c r="M45">
        <v>2</v>
      </c>
      <c r="Q45" s="1" t="str">
        <f t="shared" si="11"/>
        <v/>
      </c>
      <c r="S45" t="str">
        <f t="shared" si="41"/>
        <v>Sand</v>
      </c>
      <c r="T45">
        <f t="shared" si="12"/>
        <v>1</v>
      </c>
      <c r="AA45">
        <v>80</v>
      </c>
      <c r="AB45" s="1">
        <f t="shared" si="13"/>
        <v>3</v>
      </c>
      <c r="AC45">
        <f t="shared" si="14"/>
        <v>2</v>
      </c>
      <c r="AD45" t="str">
        <f t="shared" si="15"/>
        <v/>
      </c>
      <c r="AE45" t="str">
        <f t="shared" si="16"/>
        <v/>
      </c>
      <c r="AG45" s="21" t="str">
        <f t="shared" si="17"/>
        <v/>
      </c>
      <c r="AI45" s="6" t="str">
        <f t="shared" si="18"/>
        <v/>
      </c>
      <c r="AM45" s="7" t="str">
        <f t="shared" si="19"/>
        <v/>
      </c>
      <c r="AQ45" s="8" t="str">
        <f t="shared" si="20"/>
        <v/>
      </c>
      <c r="AW45" s="25" t="str">
        <f t="shared" si="21"/>
        <v/>
      </c>
      <c r="AZ45" s="12" t="str">
        <f t="shared" si="22"/>
        <v/>
      </c>
      <c r="BI45" s="17" t="str">
        <f t="shared" si="23"/>
        <v/>
      </c>
      <c r="BM45" t="str">
        <f t="shared" si="24"/>
        <v>SPT Relationship</v>
      </c>
      <c r="BN45">
        <f t="shared" si="42"/>
        <v>101</v>
      </c>
      <c r="BO45" t="str">
        <f t="shared" si="25"/>
        <v>Wolff, 1989</v>
      </c>
      <c r="BP45">
        <f t="shared" si="43"/>
        <v>27</v>
      </c>
      <c r="BQ45" t="str">
        <f t="shared" si="26"/>
        <v/>
      </c>
      <c r="BR45" t="str">
        <f t="shared" si="27"/>
        <v/>
      </c>
      <c r="BS45" t="str">
        <f t="shared" si="28"/>
        <v/>
      </c>
      <c r="BT45" t="str">
        <f t="shared" si="44"/>
        <v/>
      </c>
      <c r="BU45" t="str">
        <f t="shared" si="29"/>
        <v/>
      </c>
      <c r="BV45" t="str">
        <f t="shared" si="30"/>
        <v/>
      </c>
      <c r="BW45" t="str">
        <f t="shared" si="31"/>
        <v/>
      </c>
      <c r="BX45" t="str">
        <f t="shared" si="32"/>
        <v/>
      </c>
      <c r="BY45" t="str">
        <f t="shared" si="33"/>
        <v/>
      </c>
      <c r="BZ45" t="str">
        <f t="shared" si="34"/>
        <v/>
      </c>
      <c r="CA45" t="str">
        <f t="shared" si="35"/>
        <v/>
      </c>
      <c r="CB45" t="str">
        <f t="shared" si="45"/>
        <v/>
      </c>
      <c r="CC45" t="str">
        <f t="shared" si="36"/>
        <v/>
      </c>
      <c r="CD45" t="str">
        <f t="shared" si="46"/>
        <v/>
      </c>
      <c r="CE45" t="str">
        <f t="shared" si="37"/>
        <v>Bowles 5th edition</v>
      </c>
      <c r="CF45">
        <f t="shared" si="47"/>
        <v>115</v>
      </c>
      <c r="CG45" t="str">
        <f t="shared" si="38"/>
        <v/>
      </c>
      <c r="CH45" t="str">
        <f t="shared" si="48"/>
        <v/>
      </c>
      <c r="CI45" t="str">
        <f t="shared" si="39"/>
        <v/>
      </c>
      <c r="CJ45" t="str">
        <f t="shared" si="40"/>
        <v/>
      </c>
    </row>
    <row r="46" spans="2:88" x14ac:dyDescent="0.3">
      <c r="B46" t="str">
        <f t="shared" si="8"/>
        <v>36.831747-76.119917</v>
      </c>
      <c r="C46" t="s">
        <v>9</v>
      </c>
      <c r="D46">
        <v>36.831747</v>
      </c>
      <c r="E46">
        <v>-76.119917000000001</v>
      </c>
      <c r="F46">
        <v>6</v>
      </c>
      <c r="G46" t="str">
        <f t="shared" si="9"/>
        <v>-37-3936.831747-76.119917</v>
      </c>
      <c r="H46">
        <f t="shared" si="10"/>
        <v>-37</v>
      </c>
      <c r="I46">
        <v>-39</v>
      </c>
      <c r="J46" t="s">
        <v>21</v>
      </c>
      <c r="L46" t="s">
        <v>17</v>
      </c>
      <c r="M46">
        <v>0</v>
      </c>
      <c r="Q46" s="1" t="str">
        <f t="shared" si="11"/>
        <v/>
      </c>
      <c r="S46" t="str">
        <f t="shared" si="41"/>
        <v>Sand</v>
      </c>
      <c r="T46">
        <f t="shared" si="12"/>
        <v>1</v>
      </c>
      <c r="AA46">
        <v>80</v>
      </c>
      <c r="AB46" s="1">
        <f t="shared" si="13"/>
        <v>0</v>
      </c>
      <c r="AC46">
        <f t="shared" si="14"/>
        <v>0</v>
      </c>
      <c r="AD46" t="str">
        <f t="shared" si="15"/>
        <v/>
      </c>
      <c r="AE46" t="str">
        <f t="shared" si="16"/>
        <v/>
      </c>
      <c r="AG46" s="21" t="str">
        <f t="shared" si="17"/>
        <v/>
      </c>
      <c r="AI46" s="6" t="str">
        <f t="shared" si="18"/>
        <v/>
      </c>
      <c r="AM46" s="7" t="str">
        <f t="shared" si="19"/>
        <v/>
      </c>
      <c r="AQ46" s="8" t="str">
        <f t="shared" si="20"/>
        <v/>
      </c>
      <c r="AW46" s="25" t="str">
        <f t="shared" si="21"/>
        <v/>
      </c>
      <c r="AZ46" s="12" t="str">
        <f t="shared" si="22"/>
        <v/>
      </c>
      <c r="BI46" s="17" t="str">
        <f t="shared" si="23"/>
        <v/>
      </c>
      <c r="BM46" t="str">
        <f t="shared" si="24"/>
        <v>SPT Relationship</v>
      </c>
      <c r="BN46">
        <f t="shared" si="42"/>
        <v>95</v>
      </c>
      <c r="BO46" t="str">
        <f t="shared" si="25"/>
        <v>Wolff, 1989</v>
      </c>
      <c r="BP46">
        <f t="shared" si="43"/>
        <v>27</v>
      </c>
      <c r="BQ46" t="str">
        <f t="shared" si="26"/>
        <v/>
      </c>
      <c r="BR46" t="str">
        <f t="shared" si="27"/>
        <v/>
      </c>
      <c r="BS46" t="str">
        <f t="shared" si="28"/>
        <v/>
      </c>
      <c r="BT46" t="str">
        <f t="shared" si="44"/>
        <v/>
      </c>
      <c r="BU46" t="str">
        <f t="shared" si="29"/>
        <v/>
      </c>
      <c r="BV46" t="str">
        <f t="shared" si="30"/>
        <v/>
      </c>
      <c r="BW46" t="str">
        <f t="shared" si="31"/>
        <v/>
      </c>
      <c r="BX46" t="str">
        <f t="shared" si="32"/>
        <v/>
      </c>
      <c r="BY46" t="str">
        <f t="shared" si="33"/>
        <v/>
      </c>
      <c r="BZ46" t="str">
        <f t="shared" si="34"/>
        <v/>
      </c>
      <c r="CA46" t="str">
        <f t="shared" si="35"/>
        <v/>
      </c>
      <c r="CB46" t="str">
        <f t="shared" si="45"/>
        <v/>
      </c>
      <c r="CC46" t="str">
        <f t="shared" si="36"/>
        <v/>
      </c>
      <c r="CD46" t="str">
        <f t="shared" si="46"/>
        <v/>
      </c>
      <c r="CE46" t="str">
        <f t="shared" si="37"/>
        <v>Bowles 5th edition</v>
      </c>
      <c r="CF46">
        <f t="shared" si="47"/>
        <v>96</v>
      </c>
      <c r="CG46" t="str">
        <f t="shared" si="38"/>
        <v/>
      </c>
      <c r="CH46" t="str">
        <f t="shared" si="48"/>
        <v/>
      </c>
      <c r="CI46" t="str">
        <f t="shared" si="39"/>
        <v/>
      </c>
      <c r="CJ46" t="str">
        <f t="shared" si="40"/>
        <v/>
      </c>
    </row>
    <row r="47" spans="2:88" x14ac:dyDescent="0.3">
      <c r="B47" t="str">
        <f t="shared" si="8"/>
        <v>36.831747-76.119917</v>
      </c>
      <c r="C47" t="s">
        <v>9</v>
      </c>
      <c r="D47">
        <v>36.831747</v>
      </c>
      <c r="E47">
        <v>-76.119917000000001</v>
      </c>
      <c r="F47">
        <v>6</v>
      </c>
      <c r="G47" t="str">
        <f t="shared" si="9"/>
        <v>-42-4436.831747-76.119917</v>
      </c>
      <c r="H47">
        <f t="shared" si="10"/>
        <v>-42</v>
      </c>
      <c r="I47">
        <v>-44</v>
      </c>
      <c r="J47" t="s">
        <v>21</v>
      </c>
      <c r="L47" t="s">
        <v>17</v>
      </c>
      <c r="M47">
        <v>0</v>
      </c>
      <c r="O47">
        <v>21</v>
      </c>
      <c r="P47">
        <v>31</v>
      </c>
      <c r="Q47" s="1">
        <f t="shared" si="11"/>
        <v>10</v>
      </c>
      <c r="R47">
        <v>30</v>
      </c>
      <c r="S47" t="str">
        <f t="shared" si="41"/>
        <v>Sand</v>
      </c>
      <c r="T47">
        <f t="shared" si="12"/>
        <v>2</v>
      </c>
      <c r="AA47">
        <v>80</v>
      </c>
      <c r="AB47" s="1">
        <f t="shared" si="13"/>
        <v>0</v>
      </c>
      <c r="AC47">
        <f t="shared" si="14"/>
        <v>0</v>
      </c>
      <c r="AD47" t="str">
        <f t="shared" si="15"/>
        <v/>
      </c>
      <c r="AE47" t="str">
        <f t="shared" si="16"/>
        <v/>
      </c>
      <c r="AG47" s="21" t="str">
        <f t="shared" si="17"/>
        <v/>
      </c>
      <c r="AI47" s="6" t="str">
        <f t="shared" si="18"/>
        <v/>
      </c>
      <c r="AM47" s="7" t="str">
        <f t="shared" si="19"/>
        <v/>
      </c>
      <c r="AQ47" s="8" t="str">
        <f t="shared" si="20"/>
        <v/>
      </c>
      <c r="AW47" s="25" t="str">
        <f t="shared" si="21"/>
        <v/>
      </c>
      <c r="AZ47" s="12" t="str">
        <f t="shared" si="22"/>
        <v/>
      </c>
      <c r="BI47" s="17" t="str">
        <f t="shared" si="23"/>
        <v/>
      </c>
      <c r="BM47" t="str">
        <f t="shared" si="24"/>
        <v>SPT Relationship</v>
      </c>
      <c r="BN47">
        <f t="shared" si="42"/>
        <v>95</v>
      </c>
      <c r="BO47" t="str">
        <f t="shared" si="25"/>
        <v>Wolff, 1989</v>
      </c>
      <c r="BP47">
        <f t="shared" si="43"/>
        <v>27</v>
      </c>
      <c r="BQ47" t="str">
        <f t="shared" si="26"/>
        <v>GTENG-2476</v>
      </c>
      <c r="BR47">
        <f t="shared" si="27"/>
        <v>23</v>
      </c>
      <c r="BS47" t="str">
        <f t="shared" si="28"/>
        <v/>
      </c>
      <c r="BT47" t="str">
        <f t="shared" si="44"/>
        <v/>
      </c>
      <c r="BU47" t="str">
        <f t="shared" si="29"/>
        <v>Kulhawy and Mayne 1990</v>
      </c>
      <c r="BV47">
        <f t="shared" si="30"/>
        <v>0.13500000000000001</v>
      </c>
      <c r="BW47" t="str">
        <f t="shared" si="31"/>
        <v>Kulhawy and Mayne 1990</v>
      </c>
      <c r="BX47">
        <f t="shared" si="32"/>
        <v>2.7E-2</v>
      </c>
      <c r="BY47" t="str">
        <f t="shared" si="33"/>
        <v>Mesri 1990</v>
      </c>
      <c r="BZ47">
        <f t="shared" si="34"/>
        <v>4.1000000000000003E-3</v>
      </c>
      <c r="CA47" t="str">
        <f t="shared" si="35"/>
        <v>NAVFAC Vol. 7.1 Figure 4</v>
      </c>
      <c r="CB47">
        <f t="shared" si="45"/>
        <v>0.4283710597999999</v>
      </c>
      <c r="CC47" t="str">
        <f t="shared" si="36"/>
        <v/>
      </c>
      <c r="CD47" t="str">
        <f t="shared" si="46"/>
        <v/>
      </c>
      <c r="CE47" t="str">
        <f t="shared" si="37"/>
        <v>Bowles 5th edition</v>
      </c>
      <c r="CF47">
        <f t="shared" si="47"/>
        <v>96</v>
      </c>
      <c r="CG47" t="str">
        <f t="shared" si="38"/>
        <v/>
      </c>
      <c r="CH47" t="str">
        <f t="shared" si="48"/>
        <v/>
      </c>
      <c r="CI47" t="str">
        <f t="shared" si="39"/>
        <v/>
      </c>
      <c r="CJ47" t="str">
        <f t="shared" si="40"/>
        <v/>
      </c>
    </row>
    <row r="48" spans="2:88" x14ac:dyDescent="0.3">
      <c r="B48" t="str">
        <f t="shared" si="8"/>
        <v>36.831747-76.119917</v>
      </c>
      <c r="C48" t="s">
        <v>9</v>
      </c>
      <c r="D48">
        <v>36.831747</v>
      </c>
      <c r="E48">
        <v>-76.119917000000001</v>
      </c>
      <c r="F48">
        <v>6</v>
      </c>
      <c r="G48" t="str">
        <f t="shared" si="9"/>
        <v>-47-4936.831747-76.119917</v>
      </c>
      <c r="H48">
        <f t="shared" si="10"/>
        <v>-47</v>
      </c>
      <c r="I48">
        <v>-49</v>
      </c>
      <c r="J48" t="s">
        <v>21</v>
      </c>
      <c r="L48" t="s">
        <v>8</v>
      </c>
      <c r="M48">
        <v>1</v>
      </c>
      <c r="Q48" s="1" t="str">
        <f t="shared" si="11"/>
        <v/>
      </c>
      <c r="S48" t="str">
        <f t="shared" si="41"/>
        <v>Sand</v>
      </c>
      <c r="T48">
        <f t="shared" si="12"/>
        <v>1</v>
      </c>
      <c r="AA48">
        <v>80</v>
      </c>
      <c r="AB48" s="1">
        <f t="shared" si="13"/>
        <v>1</v>
      </c>
      <c r="AC48">
        <f t="shared" si="14"/>
        <v>0</v>
      </c>
      <c r="AD48" t="str">
        <f t="shared" si="15"/>
        <v/>
      </c>
      <c r="AE48" t="str">
        <f t="shared" si="16"/>
        <v/>
      </c>
      <c r="AG48" s="21" t="str">
        <f t="shared" si="17"/>
        <v/>
      </c>
      <c r="AI48" s="6" t="str">
        <f t="shared" si="18"/>
        <v/>
      </c>
      <c r="AM48" s="7" t="str">
        <f t="shared" si="19"/>
        <v/>
      </c>
      <c r="AQ48" s="8" t="str">
        <f t="shared" si="20"/>
        <v/>
      </c>
      <c r="AW48" s="25" t="str">
        <f t="shared" si="21"/>
        <v/>
      </c>
      <c r="AZ48" s="12" t="str">
        <f t="shared" si="22"/>
        <v/>
      </c>
      <c r="BI48" s="17" t="str">
        <f t="shared" si="23"/>
        <v/>
      </c>
      <c r="BM48" t="str">
        <f t="shared" si="24"/>
        <v>SPT Relationship</v>
      </c>
      <c r="BN48">
        <f t="shared" si="42"/>
        <v>95</v>
      </c>
      <c r="BO48" t="str">
        <f t="shared" si="25"/>
        <v>Wolff, 1989</v>
      </c>
      <c r="BP48">
        <f t="shared" si="43"/>
        <v>27</v>
      </c>
      <c r="BQ48" t="str">
        <f t="shared" si="26"/>
        <v/>
      </c>
      <c r="BR48" t="str">
        <f t="shared" si="27"/>
        <v/>
      </c>
      <c r="BS48" t="str">
        <f t="shared" si="28"/>
        <v/>
      </c>
      <c r="BT48" t="str">
        <f t="shared" si="44"/>
        <v/>
      </c>
      <c r="BU48" t="str">
        <f t="shared" si="29"/>
        <v/>
      </c>
      <c r="BV48" t="str">
        <f t="shared" si="30"/>
        <v/>
      </c>
      <c r="BW48" t="str">
        <f t="shared" si="31"/>
        <v/>
      </c>
      <c r="BX48" t="str">
        <f t="shared" si="32"/>
        <v/>
      </c>
      <c r="BY48" t="str">
        <f t="shared" si="33"/>
        <v/>
      </c>
      <c r="BZ48" t="str">
        <f t="shared" si="34"/>
        <v/>
      </c>
      <c r="CA48" t="str">
        <f t="shared" si="35"/>
        <v/>
      </c>
      <c r="CB48" t="str">
        <f t="shared" si="45"/>
        <v/>
      </c>
      <c r="CC48" t="str">
        <f t="shared" si="36"/>
        <v/>
      </c>
      <c r="CD48" t="str">
        <f t="shared" si="46"/>
        <v/>
      </c>
      <c r="CE48" t="str">
        <f t="shared" si="37"/>
        <v>Bowles 5th edition</v>
      </c>
      <c r="CF48">
        <f t="shared" si="47"/>
        <v>102</v>
      </c>
      <c r="CG48" t="str">
        <f t="shared" si="38"/>
        <v/>
      </c>
      <c r="CH48" t="str">
        <f t="shared" si="48"/>
        <v/>
      </c>
      <c r="CI48" t="str">
        <f t="shared" si="39"/>
        <v/>
      </c>
      <c r="CJ48" t="str">
        <f t="shared" si="40"/>
        <v/>
      </c>
    </row>
    <row r="49" spans="2:88" x14ac:dyDescent="0.3">
      <c r="B49" t="str">
        <f t="shared" si="8"/>
        <v>36.831747-76.119917</v>
      </c>
      <c r="C49" t="s">
        <v>9</v>
      </c>
      <c r="D49">
        <v>36.831747</v>
      </c>
      <c r="E49">
        <v>-76.119917000000001</v>
      </c>
      <c r="F49">
        <v>6</v>
      </c>
      <c r="G49" t="str">
        <f t="shared" si="9"/>
        <v>-52-5436.831747-76.119917</v>
      </c>
      <c r="H49">
        <f t="shared" si="10"/>
        <v>-52</v>
      </c>
      <c r="I49">
        <v>-54</v>
      </c>
      <c r="J49" t="s">
        <v>21</v>
      </c>
      <c r="L49" t="s">
        <v>8</v>
      </c>
      <c r="M49">
        <v>4</v>
      </c>
      <c r="Q49" s="1" t="str">
        <f t="shared" si="11"/>
        <v/>
      </c>
      <c r="S49" t="str">
        <f t="shared" si="41"/>
        <v>Sand</v>
      </c>
      <c r="T49">
        <f t="shared" si="12"/>
        <v>1</v>
      </c>
      <c r="AA49">
        <v>80</v>
      </c>
      <c r="AB49" s="1">
        <f t="shared" si="13"/>
        <v>5</v>
      </c>
      <c r="AC49">
        <f t="shared" si="14"/>
        <v>2</v>
      </c>
      <c r="AD49" t="str">
        <f t="shared" si="15"/>
        <v/>
      </c>
      <c r="AE49" t="str">
        <f t="shared" si="16"/>
        <v/>
      </c>
      <c r="AG49" s="21" t="str">
        <f t="shared" si="17"/>
        <v/>
      </c>
      <c r="AI49" s="6" t="str">
        <f t="shared" si="18"/>
        <v/>
      </c>
      <c r="AM49" s="7" t="str">
        <f t="shared" si="19"/>
        <v/>
      </c>
      <c r="AQ49" s="8" t="str">
        <f t="shared" si="20"/>
        <v/>
      </c>
      <c r="AW49" s="25" t="str">
        <f t="shared" si="21"/>
        <v/>
      </c>
      <c r="AZ49" s="12" t="str">
        <f t="shared" si="22"/>
        <v/>
      </c>
      <c r="BI49" s="17" t="str">
        <f t="shared" si="23"/>
        <v/>
      </c>
      <c r="BM49" t="str">
        <f t="shared" si="24"/>
        <v>SPT Relationship</v>
      </c>
      <c r="BN49">
        <f t="shared" si="42"/>
        <v>108</v>
      </c>
      <c r="BO49" t="str">
        <f t="shared" si="25"/>
        <v>Wolff, 1989</v>
      </c>
      <c r="BP49">
        <f t="shared" si="43"/>
        <v>27</v>
      </c>
      <c r="BQ49" t="str">
        <f t="shared" si="26"/>
        <v/>
      </c>
      <c r="BR49" t="str">
        <f t="shared" si="27"/>
        <v/>
      </c>
      <c r="BS49" t="str">
        <f t="shared" si="28"/>
        <v/>
      </c>
      <c r="BT49" t="str">
        <f t="shared" si="44"/>
        <v/>
      </c>
      <c r="BU49" t="str">
        <f t="shared" si="29"/>
        <v/>
      </c>
      <c r="BV49" t="str">
        <f t="shared" si="30"/>
        <v/>
      </c>
      <c r="BW49" t="str">
        <f t="shared" si="31"/>
        <v/>
      </c>
      <c r="BX49" t="str">
        <f t="shared" si="32"/>
        <v/>
      </c>
      <c r="BY49" t="str">
        <f t="shared" si="33"/>
        <v/>
      </c>
      <c r="BZ49" t="str">
        <f t="shared" si="34"/>
        <v/>
      </c>
      <c r="CA49" t="str">
        <f t="shared" si="35"/>
        <v/>
      </c>
      <c r="CB49" t="str">
        <f t="shared" si="45"/>
        <v/>
      </c>
      <c r="CC49" t="str">
        <f t="shared" si="36"/>
        <v/>
      </c>
      <c r="CD49" t="str">
        <f t="shared" si="46"/>
        <v/>
      </c>
      <c r="CE49" t="str">
        <f t="shared" si="37"/>
        <v>Bowles 5th edition</v>
      </c>
      <c r="CF49">
        <f t="shared" si="47"/>
        <v>128</v>
      </c>
      <c r="CG49" t="str">
        <f t="shared" si="38"/>
        <v/>
      </c>
      <c r="CH49" t="str">
        <f t="shared" si="48"/>
        <v/>
      </c>
      <c r="CI49" t="str">
        <f t="shared" si="39"/>
        <v/>
      </c>
      <c r="CJ49" t="str">
        <f t="shared" si="40"/>
        <v/>
      </c>
    </row>
    <row r="50" spans="2:88" x14ac:dyDescent="0.3">
      <c r="B50" t="str">
        <f t="shared" si="8"/>
        <v>36.831747-76.119917</v>
      </c>
      <c r="C50" t="s">
        <v>9</v>
      </c>
      <c r="D50">
        <v>36.831747</v>
      </c>
      <c r="E50">
        <v>-76.119917000000001</v>
      </c>
      <c r="F50">
        <v>6</v>
      </c>
      <c r="G50" t="str">
        <f t="shared" si="9"/>
        <v>-57-5936.831747-76.119917</v>
      </c>
      <c r="H50">
        <f t="shared" si="10"/>
        <v>-57</v>
      </c>
      <c r="I50">
        <v>-59</v>
      </c>
      <c r="J50" t="s">
        <v>21</v>
      </c>
      <c r="L50" t="s">
        <v>8</v>
      </c>
      <c r="M50">
        <v>15</v>
      </c>
      <c r="N50">
        <v>25</v>
      </c>
      <c r="Q50" s="1" t="str">
        <f t="shared" si="11"/>
        <v/>
      </c>
      <c r="R50">
        <v>20</v>
      </c>
      <c r="S50" t="str">
        <f t="shared" si="41"/>
        <v>Sand</v>
      </c>
      <c r="T50">
        <f t="shared" si="12"/>
        <v>2</v>
      </c>
      <c r="AA50">
        <v>80</v>
      </c>
      <c r="AB50" s="1">
        <f t="shared" si="13"/>
        <v>20</v>
      </c>
      <c r="AC50">
        <f t="shared" si="14"/>
        <v>10</v>
      </c>
      <c r="AD50" t="str">
        <f t="shared" si="15"/>
        <v/>
      </c>
      <c r="AE50" t="str">
        <f t="shared" si="16"/>
        <v/>
      </c>
      <c r="AG50" s="21" t="str">
        <f t="shared" si="17"/>
        <v/>
      </c>
      <c r="AI50" s="6" t="str">
        <f t="shared" si="18"/>
        <v/>
      </c>
      <c r="AM50" s="7" t="str">
        <f t="shared" si="19"/>
        <v/>
      </c>
      <c r="AQ50" s="8" t="str">
        <f t="shared" si="20"/>
        <v/>
      </c>
      <c r="AW50" s="25" t="str">
        <f t="shared" si="21"/>
        <v/>
      </c>
      <c r="AZ50" s="12" t="str">
        <f t="shared" si="22"/>
        <v/>
      </c>
      <c r="BI50" s="17" t="str">
        <f t="shared" si="23"/>
        <v/>
      </c>
      <c r="BM50" t="str">
        <f t="shared" si="24"/>
        <v>SPT Relationship</v>
      </c>
      <c r="BN50">
        <f t="shared" si="42"/>
        <v>123</v>
      </c>
      <c r="BO50" t="str">
        <f t="shared" si="25"/>
        <v>Wolff, 1989</v>
      </c>
      <c r="BP50">
        <f t="shared" si="43"/>
        <v>30</v>
      </c>
      <c r="BQ50" t="str">
        <f t="shared" si="26"/>
        <v/>
      </c>
      <c r="BR50" t="str">
        <f t="shared" si="27"/>
        <v/>
      </c>
      <c r="BS50" t="str">
        <f t="shared" si="28"/>
        <v/>
      </c>
      <c r="BT50" t="str">
        <f t="shared" si="44"/>
        <v/>
      </c>
      <c r="BU50" t="str">
        <f t="shared" si="29"/>
        <v/>
      </c>
      <c r="BV50" t="str">
        <f t="shared" si="30"/>
        <v/>
      </c>
      <c r="BW50" t="str">
        <f t="shared" si="31"/>
        <v/>
      </c>
      <c r="BX50" t="str">
        <f t="shared" si="32"/>
        <v/>
      </c>
      <c r="BY50" t="str">
        <f t="shared" si="33"/>
        <v/>
      </c>
      <c r="BZ50" t="str">
        <f t="shared" si="34"/>
        <v/>
      </c>
      <c r="CA50" t="str">
        <f t="shared" si="35"/>
        <v/>
      </c>
      <c r="CB50" t="str">
        <f t="shared" si="45"/>
        <v/>
      </c>
      <c r="CC50" t="str">
        <f t="shared" si="36"/>
        <v/>
      </c>
      <c r="CD50" t="str">
        <f t="shared" si="46"/>
        <v/>
      </c>
      <c r="CE50" t="str">
        <f t="shared" si="37"/>
        <v>Bowles 5th edition</v>
      </c>
      <c r="CF50">
        <f t="shared" si="47"/>
        <v>224</v>
      </c>
      <c r="CG50" t="str">
        <f t="shared" si="38"/>
        <v>Relationship (Gs=2.67)</v>
      </c>
      <c r="CH50">
        <f t="shared" si="48"/>
        <v>0.67</v>
      </c>
      <c r="CI50" t="str">
        <f t="shared" si="39"/>
        <v/>
      </c>
      <c r="CJ50" t="str">
        <f t="shared" si="40"/>
        <v/>
      </c>
    </row>
    <row r="51" spans="2:88" x14ac:dyDescent="0.3">
      <c r="B51" t="str">
        <f t="shared" si="8"/>
        <v>36.831747-76.119917</v>
      </c>
      <c r="C51" t="s">
        <v>9</v>
      </c>
      <c r="D51">
        <v>36.831747</v>
      </c>
      <c r="E51">
        <v>-76.119917000000001</v>
      </c>
      <c r="F51">
        <v>6</v>
      </c>
      <c r="G51" t="str">
        <f t="shared" si="9"/>
        <v>-62-6436.831747-76.119917</v>
      </c>
      <c r="H51">
        <f t="shared" si="10"/>
        <v>-62</v>
      </c>
      <c r="I51">
        <v>-64</v>
      </c>
      <c r="J51" t="s">
        <v>21</v>
      </c>
      <c r="L51" t="s">
        <v>16</v>
      </c>
      <c r="M51">
        <v>23</v>
      </c>
      <c r="Q51" s="1" t="str">
        <f t="shared" si="11"/>
        <v/>
      </c>
      <c r="S51" t="str">
        <f t="shared" si="41"/>
        <v>Sand</v>
      </c>
      <c r="T51">
        <f t="shared" si="12"/>
        <v>1</v>
      </c>
      <c r="AA51">
        <v>80</v>
      </c>
      <c r="AB51" s="1">
        <f t="shared" si="13"/>
        <v>31</v>
      </c>
      <c r="AC51">
        <f t="shared" si="14"/>
        <v>16</v>
      </c>
      <c r="AD51" t="str">
        <f t="shared" si="15"/>
        <v/>
      </c>
      <c r="AE51" t="str">
        <f t="shared" si="16"/>
        <v/>
      </c>
      <c r="AG51" s="21" t="str">
        <f t="shared" si="17"/>
        <v/>
      </c>
      <c r="AI51" s="6" t="str">
        <f t="shared" si="18"/>
        <v/>
      </c>
      <c r="AM51" s="7" t="str">
        <f t="shared" si="19"/>
        <v/>
      </c>
      <c r="AQ51" s="8" t="str">
        <f t="shared" si="20"/>
        <v/>
      </c>
      <c r="AW51" s="25" t="str">
        <f t="shared" si="21"/>
        <v/>
      </c>
      <c r="AZ51" s="12" t="str">
        <f t="shared" si="22"/>
        <v/>
      </c>
      <c r="BI51" s="17" t="str">
        <f t="shared" si="23"/>
        <v/>
      </c>
      <c r="BM51" t="str">
        <f t="shared" si="24"/>
        <v>SPT Relationship</v>
      </c>
      <c r="BN51">
        <f t="shared" si="42"/>
        <v>128</v>
      </c>
      <c r="BO51" t="str">
        <f t="shared" si="25"/>
        <v>Wolff, 1989</v>
      </c>
      <c r="BP51">
        <f t="shared" si="43"/>
        <v>31</v>
      </c>
      <c r="BQ51" t="str">
        <f t="shared" si="26"/>
        <v/>
      </c>
      <c r="BR51" t="str">
        <f t="shared" si="27"/>
        <v/>
      </c>
      <c r="BS51" t="str">
        <f t="shared" si="28"/>
        <v/>
      </c>
      <c r="BT51" t="str">
        <f t="shared" si="44"/>
        <v/>
      </c>
      <c r="BU51" t="str">
        <f t="shared" si="29"/>
        <v/>
      </c>
      <c r="BV51" t="str">
        <f t="shared" si="30"/>
        <v/>
      </c>
      <c r="BW51" t="str">
        <f t="shared" si="31"/>
        <v/>
      </c>
      <c r="BX51" t="str">
        <f t="shared" si="32"/>
        <v/>
      </c>
      <c r="BY51" t="str">
        <f t="shared" si="33"/>
        <v/>
      </c>
      <c r="BZ51" t="str">
        <f t="shared" si="34"/>
        <v/>
      </c>
      <c r="CA51" t="str">
        <f t="shared" si="35"/>
        <v/>
      </c>
      <c r="CB51" t="str">
        <f t="shared" si="45"/>
        <v/>
      </c>
      <c r="CC51" t="str">
        <f t="shared" si="36"/>
        <v/>
      </c>
      <c r="CD51" t="str">
        <f t="shared" si="46"/>
        <v/>
      </c>
      <c r="CE51" t="str">
        <f t="shared" si="37"/>
        <v>Bowles 5th edition</v>
      </c>
      <c r="CF51">
        <f t="shared" si="47"/>
        <v>294</v>
      </c>
      <c r="CG51" t="str">
        <f t="shared" si="38"/>
        <v/>
      </c>
      <c r="CH51" t="str">
        <f t="shared" si="48"/>
        <v/>
      </c>
      <c r="CI51" t="str">
        <f t="shared" si="39"/>
        <v/>
      </c>
      <c r="CJ51" t="str">
        <f t="shared" si="40"/>
        <v/>
      </c>
    </row>
    <row r="52" spans="2:88" x14ac:dyDescent="0.3">
      <c r="B52" t="str">
        <f t="shared" si="8"/>
        <v>36.831747-76.119917</v>
      </c>
      <c r="C52" t="s">
        <v>9</v>
      </c>
      <c r="D52">
        <v>36.831747</v>
      </c>
      <c r="E52">
        <v>-76.119917000000001</v>
      </c>
      <c r="F52">
        <v>6</v>
      </c>
      <c r="G52" t="str">
        <f t="shared" si="9"/>
        <v>-67-6936.831747-76.119917</v>
      </c>
      <c r="H52">
        <f t="shared" si="10"/>
        <v>-67</v>
      </c>
      <c r="I52">
        <v>-69</v>
      </c>
      <c r="J52" t="s">
        <v>21</v>
      </c>
      <c r="L52" t="s">
        <v>11</v>
      </c>
      <c r="M52">
        <v>11</v>
      </c>
      <c r="N52">
        <v>28</v>
      </c>
      <c r="O52">
        <v>22</v>
      </c>
      <c r="P52">
        <v>38</v>
      </c>
      <c r="Q52" s="1">
        <f t="shared" si="11"/>
        <v>16</v>
      </c>
      <c r="R52">
        <v>70</v>
      </c>
      <c r="S52" t="str">
        <f t="shared" si="41"/>
        <v>Clay</v>
      </c>
      <c r="T52">
        <f t="shared" si="12"/>
        <v>2</v>
      </c>
      <c r="AA52">
        <v>80</v>
      </c>
      <c r="AB52" s="1">
        <f t="shared" si="13"/>
        <v>15</v>
      </c>
      <c r="AC52">
        <f t="shared" si="14"/>
        <v>7</v>
      </c>
      <c r="AD52">
        <f t="shared" si="15"/>
        <v>0.375</v>
      </c>
      <c r="AE52" t="str">
        <f t="shared" si="16"/>
        <v/>
      </c>
      <c r="AG52" s="21" t="str">
        <f t="shared" si="17"/>
        <v/>
      </c>
      <c r="AI52" s="6" t="str">
        <f t="shared" si="18"/>
        <v/>
      </c>
      <c r="AM52" s="7" t="str">
        <f t="shared" si="19"/>
        <v/>
      </c>
      <c r="AQ52" s="8" t="str">
        <f t="shared" si="20"/>
        <v/>
      </c>
      <c r="AW52" s="25" t="str">
        <f t="shared" si="21"/>
        <v/>
      </c>
      <c r="AZ52" s="12" t="str">
        <f t="shared" si="22"/>
        <v/>
      </c>
      <c r="BI52" s="17" t="str">
        <f t="shared" si="23"/>
        <v/>
      </c>
      <c r="BM52" t="str">
        <f t="shared" si="24"/>
        <v>SPT Relationship</v>
      </c>
      <c r="BN52">
        <f t="shared" si="42"/>
        <v>119</v>
      </c>
      <c r="BO52" t="str">
        <f t="shared" si="25"/>
        <v>Wolff, 1989</v>
      </c>
      <c r="BP52">
        <f t="shared" si="43"/>
        <v>29</v>
      </c>
      <c r="BQ52" t="str">
        <f t="shared" si="26"/>
        <v>GTENG-2476</v>
      </c>
      <c r="BR52">
        <f t="shared" si="27"/>
        <v>22</v>
      </c>
      <c r="BS52" t="str">
        <f t="shared" si="28"/>
        <v>Stroud 1974 (K=3.5)</v>
      </c>
      <c r="BT52">
        <f t="shared" si="44"/>
        <v>1096</v>
      </c>
      <c r="BU52" t="str">
        <f t="shared" si="29"/>
        <v>Kulhawy and Mayne 1990</v>
      </c>
      <c r="BV52">
        <f t="shared" si="30"/>
        <v>0.216</v>
      </c>
      <c r="BW52" t="str">
        <f t="shared" si="31"/>
        <v>Kulhawy and Mayne 1990</v>
      </c>
      <c r="BX52">
        <f t="shared" si="32"/>
        <v>4.2999999999999997E-2</v>
      </c>
      <c r="BY52" t="str">
        <f t="shared" si="33"/>
        <v>Mesri 1990</v>
      </c>
      <c r="BZ52">
        <f t="shared" si="34"/>
        <v>6.4999999999999997E-3</v>
      </c>
      <c r="CA52" t="str">
        <f t="shared" si="35"/>
        <v>NAVFAC Vol. 7.1 Figure 4</v>
      </c>
      <c r="CB52">
        <f t="shared" si="45"/>
        <v>0.23957520639999941</v>
      </c>
      <c r="CC52" t="str">
        <f t="shared" si="36"/>
        <v>Stas and Kulhawy 1984</v>
      </c>
      <c r="CD52">
        <f t="shared" si="46"/>
        <v>6642.6827300792529</v>
      </c>
      <c r="CE52" t="str">
        <f t="shared" si="37"/>
        <v/>
      </c>
      <c r="CF52" t="str">
        <f t="shared" si="47"/>
        <v/>
      </c>
      <c r="CG52" t="str">
        <f t="shared" si="38"/>
        <v>Relationship (Gs=2.67)</v>
      </c>
      <c r="CH52">
        <f t="shared" si="48"/>
        <v>0.75</v>
      </c>
      <c r="CI52" t="str">
        <f t="shared" si="39"/>
        <v/>
      </c>
      <c r="CJ52" t="str">
        <f t="shared" si="40"/>
        <v/>
      </c>
    </row>
    <row r="53" spans="2:88" x14ac:dyDescent="0.3">
      <c r="B53" t="str">
        <f t="shared" si="8"/>
        <v>36.831747-76.119917</v>
      </c>
      <c r="C53" t="s">
        <v>9</v>
      </c>
      <c r="D53">
        <v>36.831747</v>
      </c>
      <c r="E53">
        <v>-76.119917000000001</v>
      </c>
      <c r="F53">
        <v>6</v>
      </c>
      <c r="G53" t="str">
        <f t="shared" si="9"/>
        <v>-72-7436.831747-76.119917</v>
      </c>
      <c r="H53">
        <f t="shared" si="10"/>
        <v>-72</v>
      </c>
      <c r="I53">
        <v>-74</v>
      </c>
      <c r="J53" t="s">
        <v>21</v>
      </c>
      <c r="L53" t="s">
        <v>11</v>
      </c>
      <c r="M53">
        <v>11</v>
      </c>
      <c r="N53">
        <v>29</v>
      </c>
      <c r="O53">
        <v>17</v>
      </c>
      <c r="P53">
        <v>40</v>
      </c>
      <c r="Q53" s="1">
        <f t="shared" si="11"/>
        <v>23</v>
      </c>
      <c r="R53">
        <v>80</v>
      </c>
      <c r="S53" t="str">
        <f t="shared" si="41"/>
        <v>Clay</v>
      </c>
      <c r="T53">
        <f t="shared" si="12"/>
        <v>2</v>
      </c>
      <c r="AA53">
        <v>80</v>
      </c>
      <c r="AB53" s="1">
        <f t="shared" si="13"/>
        <v>15</v>
      </c>
      <c r="AC53">
        <f t="shared" si="14"/>
        <v>7</v>
      </c>
      <c r="AD53">
        <f t="shared" si="15"/>
        <v>0.52173913043478259</v>
      </c>
      <c r="AE53" t="str">
        <f t="shared" si="16"/>
        <v/>
      </c>
      <c r="AG53" s="21" t="str">
        <f t="shared" si="17"/>
        <v/>
      </c>
      <c r="AI53" s="6" t="str">
        <f t="shared" si="18"/>
        <v/>
      </c>
      <c r="AM53" s="7" t="str">
        <f t="shared" si="19"/>
        <v/>
      </c>
      <c r="AQ53" s="8" t="str">
        <f t="shared" si="20"/>
        <v/>
      </c>
      <c r="AW53" s="25" t="str">
        <f t="shared" si="21"/>
        <v/>
      </c>
      <c r="AZ53" s="12" t="str">
        <f t="shared" si="22"/>
        <v/>
      </c>
      <c r="BI53" s="17" t="str">
        <f t="shared" si="23"/>
        <v/>
      </c>
      <c r="BM53" t="str">
        <f t="shared" si="24"/>
        <v>SPT Relationship</v>
      </c>
      <c r="BN53">
        <f t="shared" si="42"/>
        <v>119</v>
      </c>
      <c r="BO53" t="str">
        <f t="shared" si="25"/>
        <v>Wolff, 1989</v>
      </c>
      <c r="BP53">
        <f t="shared" si="43"/>
        <v>29</v>
      </c>
      <c r="BQ53" t="str">
        <f t="shared" si="26"/>
        <v>GTENG-2476</v>
      </c>
      <c r="BR53">
        <f t="shared" si="27"/>
        <v>22</v>
      </c>
      <c r="BS53" t="str">
        <f t="shared" si="28"/>
        <v>Stroud 1974 (K=3.5)</v>
      </c>
      <c r="BT53">
        <f t="shared" si="44"/>
        <v>1096</v>
      </c>
      <c r="BU53" t="str">
        <f t="shared" si="29"/>
        <v>Kulhawy and Mayne 1990</v>
      </c>
      <c r="BV53">
        <f t="shared" si="30"/>
        <v>0.311</v>
      </c>
      <c r="BW53" t="str">
        <f t="shared" si="31"/>
        <v>Kulhawy and Mayne 1990</v>
      </c>
      <c r="BX53">
        <f t="shared" si="32"/>
        <v>6.2E-2</v>
      </c>
      <c r="BY53" t="str">
        <f t="shared" si="33"/>
        <v>Mesri 1990</v>
      </c>
      <c r="BZ53">
        <f t="shared" si="34"/>
        <v>9.2999999999999992E-3</v>
      </c>
      <c r="CA53" t="str">
        <f t="shared" si="35"/>
        <v>NAVFAC Vol. 7.1 Figure 4</v>
      </c>
      <c r="CB53">
        <f t="shared" si="45"/>
        <v>0.19172000000000011</v>
      </c>
      <c r="CC53" t="str">
        <f t="shared" si="36"/>
        <v>Stas and Kulhawy 1984</v>
      </c>
      <c r="CD53">
        <f t="shared" si="46"/>
        <v>3842.6083197299704</v>
      </c>
      <c r="CE53" t="str">
        <f t="shared" si="37"/>
        <v/>
      </c>
      <c r="CF53" t="str">
        <f t="shared" si="47"/>
        <v/>
      </c>
      <c r="CG53" t="str">
        <f t="shared" si="38"/>
        <v>Relationship (Gs=2.67)</v>
      </c>
      <c r="CH53">
        <f t="shared" si="48"/>
        <v>0.77</v>
      </c>
      <c r="CI53" t="str">
        <f t="shared" si="39"/>
        <v/>
      </c>
      <c r="CJ53" t="str">
        <f t="shared" si="40"/>
        <v/>
      </c>
    </row>
    <row r="54" spans="2:88" x14ac:dyDescent="0.3">
      <c r="B54" t="str">
        <f t="shared" si="8"/>
        <v>36.831747-76.119917</v>
      </c>
      <c r="C54" t="s">
        <v>9</v>
      </c>
      <c r="D54">
        <v>36.831747</v>
      </c>
      <c r="E54">
        <v>-76.119917000000001</v>
      </c>
      <c r="F54">
        <v>6</v>
      </c>
      <c r="G54" t="str">
        <f t="shared" si="9"/>
        <v>-77-7936.831747-76.119917</v>
      </c>
      <c r="H54">
        <f t="shared" si="10"/>
        <v>-77</v>
      </c>
      <c r="I54">
        <v>-79</v>
      </c>
      <c r="J54" t="s">
        <v>21</v>
      </c>
      <c r="L54" t="s">
        <v>17</v>
      </c>
      <c r="M54">
        <v>14</v>
      </c>
      <c r="Q54" s="1" t="str">
        <f t="shared" si="11"/>
        <v/>
      </c>
      <c r="S54" t="str">
        <f t="shared" si="41"/>
        <v>Sand</v>
      </c>
      <c r="T54">
        <f t="shared" si="12"/>
        <v>1</v>
      </c>
      <c r="AA54">
        <v>80</v>
      </c>
      <c r="AB54" s="1">
        <f t="shared" si="13"/>
        <v>19</v>
      </c>
      <c r="AC54">
        <f t="shared" si="14"/>
        <v>8</v>
      </c>
      <c r="AD54" t="str">
        <f t="shared" si="15"/>
        <v/>
      </c>
      <c r="AE54" t="str">
        <f t="shared" si="16"/>
        <v/>
      </c>
      <c r="AG54" s="21" t="str">
        <f t="shared" si="17"/>
        <v/>
      </c>
      <c r="AI54" s="6" t="str">
        <f t="shared" si="18"/>
        <v/>
      </c>
      <c r="AM54" s="7" t="str">
        <f t="shared" si="19"/>
        <v/>
      </c>
      <c r="AQ54" s="8" t="str">
        <f t="shared" si="20"/>
        <v/>
      </c>
      <c r="AW54" s="25" t="str">
        <f t="shared" si="21"/>
        <v/>
      </c>
      <c r="AZ54" s="12" t="str">
        <f t="shared" si="22"/>
        <v/>
      </c>
      <c r="BI54" s="17" t="str">
        <f t="shared" si="23"/>
        <v/>
      </c>
      <c r="BM54" t="str">
        <f t="shared" si="24"/>
        <v>SPT Relationship</v>
      </c>
      <c r="BN54">
        <f t="shared" si="42"/>
        <v>122</v>
      </c>
      <c r="BO54" t="str">
        <f t="shared" si="25"/>
        <v>Wolff, 1989</v>
      </c>
      <c r="BP54">
        <f t="shared" si="43"/>
        <v>29</v>
      </c>
      <c r="BQ54" t="str">
        <f t="shared" si="26"/>
        <v/>
      </c>
      <c r="BR54" t="str">
        <f t="shared" si="27"/>
        <v/>
      </c>
      <c r="BS54" t="str">
        <f t="shared" si="28"/>
        <v/>
      </c>
      <c r="BT54" t="str">
        <f t="shared" si="44"/>
        <v/>
      </c>
      <c r="BU54" t="str">
        <f t="shared" si="29"/>
        <v/>
      </c>
      <c r="BV54" t="str">
        <f t="shared" si="30"/>
        <v/>
      </c>
      <c r="BW54" t="str">
        <f t="shared" si="31"/>
        <v/>
      </c>
      <c r="BX54" t="str">
        <f t="shared" si="32"/>
        <v/>
      </c>
      <c r="BY54" t="str">
        <f t="shared" si="33"/>
        <v/>
      </c>
      <c r="BZ54" t="str">
        <f t="shared" si="34"/>
        <v/>
      </c>
      <c r="CA54" t="str">
        <f t="shared" si="35"/>
        <v/>
      </c>
      <c r="CB54" t="str">
        <f t="shared" si="45"/>
        <v/>
      </c>
      <c r="CC54" t="str">
        <f t="shared" si="36"/>
        <v/>
      </c>
      <c r="CD54" t="str">
        <f t="shared" si="46"/>
        <v/>
      </c>
      <c r="CE54" t="str">
        <f t="shared" si="37"/>
        <v>Bowles 5th edition</v>
      </c>
      <c r="CF54">
        <f t="shared" si="47"/>
        <v>218</v>
      </c>
      <c r="CG54" t="str">
        <f t="shared" si="38"/>
        <v/>
      </c>
      <c r="CH54" t="str">
        <f t="shared" si="48"/>
        <v/>
      </c>
      <c r="CI54" t="str">
        <f t="shared" si="39"/>
        <v/>
      </c>
      <c r="CJ54" t="str">
        <f t="shared" si="40"/>
        <v/>
      </c>
    </row>
    <row r="55" spans="2:88" x14ac:dyDescent="0.3">
      <c r="B55" t="str">
        <f t="shared" si="8"/>
        <v>36.831747-76.119917</v>
      </c>
      <c r="C55" t="s">
        <v>9</v>
      </c>
      <c r="D55">
        <v>36.831747</v>
      </c>
      <c r="E55">
        <v>-76.119917000000001</v>
      </c>
      <c r="F55">
        <v>6</v>
      </c>
      <c r="G55" t="str">
        <f t="shared" si="9"/>
        <v>-82-8436.831747-76.119917</v>
      </c>
      <c r="H55">
        <f t="shared" si="10"/>
        <v>-82</v>
      </c>
      <c r="I55">
        <v>-84</v>
      </c>
      <c r="J55" t="s">
        <v>21</v>
      </c>
      <c r="L55" t="s">
        <v>17</v>
      </c>
      <c r="M55">
        <v>12</v>
      </c>
      <c r="N55">
        <v>24</v>
      </c>
      <c r="O55">
        <v>11</v>
      </c>
      <c r="P55">
        <v>22</v>
      </c>
      <c r="Q55" s="1">
        <f t="shared" si="11"/>
        <v>11</v>
      </c>
      <c r="R55">
        <v>30</v>
      </c>
      <c r="S55" t="str">
        <f t="shared" si="41"/>
        <v>Sand</v>
      </c>
      <c r="T55">
        <f t="shared" si="12"/>
        <v>2</v>
      </c>
      <c r="AA55">
        <v>80</v>
      </c>
      <c r="AB55" s="1">
        <f t="shared" si="13"/>
        <v>16</v>
      </c>
      <c r="AC55">
        <f t="shared" si="14"/>
        <v>7</v>
      </c>
      <c r="AD55">
        <f t="shared" si="15"/>
        <v>1.1818181818181819</v>
      </c>
      <c r="AE55" t="str">
        <f t="shared" si="16"/>
        <v/>
      </c>
      <c r="AG55" s="21" t="str">
        <f t="shared" si="17"/>
        <v/>
      </c>
      <c r="AI55" s="6" t="str">
        <f t="shared" si="18"/>
        <v/>
      </c>
      <c r="AM55" s="7" t="str">
        <f t="shared" si="19"/>
        <v/>
      </c>
      <c r="AQ55" s="8" t="str">
        <f t="shared" si="20"/>
        <v/>
      </c>
      <c r="AW55" s="25" t="str">
        <f t="shared" si="21"/>
        <v/>
      </c>
      <c r="AZ55" s="12" t="str">
        <f t="shared" si="22"/>
        <v/>
      </c>
      <c r="BI55" s="17" t="str">
        <f t="shared" si="23"/>
        <v/>
      </c>
      <c r="BM55" t="str">
        <f t="shared" si="24"/>
        <v>SPT Relationship</v>
      </c>
      <c r="BN55">
        <f t="shared" si="42"/>
        <v>120</v>
      </c>
      <c r="BO55" t="str">
        <f t="shared" si="25"/>
        <v>Wolff, 1989</v>
      </c>
      <c r="BP55">
        <f t="shared" si="43"/>
        <v>29</v>
      </c>
      <c r="BQ55" t="str">
        <f t="shared" si="26"/>
        <v>GTENG-2476</v>
      </c>
      <c r="BR55">
        <f t="shared" si="27"/>
        <v>24</v>
      </c>
      <c r="BS55" t="str">
        <f t="shared" si="28"/>
        <v/>
      </c>
      <c r="BT55" t="str">
        <f t="shared" si="44"/>
        <v/>
      </c>
      <c r="BU55" t="str">
        <f t="shared" si="29"/>
        <v>Kulhawy and Mayne 1990</v>
      </c>
      <c r="BV55">
        <f t="shared" si="30"/>
        <v>0.14899999999999999</v>
      </c>
      <c r="BW55" t="str">
        <f t="shared" si="31"/>
        <v>Kulhawy and Mayne 1990</v>
      </c>
      <c r="BX55">
        <f t="shared" si="32"/>
        <v>0.03</v>
      </c>
      <c r="BY55" t="str">
        <f t="shared" si="33"/>
        <v>Mesri 1990</v>
      </c>
      <c r="BZ55">
        <f t="shared" si="34"/>
        <v>4.4999999999999997E-3</v>
      </c>
      <c r="CA55" t="str">
        <f t="shared" si="35"/>
        <v>NAVFAC Vol. 7.1 Figure 4</v>
      </c>
      <c r="CB55">
        <f t="shared" si="45"/>
        <v>0.7466923136000001</v>
      </c>
      <c r="CC55" t="str">
        <f t="shared" si="36"/>
        <v>Stas and Kulhawy 1984</v>
      </c>
      <c r="CD55">
        <f t="shared" si="46"/>
        <v>327.56542528509897</v>
      </c>
      <c r="CE55" t="str">
        <f t="shared" si="37"/>
        <v>Bowles 5th edition</v>
      </c>
      <c r="CF55">
        <f t="shared" si="47"/>
        <v>198</v>
      </c>
      <c r="CG55" t="str">
        <f t="shared" si="38"/>
        <v>Relationship (Gs=2.67)</v>
      </c>
      <c r="CH55">
        <f t="shared" si="48"/>
        <v>0.64</v>
      </c>
      <c r="CI55" t="str">
        <f t="shared" si="39"/>
        <v/>
      </c>
      <c r="CJ55" t="str">
        <f t="shared" si="40"/>
        <v/>
      </c>
    </row>
    <row r="56" spans="2:88" x14ac:dyDescent="0.3">
      <c r="B56" t="str">
        <f t="shared" si="8"/>
        <v>36.831747-76.119917</v>
      </c>
      <c r="C56" t="s">
        <v>9</v>
      </c>
      <c r="D56">
        <v>36.831747</v>
      </c>
      <c r="E56">
        <v>-76.119917000000001</v>
      </c>
      <c r="F56">
        <v>6</v>
      </c>
      <c r="G56" t="str">
        <f t="shared" si="9"/>
        <v>-87-8936.831747-76.119917</v>
      </c>
      <c r="H56">
        <f t="shared" si="10"/>
        <v>-87</v>
      </c>
      <c r="I56">
        <v>-89</v>
      </c>
      <c r="J56" t="s">
        <v>21</v>
      </c>
      <c r="L56" t="s">
        <v>17</v>
      </c>
      <c r="M56">
        <v>12</v>
      </c>
      <c r="Q56" s="1" t="str">
        <f t="shared" si="11"/>
        <v/>
      </c>
      <c r="S56" t="str">
        <f t="shared" si="41"/>
        <v>Sand</v>
      </c>
      <c r="T56">
        <f t="shared" si="12"/>
        <v>1</v>
      </c>
      <c r="AA56">
        <v>80</v>
      </c>
      <c r="AB56" s="1">
        <f t="shared" si="13"/>
        <v>16</v>
      </c>
      <c r="AC56">
        <f t="shared" si="14"/>
        <v>7</v>
      </c>
      <c r="AD56" t="str">
        <f t="shared" si="15"/>
        <v/>
      </c>
      <c r="AE56" t="str">
        <f t="shared" si="16"/>
        <v/>
      </c>
      <c r="AG56" s="21" t="str">
        <f t="shared" si="17"/>
        <v/>
      </c>
      <c r="AI56" s="6" t="str">
        <f t="shared" si="18"/>
        <v/>
      </c>
      <c r="AM56" s="7" t="str">
        <f t="shared" si="19"/>
        <v/>
      </c>
      <c r="AQ56" s="8" t="str">
        <f t="shared" si="20"/>
        <v/>
      </c>
      <c r="AW56" s="25" t="str">
        <f t="shared" si="21"/>
        <v/>
      </c>
      <c r="AZ56" s="12" t="str">
        <f t="shared" si="22"/>
        <v/>
      </c>
      <c r="BI56" s="17" t="str">
        <f t="shared" si="23"/>
        <v/>
      </c>
      <c r="BM56" t="str">
        <f t="shared" si="24"/>
        <v>SPT Relationship</v>
      </c>
      <c r="BN56">
        <f t="shared" si="42"/>
        <v>120</v>
      </c>
      <c r="BO56" t="str">
        <f t="shared" si="25"/>
        <v>Wolff, 1989</v>
      </c>
      <c r="BP56">
        <f t="shared" si="43"/>
        <v>29</v>
      </c>
      <c r="BQ56" t="str">
        <f t="shared" si="26"/>
        <v/>
      </c>
      <c r="BR56" t="str">
        <f t="shared" si="27"/>
        <v/>
      </c>
      <c r="BS56" t="str">
        <f t="shared" si="28"/>
        <v/>
      </c>
      <c r="BT56" t="str">
        <f t="shared" si="44"/>
        <v/>
      </c>
      <c r="BU56" t="str">
        <f t="shared" si="29"/>
        <v/>
      </c>
      <c r="BV56" t="str">
        <f t="shared" si="30"/>
        <v/>
      </c>
      <c r="BW56" t="str">
        <f t="shared" si="31"/>
        <v/>
      </c>
      <c r="BX56" t="str">
        <f t="shared" si="32"/>
        <v/>
      </c>
      <c r="BY56" t="str">
        <f t="shared" si="33"/>
        <v/>
      </c>
      <c r="BZ56" t="str">
        <f t="shared" si="34"/>
        <v/>
      </c>
      <c r="CA56" t="str">
        <f t="shared" si="35"/>
        <v/>
      </c>
      <c r="CB56" t="str">
        <f t="shared" si="45"/>
        <v/>
      </c>
      <c r="CC56" t="str">
        <f t="shared" si="36"/>
        <v/>
      </c>
      <c r="CD56" t="str">
        <f t="shared" si="46"/>
        <v/>
      </c>
      <c r="CE56" t="str">
        <f t="shared" si="37"/>
        <v>Bowles 5th edition</v>
      </c>
      <c r="CF56">
        <f t="shared" si="47"/>
        <v>198</v>
      </c>
      <c r="CG56" t="str">
        <f t="shared" si="38"/>
        <v/>
      </c>
      <c r="CH56" t="str">
        <f t="shared" si="48"/>
        <v/>
      </c>
      <c r="CI56" t="str">
        <f t="shared" si="39"/>
        <v/>
      </c>
      <c r="CJ56" t="str">
        <f t="shared" si="40"/>
        <v/>
      </c>
    </row>
    <row r="57" spans="2:88" x14ac:dyDescent="0.3">
      <c r="B57" t="str">
        <f t="shared" si="8"/>
        <v>36.831747-76.119917</v>
      </c>
      <c r="C57" t="s">
        <v>9</v>
      </c>
      <c r="D57">
        <v>36.831747</v>
      </c>
      <c r="E57">
        <v>-76.119917000000001</v>
      </c>
      <c r="F57">
        <v>6</v>
      </c>
      <c r="G57" t="str">
        <f t="shared" si="9"/>
        <v>-92-9436.831747-76.119917</v>
      </c>
      <c r="H57">
        <f t="shared" si="10"/>
        <v>-92</v>
      </c>
      <c r="I57">
        <v>-94</v>
      </c>
      <c r="J57" t="s">
        <v>21</v>
      </c>
      <c r="L57" t="s">
        <v>17</v>
      </c>
      <c r="M57">
        <v>19</v>
      </c>
      <c r="Q57" s="1" t="str">
        <f t="shared" si="11"/>
        <v/>
      </c>
      <c r="S57" t="str">
        <f t="shared" si="41"/>
        <v>Sand</v>
      </c>
      <c r="T57">
        <f t="shared" si="12"/>
        <v>1</v>
      </c>
      <c r="AA57">
        <v>80</v>
      </c>
      <c r="AB57" s="1">
        <f t="shared" si="13"/>
        <v>25</v>
      </c>
      <c r="AC57">
        <f t="shared" si="14"/>
        <v>10</v>
      </c>
      <c r="AD57" t="str">
        <f t="shared" si="15"/>
        <v/>
      </c>
      <c r="AE57" t="str">
        <f t="shared" si="16"/>
        <v/>
      </c>
      <c r="AG57" s="21" t="str">
        <f t="shared" si="17"/>
        <v/>
      </c>
      <c r="AI57" s="6" t="str">
        <f t="shared" si="18"/>
        <v/>
      </c>
      <c r="AM57" s="7" t="str">
        <f t="shared" si="19"/>
        <v/>
      </c>
      <c r="AQ57" s="8" t="str">
        <f t="shared" si="20"/>
        <v/>
      </c>
      <c r="AW57" s="25" t="str">
        <f t="shared" si="21"/>
        <v/>
      </c>
      <c r="AZ57" s="12" t="str">
        <f t="shared" si="22"/>
        <v/>
      </c>
      <c r="BI57" s="17" t="str">
        <f t="shared" si="23"/>
        <v/>
      </c>
      <c r="BM57" t="str">
        <f t="shared" si="24"/>
        <v>SPT Relationship</v>
      </c>
      <c r="BN57">
        <f t="shared" si="42"/>
        <v>126</v>
      </c>
      <c r="BO57" t="str">
        <f t="shared" si="25"/>
        <v>Wolff, 1989</v>
      </c>
      <c r="BP57">
        <f t="shared" si="43"/>
        <v>30</v>
      </c>
      <c r="BQ57" t="str">
        <f t="shared" si="26"/>
        <v/>
      </c>
      <c r="BR57" t="str">
        <f t="shared" si="27"/>
        <v/>
      </c>
      <c r="BS57" t="str">
        <f t="shared" si="28"/>
        <v/>
      </c>
      <c r="BT57" t="str">
        <f t="shared" si="44"/>
        <v/>
      </c>
      <c r="BU57" t="str">
        <f t="shared" si="29"/>
        <v/>
      </c>
      <c r="BV57" t="str">
        <f t="shared" si="30"/>
        <v/>
      </c>
      <c r="BW57" t="str">
        <f t="shared" si="31"/>
        <v/>
      </c>
      <c r="BX57" t="str">
        <f t="shared" si="32"/>
        <v/>
      </c>
      <c r="BY57" t="str">
        <f t="shared" si="33"/>
        <v/>
      </c>
      <c r="BZ57" t="str">
        <f t="shared" si="34"/>
        <v/>
      </c>
      <c r="CA57" t="str">
        <f t="shared" si="35"/>
        <v/>
      </c>
      <c r="CB57" t="str">
        <f t="shared" si="45"/>
        <v/>
      </c>
      <c r="CC57" t="str">
        <f t="shared" si="36"/>
        <v/>
      </c>
      <c r="CD57" t="str">
        <f t="shared" si="46"/>
        <v/>
      </c>
      <c r="CE57" t="str">
        <f t="shared" si="37"/>
        <v>Bowles 5th edition</v>
      </c>
      <c r="CF57">
        <f t="shared" si="47"/>
        <v>256</v>
      </c>
      <c r="CG57" t="str">
        <f t="shared" si="38"/>
        <v/>
      </c>
      <c r="CH57" t="str">
        <f t="shared" si="48"/>
        <v/>
      </c>
      <c r="CI57" t="str">
        <f t="shared" si="39"/>
        <v/>
      </c>
      <c r="CJ57" t="str">
        <f t="shared" si="40"/>
        <v/>
      </c>
    </row>
    <row r="58" spans="2:88" x14ac:dyDescent="0.3">
      <c r="B58" t="str">
        <f t="shared" si="8"/>
        <v>36.831747-76.119917</v>
      </c>
      <c r="C58" t="s">
        <v>9</v>
      </c>
      <c r="D58">
        <v>36.831747</v>
      </c>
      <c r="E58">
        <v>-76.119917000000001</v>
      </c>
      <c r="F58">
        <v>6</v>
      </c>
      <c r="G58" t="str">
        <f t="shared" si="9"/>
        <v>-97-9936.831747-76.119917</v>
      </c>
      <c r="H58">
        <f t="shared" si="10"/>
        <v>-97</v>
      </c>
      <c r="I58">
        <v>-99</v>
      </c>
      <c r="J58" t="s">
        <v>21</v>
      </c>
      <c r="L58" t="s">
        <v>17</v>
      </c>
      <c r="M58">
        <v>21</v>
      </c>
      <c r="Q58" s="1" t="str">
        <f t="shared" si="11"/>
        <v/>
      </c>
      <c r="S58" t="str">
        <f t="shared" si="41"/>
        <v>Sand</v>
      </c>
      <c r="T58">
        <f t="shared" si="12"/>
        <v>1</v>
      </c>
      <c r="AA58">
        <v>80</v>
      </c>
      <c r="AB58" s="1">
        <f t="shared" si="13"/>
        <v>28</v>
      </c>
      <c r="AC58">
        <f t="shared" si="14"/>
        <v>11</v>
      </c>
      <c r="AD58" t="str">
        <f t="shared" si="15"/>
        <v/>
      </c>
      <c r="AE58" t="str">
        <f t="shared" si="16"/>
        <v/>
      </c>
      <c r="AG58" s="21" t="str">
        <f t="shared" si="17"/>
        <v/>
      </c>
      <c r="AI58" s="6" t="str">
        <f t="shared" si="18"/>
        <v/>
      </c>
      <c r="AM58" s="7" t="str">
        <f t="shared" si="19"/>
        <v/>
      </c>
      <c r="AQ58" s="8" t="str">
        <f t="shared" si="20"/>
        <v/>
      </c>
      <c r="AW58" s="25" t="str">
        <f t="shared" si="21"/>
        <v/>
      </c>
      <c r="AZ58" s="12" t="str">
        <f t="shared" si="22"/>
        <v/>
      </c>
      <c r="BI58" s="17" t="str">
        <f t="shared" si="23"/>
        <v/>
      </c>
      <c r="BM58" t="str">
        <f t="shared" si="24"/>
        <v>SPT Relationship</v>
      </c>
      <c r="BN58">
        <f t="shared" si="42"/>
        <v>127</v>
      </c>
      <c r="BO58" t="str">
        <f t="shared" si="25"/>
        <v>Wolff, 1989</v>
      </c>
      <c r="BP58">
        <f t="shared" si="43"/>
        <v>30</v>
      </c>
      <c r="BQ58" t="str">
        <f t="shared" si="26"/>
        <v/>
      </c>
      <c r="BR58" t="str">
        <f t="shared" si="27"/>
        <v/>
      </c>
      <c r="BS58" t="str">
        <f t="shared" si="28"/>
        <v/>
      </c>
      <c r="BT58" t="str">
        <f t="shared" si="44"/>
        <v/>
      </c>
      <c r="BU58" t="str">
        <f t="shared" si="29"/>
        <v/>
      </c>
      <c r="BV58" t="str">
        <f t="shared" si="30"/>
        <v/>
      </c>
      <c r="BW58" t="str">
        <f t="shared" si="31"/>
        <v/>
      </c>
      <c r="BX58" t="str">
        <f t="shared" si="32"/>
        <v/>
      </c>
      <c r="BY58" t="str">
        <f t="shared" si="33"/>
        <v/>
      </c>
      <c r="BZ58" t="str">
        <f t="shared" si="34"/>
        <v/>
      </c>
      <c r="CA58" t="str">
        <f t="shared" si="35"/>
        <v/>
      </c>
      <c r="CB58" t="str">
        <f t="shared" si="45"/>
        <v/>
      </c>
      <c r="CC58" t="str">
        <f t="shared" si="36"/>
        <v/>
      </c>
      <c r="CD58" t="str">
        <f t="shared" si="46"/>
        <v/>
      </c>
      <c r="CE58" t="str">
        <f t="shared" si="37"/>
        <v>Bowles 5th edition</v>
      </c>
      <c r="CF58">
        <f t="shared" si="47"/>
        <v>275</v>
      </c>
      <c r="CG58" t="str">
        <f t="shared" si="38"/>
        <v/>
      </c>
      <c r="CH58" t="str">
        <f t="shared" si="48"/>
        <v/>
      </c>
      <c r="CI58" t="str">
        <f t="shared" si="39"/>
        <v/>
      </c>
      <c r="CJ58" t="str">
        <f t="shared" si="40"/>
        <v/>
      </c>
    </row>
    <row r="59" spans="2:88" x14ac:dyDescent="0.3">
      <c r="B59" t="str">
        <f t="shared" si="8"/>
        <v>36.831747-76.119917</v>
      </c>
      <c r="C59" t="s">
        <v>9</v>
      </c>
      <c r="D59">
        <v>36.831747</v>
      </c>
      <c r="E59">
        <v>-76.119917000000001</v>
      </c>
      <c r="F59">
        <v>6</v>
      </c>
      <c r="G59" t="str">
        <f t="shared" si="9"/>
        <v>-102-10436.831747-76.119917</v>
      </c>
      <c r="H59">
        <f t="shared" si="10"/>
        <v>-102</v>
      </c>
      <c r="I59">
        <v>-104</v>
      </c>
      <c r="J59" t="s">
        <v>21</v>
      </c>
      <c r="L59" t="s">
        <v>17</v>
      </c>
      <c r="M59">
        <v>23</v>
      </c>
      <c r="Q59" s="1" t="str">
        <f t="shared" si="11"/>
        <v/>
      </c>
      <c r="S59" t="str">
        <f t="shared" si="41"/>
        <v>Sand</v>
      </c>
      <c r="T59">
        <f t="shared" si="12"/>
        <v>1</v>
      </c>
      <c r="AA59">
        <v>80</v>
      </c>
      <c r="AB59" s="1">
        <f t="shared" si="13"/>
        <v>31</v>
      </c>
      <c r="AC59">
        <f t="shared" si="14"/>
        <v>12</v>
      </c>
      <c r="AD59" t="str">
        <f t="shared" si="15"/>
        <v/>
      </c>
      <c r="AE59" t="str">
        <f t="shared" si="16"/>
        <v/>
      </c>
      <c r="AG59" s="21" t="str">
        <f t="shared" si="17"/>
        <v/>
      </c>
      <c r="AI59" s="6" t="str">
        <f t="shared" si="18"/>
        <v/>
      </c>
      <c r="AM59" s="7" t="str">
        <f t="shared" si="19"/>
        <v/>
      </c>
      <c r="AQ59" s="8" t="str">
        <f t="shared" si="20"/>
        <v/>
      </c>
      <c r="AW59" s="25" t="str">
        <f t="shared" si="21"/>
        <v/>
      </c>
      <c r="AZ59" s="12" t="str">
        <f t="shared" si="22"/>
        <v/>
      </c>
      <c r="BI59" s="17" t="str">
        <f t="shared" si="23"/>
        <v/>
      </c>
      <c r="BM59" t="str">
        <f t="shared" si="24"/>
        <v>SPT Relationship</v>
      </c>
      <c r="BN59">
        <f t="shared" si="42"/>
        <v>128</v>
      </c>
      <c r="BO59" t="str">
        <f t="shared" si="25"/>
        <v>Wolff, 1989</v>
      </c>
      <c r="BP59">
        <f t="shared" si="43"/>
        <v>30</v>
      </c>
      <c r="BQ59" t="str">
        <f t="shared" si="26"/>
        <v/>
      </c>
      <c r="BR59" t="str">
        <f t="shared" si="27"/>
        <v/>
      </c>
      <c r="BS59" t="str">
        <f t="shared" si="28"/>
        <v/>
      </c>
      <c r="BT59" t="str">
        <f t="shared" si="44"/>
        <v/>
      </c>
      <c r="BU59" t="str">
        <f t="shared" si="29"/>
        <v/>
      </c>
      <c r="BV59" t="str">
        <f t="shared" si="30"/>
        <v/>
      </c>
      <c r="BW59" t="str">
        <f t="shared" si="31"/>
        <v/>
      </c>
      <c r="BX59" t="str">
        <f t="shared" si="32"/>
        <v/>
      </c>
      <c r="BY59" t="str">
        <f t="shared" si="33"/>
        <v/>
      </c>
      <c r="BZ59" t="str">
        <f t="shared" si="34"/>
        <v/>
      </c>
      <c r="CA59" t="str">
        <f t="shared" si="35"/>
        <v/>
      </c>
      <c r="CB59" t="str">
        <f t="shared" si="45"/>
        <v/>
      </c>
      <c r="CC59" t="str">
        <f t="shared" si="36"/>
        <v/>
      </c>
      <c r="CD59" t="str">
        <f t="shared" si="46"/>
        <v/>
      </c>
      <c r="CE59" t="str">
        <f t="shared" si="37"/>
        <v>Bowles 5th edition</v>
      </c>
      <c r="CF59">
        <f t="shared" si="47"/>
        <v>294</v>
      </c>
      <c r="CG59" t="str">
        <f t="shared" si="38"/>
        <v/>
      </c>
      <c r="CH59" t="str">
        <f t="shared" si="48"/>
        <v/>
      </c>
      <c r="CI59" t="str">
        <f t="shared" si="39"/>
        <v/>
      </c>
      <c r="CJ59" t="str">
        <f t="shared" si="40"/>
        <v/>
      </c>
    </row>
    <row r="60" spans="2:88" x14ac:dyDescent="0.3">
      <c r="B60" t="str">
        <f t="shared" si="8"/>
        <v>36.831747-76.119917</v>
      </c>
      <c r="C60" t="s">
        <v>9</v>
      </c>
      <c r="D60">
        <v>36.831747</v>
      </c>
      <c r="E60">
        <v>-76.119917000000001</v>
      </c>
      <c r="F60">
        <v>6</v>
      </c>
      <c r="G60" t="str">
        <f t="shared" si="9"/>
        <v>-107-10936.831747-76.119917</v>
      </c>
      <c r="H60">
        <f t="shared" si="10"/>
        <v>-107</v>
      </c>
      <c r="I60">
        <v>-109</v>
      </c>
      <c r="J60" t="s">
        <v>21</v>
      </c>
      <c r="L60" t="s">
        <v>8</v>
      </c>
      <c r="M60">
        <v>20</v>
      </c>
      <c r="Q60" s="1" t="str">
        <f t="shared" si="11"/>
        <v/>
      </c>
      <c r="S60" t="str">
        <f t="shared" si="41"/>
        <v>Sand</v>
      </c>
      <c r="T60">
        <f t="shared" si="12"/>
        <v>1</v>
      </c>
      <c r="AA60">
        <v>80</v>
      </c>
      <c r="AB60" s="1">
        <f t="shared" si="13"/>
        <v>27</v>
      </c>
      <c r="AC60">
        <f t="shared" si="14"/>
        <v>10</v>
      </c>
      <c r="AD60" t="str">
        <f t="shared" si="15"/>
        <v/>
      </c>
      <c r="AE60" t="str">
        <f t="shared" si="16"/>
        <v/>
      </c>
      <c r="AG60" s="21" t="str">
        <f t="shared" si="17"/>
        <v/>
      </c>
      <c r="AI60" s="6" t="str">
        <f t="shared" si="18"/>
        <v/>
      </c>
      <c r="AM60" s="7" t="str">
        <f t="shared" si="19"/>
        <v/>
      </c>
      <c r="AQ60" s="8" t="str">
        <f t="shared" si="20"/>
        <v/>
      </c>
      <c r="AW60" s="25" t="str">
        <f t="shared" si="21"/>
        <v/>
      </c>
      <c r="AZ60" s="12" t="str">
        <f t="shared" si="22"/>
        <v/>
      </c>
      <c r="BI60" s="17" t="str">
        <f t="shared" si="23"/>
        <v/>
      </c>
      <c r="BM60" t="str">
        <f t="shared" si="24"/>
        <v>SPT Relationship</v>
      </c>
      <c r="BN60">
        <f t="shared" si="42"/>
        <v>126</v>
      </c>
      <c r="BO60" t="str">
        <f t="shared" si="25"/>
        <v>Wolff, 1989</v>
      </c>
      <c r="BP60">
        <f t="shared" si="43"/>
        <v>30</v>
      </c>
      <c r="BQ60" t="str">
        <f t="shared" si="26"/>
        <v/>
      </c>
      <c r="BR60" t="str">
        <f t="shared" si="27"/>
        <v/>
      </c>
      <c r="BS60" t="str">
        <f t="shared" si="28"/>
        <v/>
      </c>
      <c r="BT60" t="str">
        <f t="shared" si="44"/>
        <v/>
      </c>
      <c r="BU60" t="str">
        <f t="shared" si="29"/>
        <v/>
      </c>
      <c r="BV60" t="str">
        <f t="shared" si="30"/>
        <v/>
      </c>
      <c r="BW60" t="str">
        <f t="shared" si="31"/>
        <v/>
      </c>
      <c r="BX60" t="str">
        <f t="shared" si="32"/>
        <v/>
      </c>
      <c r="BY60" t="str">
        <f t="shared" si="33"/>
        <v/>
      </c>
      <c r="BZ60" t="str">
        <f t="shared" si="34"/>
        <v/>
      </c>
      <c r="CA60" t="str">
        <f t="shared" si="35"/>
        <v/>
      </c>
      <c r="CB60" t="str">
        <f t="shared" si="45"/>
        <v/>
      </c>
      <c r="CC60" t="str">
        <f t="shared" si="36"/>
        <v/>
      </c>
      <c r="CD60" t="str">
        <f t="shared" si="46"/>
        <v/>
      </c>
      <c r="CE60" t="str">
        <f t="shared" si="37"/>
        <v>Bowles 5th edition</v>
      </c>
      <c r="CF60">
        <f t="shared" si="47"/>
        <v>269</v>
      </c>
      <c r="CG60" t="str">
        <f t="shared" si="38"/>
        <v/>
      </c>
      <c r="CH60" t="str">
        <f t="shared" si="48"/>
        <v/>
      </c>
      <c r="CI60" t="str">
        <f t="shared" si="39"/>
        <v/>
      </c>
      <c r="CJ60" t="str">
        <f t="shared" si="40"/>
        <v/>
      </c>
    </row>
    <row r="61" spans="2:88" x14ac:dyDescent="0.3">
      <c r="B61" t="str">
        <f t="shared" si="8"/>
        <v>36.831747-76.119917</v>
      </c>
      <c r="C61" t="s">
        <v>9</v>
      </c>
      <c r="D61">
        <v>36.831747</v>
      </c>
      <c r="E61">
        <v>-76.119917000000001</v>
      </c>
      <c r="F61">
        <v>6</v>
      </c>
      <c r="G61" t="str">
        <f t="shared" si="9"/>
        <v>-112-11436.831747-76.119917</v>
      </c>
      <c r="H61">
        <f t="shared" si="10"/>
        <v>-112</v>
      </c>
      <c r="I61">
        <v>-114</v>
      </c>
      <c r="J61" t="s">
        <v>21</v>
      </c>
      <c r="L61" t="s">
        <v>8</v>
      </c>
      <c r="M61">
        <v>36</v>
      </c>
      <c r="Q61" s="1" t="str">
        <f t="shared" si="11"/>
        <v/>
      </c>
      <c r="S61" t="str">
        <f t="shared" si="41"/>
        <v>Sand</v>
      </c>
      <c r="T61">
        <f t="shared" si="12"/>
        <v>1</v>
      </c>
      <c r="AA61">
        <v>80</v>
      </c>
      <c r="AB61" s="1">
        <f t="shared" si="13"/>
        <v>48</v>
      </c>
      <c r="AC61">
        <f t="shared" si="14"/>
        <v>19</v>
      </c>
      <c r="AD61" t="str">
        <f t="shared" si="15"/>
        <v/>
      </c>
      <c r="AE61" t="str">
        <f t="shared" si="16"/>
        <v/>
      </c>
      <c r="AG61" s="21" t="str">
        <f t="shared" si="17"/>
        <v/>
      </c>
      <c r="AI61" s="6" t="str">
        <f t="shared" si="18"/>
        <v/>
      </c>
      <c r="AM61" s="7" t="str">
        <f t="shared" si="19"/>
        <v/>
      </c>
      <c r="AQ61" s="8" t="str">
        <f t="shared" si="20"/>
        <v/>
      </c>
      <c r="AW61" s="25" t="str">
        <f t="shared" si="21"/>
        <v/>
      </c>
      <c r="AZ61" s="12" t="str">
        <f t="shared" si="22"/>
        <v/>
      </c>
      <c r="BI61" s="17" t="str">
        <f t="shared" si="23"/>
        <v/>
      </c>
      <c r="BM61" t="str">
        <f t="shared" si="24"/>
        <v>SPT Relationship</v>
      </c>
      <c r="BN61">
        <f t="shared" si="42"/>
        <v>134</v>
      </c>
      <c r="BO61" t="str">
        <f t="shared" si="25"/>
        <v>Wolff, 1989</v>
      </c>
      <c r="BP61">
        <f t="shared" si="43"/>
        <v>32</v>
      </c>
      <c r="BQ61" t="str">
        <f t="shared" si="26"/>
        <v/>
      </c>
      <c r="BR61" t="str">
        <f t="shared" si="27"/>
        <v/>
      </c>
      <c r="BS61" t="str">
        <f t="shared" si="28"/>
        <v/>
      </c>
      <c r="BT61" t="str">
        <f t="shared" si="44"/>
        <v/>
      </c>
      <c r="BU61" t="str">
        <f t="shared" si="29"/>
        <v/>
      </c>
      <c r="BV61" t="str">
        <f t="shared" si="30"/>
        <v/>
      </c>
      <c r="BW61" t="str">
        <f t="shared" si="31"/>
        <v/>
      </c>
      <c r="BX61" t="str">
        <f t="shared" si="32"/>
        <v/>
      </c>
      <c r="BY61" t="str">
        <f t="shared" si="33"/>
        <v/>
      </c>
      <c r="BZ61" t="str">
        <f t="shared" si="34"/>
        <v/>
      </c>
      <c r="CA61" t="str">
        <f t="shared" si="35"/>
        <v/>
      </c>
      <c r="CB61" t="str">
        <f t="shared" si="45"/>
        <v/>
      </c>
      <c r="CC61" t="str">
        <f t="shared" si="36"/>
        <v/>
      </c>
      <c r="CD61" t="str">
        <f t="shared" si="46"/>
        <v/>
      </c>
      <c r="CE61" t="str">
        <f t="shared" si="37"/>
        <v>Bowles 5th edition</v>
      </c>
      <c r="CF61">
        <f t="shared" si="47"/>
        <v>403</v>
      </c>
      <c r="CG61" t="str">
        <f t="shared" si="38"/>
        <v/>
      </c>
      <c r="CH61" t="str">
        <f t="shared" si="48"/>
        <v/>
      </c>
      <c r="CI61" t="str">
        <f t="shared" si="39"/>
        <v/>
      </c>
      <c r="CJ61" t="str">
        <f t="shared" si="40"/>
        <v/>
      </c>
    </row>
    <row r="62" spans="2:88" x14ac:dyDescent="0.3">
      <c r="B62" t="str">
        <f t="shared" si="8"/>
        <v>36.831747-76.119917</v>
      </c>
      <c r="C62" t="s">
        <v>9</v>
      </c>
      <c r="D62">
        <v>36.831747</v>
      </c>
      <c r="E62">
        <v>-76.119917000000001</v>
      </c>
      <c r="F62">
        <v>6</v>
      </c>
      <c r="G62" t="str">
        <f t="shared" si="9"/>
        <v>-117-11936.831747-76.119917</v>
      </c>
      <c r="H62">
        <f t="shared" si="10"/>
        <v>-117</v>
      </c>
      <c r="I62">
        <v>-119</v>
      </c>
      <c r="J62" t="s">
        <v>21</v>
      </c>
      <c r="L62" t="s">
        <v>8</v>
      </c>
      <c r="M62">
        <v>49</v>
      </c>
      <c r="N62">
        <v>21</v>
      </c>
      <c r="Q62" s="1" t="str">
        <f t="shared" si="11"/>
        <v/>
      </c>
      <c r="R62">
        <v>30</v>
      </c>
      <c r="S62" t="str">
        <f t="shared" si="41"/>
        <v>Sand</v>
      </c>
      <c r="T62">
        <f t="shared" si="12"/>
        <v>2</v>
      </c>
      <c r="AA62">
        <v>80</v>
      </c>
      <c r="AB62" s="1">
        <f t="shared" si="13"/>
        <v>65</v>
      </c>
      <c r="AC62">
        <f t="shared" si="14"/>
        <v>25</v>
      </c>
      <c r="AD62" t="str">
        <f t="shared" si="15"/>
        <v/>
      </c>
      <c r="AE62" t="str">
        <f t="shared" si="16"/>
        <v/>
      </c>
      <c r="AG62" s="21" t="str">
        <f t="shared" si="17"/>
        <v/>
      </c>
      <c r="AI62" s="6" t="str">
        <f t="shared" si="18"/>
        <v/>
      </c>
      <c r="AM62" s="7" t="str">
        <f t="shared" si="19"/>
        <v/>
      </c>
      <c r="AQ62" s="8" t="str">
        <f t="shared" si="20"/>
        <v/>
      </c>
      <c r="AW62" s="25" t="str">
        <f t="shared" si="21"/>
        <v/>
      </c>
      <c r="AZ62" s="12" t="str">
        <f t="shared" si="22"/>
        <v/>
      </c>
      <c r="BI62" s="17" t="str">
        <f t="shared" si="23"/>
        <v/>
      </c>
      <c r="BM62" t="str">
        <f t="shared" si="24"/>
        <v>SPT Relationship</v>
      </c>
      <c r="BN62">
        <f t="shared" si="42"/>
        <v>137</v>
      </c>
      <c r="BO62" t="str">
        <f t="shared" si="25"/>
        <v>Wolff, 1989</v>
      </c>
      <c r="BP62">
        <f t="shared" si="43"/>
        <v>34</v>
      </c>
      <c r="BQ62" t="str">
        <f t="shared" si="26"/>
        <v/>
      </c>
      <c r="BR62" t="str">
        <f t="shared" si="27"/>
        <v/>
      </c>
      <c r="BS62" t="str">
        <f t="shared" si="28"/>
        <v/>
      </c>
      <c r="BT62" t="str">
        <f t="shared" si="44"/>
        <v/>
      </c>
      <c r="BU62" t="str">
        <f t="shared" si="29"/>
        <v/>
      </c>
      <c r="BV62" t="str">
        <f t="shared" si="30"/>
        <v/>
      </c>
      <c r="BW62" t="str">
        <f t="shared" si="31"/>
        <v/>
      </c>
      <c r="BX62" t="str">
        <f t="shared" si="32"/>
        <v/>
      </c>
      <c r="BY62" t="str">
        <f t="shared" si="33"/>
        <v/>
      </c>
      <c r="BZ62" t="str">
        <f t="shared" si="34"/>
        <v/>
      </c>
      <c r="CA62" t="str">
        <f t="shared" si="35"/>
        <v/>
      </c>
      <c r="CB62" t="str">
        <f t="shared" si="45"/>
        <v/>
      </c>
      <c r="CC62" t="str">
        <f t="shared" si="36"/>
        <v/>
      </c>
      <c r="CD62" t="str">
        <f t="shared" si="46"/>
        <v/>
      </c>
      <c r="CE62" t="str">
        <f t="shared" si="37"/>
        <v>Bowles 5th edition</v>
      </c>
      <c r="CF62">
        <f t="shared" si="47"/>
        <v>512</v>
      </c>
      <c r="CG62" t="str">
        <f t="shared" si="38"/>
        <v>Relationship (Gs=2.67)</v>
      </c>
      <c r="CH62">
        <f t="shared" si="48"/>
        <v>0.56000000000000005</v>
      </c>
      <c r="CI62" t="str">
        <f t="shared" si="39"/>
        <v/>
      </c>
      <c r="CJ62" t="str">
        <f t="shared" si="40"/>
        <v/>
      </c>
    </row>
    <row r="63" spans="2:88" x14ac:dyDescent="0.3">
      <c r="B63" t="str">
        <f t="shared" si="8"/>
        <v>36.831747-76.119917</v>
      </c>
      <c r="C63" t="s">
        <v>9</v>
      </c>
      <c r="D63">
        <v>36.831747</v>
      </c>
      <c r="E63">
        <v>-76.119917000000001</v>
      </c>
      <c r="F63">
        <v>6</v>
      </c>
      <c r="G63" t="str">
        <f t="shared" si="9"/>
        <v>-122-12436.831747-76.119917</v>
      </c>
      <c r="H63">
        <f t="shared" si="10"/>
        <v>-122</v>
      </c>
      <c r="I63">
        <v>-124</v>
      </c>
      <c r="J63" t="s">
        <v>21</v>
      </c>
      <c r="L63" t="s">
        <v>16</v>
      </c>
      <c r="M63">
        <v>47</v>
      </c>
      <c r="Q63" s="1" t="str">
        <f t="shared" si="11"/>
        <v/>
      </c>
      <c r="S63" t="str">
        <f t="shared" si="41"/>
        <v>Sand</v>
      </c>
      <c r="T63">
        <f t="shared" si="12"/>
        <v>1</v>
      </c>
      <c r="AA63">
        <v>80</v>
      </c>
      <c r="AB63" s="1">
        <f t="shared" si="13"/>
        <v>63</v>
      </c>
      <c r="AC63">
        <f t="shared" si="14"/>
        <v>24</v>
      </c>
      <c r="AD63" t="str">
        <f t="shared" si="15"/>
        <v/>
      </c>
      <c r="AE63" t="str">
        <f t="shared" si="16"/>
        <v/>
      </c>
      <c r="AG63" s="21" t="str">
        <f t="shared" si="17"/>
        <v/>
      </c>
      <c r="AI63" s="6" t="str">
        <f t="shared" si="18"/>
        <v/>
      </c>
      <c r="AM63" s="7" t="str">
        <f t="shared" si="19"/>
        <v/>
      </c>
      <c r="AQ63" s="8" t="str">
        <f t="shared" si="20"/>
        <v/>
      </c>
      <c r="AW63" s="25" t="str">
        <f t="shared" si="21"/>
        <v/>
      </c>
      <c r="AZ63" s="12" t="str">
        <f t="shared" si="22"/>
        <v/>
      </c>
      <c r="BI63" s="17" t="str">
        <f t="shared" si="23"/>
        <v/>
      </c>
      <c r="BM63" t="str">
        <f t="shared" si="24"/>
        <v>SPT Relationship</v>
      </c>
      <c r="BN63">
        <f t="shared" si="42"/>
        <v>137</v>
      </c>
      <c r="BO63" t="str">
        <f t="shared" si="25"/>
        <v>Wolff, 1989</v>
      </c>
      <c r="BP63">
        <f t="shared" si="43"/>
        <v>33</v>
      </c>
      <c r="BQ63" t="str">
        <f t="shared" si="26"/>
        <v/>
      </c>
      <c r="BR63" t="str">
        <f t="shared" si="27"/>
        <v/>
      </c>
      <c r="BS63" t="str">
        <f t="shared" si="28"/>
        <v/>
      </c>
      <c r="BT63" t="str">
        <f t="shared" si="44"/>
        <v/>
      </c>
      <c r="BU63" t="str">
        <f t="shared" si="29"/>
        <v/>
      </c>
      <c r="BV63" t="str">
        <f t="shared" si="30"/>
        <v/>
      </c>
      <c r="BW63" t="str">
        <f t="shared" si="31"/>
        <v/>
      </c>
      <c r="BX63" t="str">
        <f t="shared" si="32"/>
        <v/>
      </c>
      <c r="BY63" t="str">
        <f t="shared" si="33"/>
        <v/>
      </c>
      <c r="BZ63" t="str">
        <f t="shared" si="34"/>
        <v/>
      </c>
      <c r="CA63" t="str">
        <f t="shared" si="35"/>
        <v/>
      </c>
      <c r="CB63" t="str">
        <f t="shared" si="45"/>
        <v/>
      </c>
      <c r="CC63" t="str">
        <f t="shared" si="36"/>
        <v/>
      </c>
      <c r="CD63" t="str">
        <f t="shared" si="46"/>
        <v/>
      </c>
      <c r="CE63" t="str">
        <f t="shared" si="37"/>
        <v>Bowles 5th edition</v>
      </c>
      <c r="CF63">
        <f t="shared" si="47"/>
        <v>499</v>
      </c>
      <c r="CG63" t="str">
        <f t="shared" si="38"/>
        <v/>
      </c>
      <c r="CH63" t="str">
        <f t="shared" si="48"/>
        <v/>
      </c>
      <c r="CI63" t="str">
        <f t="shared" si="39"/>
        <v/>
      </c>
      <c r="CJ63" t="str">
        <f t="shared" si="40"/>
        <v/>
      </c>
    </row>
    <row r="64" spans="2:88" x14ac:dyDescent="0.3">
      <c r="B64" t="str">
        <f t="shared" si="8"/>
        <v>36.831747-76.119917</v>
      </c>
      <c r="C64" t="s">
        <v>9</v>
      </c>
      <c r="D64">
        <v>36.831747</v>
      </c>
      <c r="E64">
        <v>-76.119917000000001</v>
      </c>
      <c r="F64">
        <v>6</v>
      </c>
      <c r="G64" t="str">
        <f t="shared" si="9"/>
        <v>-127-12936.831747-76.119917</v>
      </c>
      <c r="H64">
        <f t="shared" si="10"/>
        <v>-127</v>
      </c>
      <c r="I64">
        <v>-129</v>
      </c>
      <c r="J64" t="s">
        <v>21</v>
      </c>
      <c r="L64" t="s">
        <v>16</v>
      </c>
      <c r="M64">
        <v>33</v>
      </c>
      <c r="Q64" s="1" t="str">
        <f t="shared" si="11"/>
        <v/>
      </c>
      <c r="S64" t="str">
        <f t="shared" si="41"/>
        <v>Sand</v>
      </c>
      <c r="T64">
        <f t="shared" si="12"/>
        <v>1</v>
      </c>
      <c r="AA64">
        <v>80</v>
      </c>
      <c r="AB64" s="1">
        <f t="shared" si="13"/>
        <v>44</v>
      </c>
      <c r="AC64">
        <f t="shared" si="14"/>
        <v>16</v>
      </c>
      <c r="AD64" t="str">
        <f t="shared" si="15"/>
        <v/>
      </c>
      <c r="AE64" t="str">
        <f t="shared" si="16"/>
        <v/>
      </c>
      <c r="AG64" s="21" t="str">
        <f t="shared" si="17"/>
        <v/>
      </c>
      <c r="AI64" s="6" t="str">
        <f t="shared" si="18"/>
        <v/>
      </c>
      <c r="AM64" s="7" t="str">
        <f t="shared" si="19"/>
        <v/>
      </c>
      <c r="AQ64" s="8" t="str">
        <f t="shared" si="20"/>
        <v/>
      </c>
      <c r="AW64" s="25" t="str">
        <f t="shared" si="21"/>
        <v/>
      </c>
      <c r="AZ64" s="12" t="str">
        <f t="shared" si="22"/>
        <v/>
      </c>
      <c r="BI64" s="17" t="str">
        <f t="shared" si="23"/>
        <v/>
      </c>
      <c r="BM64" t="str">
        <f t="shared" si="24"/>
        <v>SPT Relationship</v>
      </c>
      <c r="BN64">
        <f t="shared" si="42"/>
        <v>132</v>
      </c>
      <c r="BO64" t="str">
        <f t="shared" si="25"/>
        <v>Wolff, 1989</v>
      </c>
      <c r="BP64">
        <f t="shared" si="43"/>
        <v>31</v>
      </c>
      <c r="BQ64" t="str">
        <f t="shared" si="26"/>
        <v/>
      </c>
      <c r="BR64" t="str">
        <f t="shared" si="27"/>
        <v/>
      </c>
      <c r="BS64" t="str">
        <f t="shared" si="28"/>
        <v/>
      </c>
      <c r="BT64" t="str">
        <f t="shared" si="44"/>
        <v/>
      </c>
      <c r="BU64" t="str">
        <f t="shared" si="29"/>
        <v/>
      </c>
      <c r="BV64" t="str">
        <f t="shared" si="30"/>
        <v/>
      </c>
      <c r="BW64" t="str">
        <f t="shared" si="31"/>
        <v/>
      </c>
      <c r="BX64" t="str">
        <f t="shared" si="32"/>
        <v/>
      </c>
      <c r="BY64" t="str">
        <f t="shared" si="33"/>
        <v/>
      </c>
      <c r="BZ64" t="str">
        <f t="shared" si="34"/>
        <v/>
      </c>
      <c r="CA64" t="str">
        <f t="shared" si="35"/>
        <v/>
      </c>
      <c r="CB64" t="str">
        <f t="shared" si="45"/>
        <v/>
      </c>
      <c r="CC64" t="str">
        <f t="shared" si="36"/>
        <v/>
      </c>
      <c r="CD64" t="str">
        <f t="shared" si="46"/>
        <v/>
      </c>
      <c r="CE64" t="str">
        <f t="shared" si="37"/>
        <v>Bowles 5th edition</v>
      </c>
      <c r="CF64">
        <f t="shared" si="47"/>
        <v>378</v>
      </c>
      <c r="CG64" t="str">
        <f t="shared" si="38"/>
        <v/>
      </c>
      <c r="CH64" t="str">
        <f t="shared" si="48"/>
        <v/>
      </c>
      <c r="CI64" t="str">
        <f t="shared" si="39"/>
        <v/>
      </c>
      <c r="CJ64" t="str">
        <f t="shared" si="40"/>
        <v/>
      </c>
    </row>
    <row r="65" spans="2:88" x14ac:dyDescent="0.3">
      <c r="B65" t="str">
        <f t="shared" si="8"/>
        <v>36.831747-76.119917</v>
      </c>
      <c r="C65" t="s">
        <v>9</v>
      </c>
      <c r="D65">
        <v>36.831747</v>
      </c>
      <c r="E65">
        <v>-76.119917000000001</v>
      </c>
      <c r="F65">
        <v>6</v>
      </c>
      <c r="G65" t="str">
        <f t="shared" si="9"/>
        <v>-132-13436.831747-76.119917</v>
      </c>
      <c r="H65">
        <f t="shared" si="10"/>
        <v>-132</v>
      </c>
      <c r="I65">
        <v>-134</v>
      </c>
      <c r="J65" t="s">
        <v>21</v>
      </c>
      <c r="L65" t="s">
        <v>16</v>
      </c>
      <c r="M65">
        <v>59</v>
      </c>
      <c r="Q65" s="1" t="str">
        <f t="shared" si="11"/>
        <v/>
      </c>
      <c r="S65" t="str">
        <f t="shared" si="41"/>
        <v>Sand</v>
      </c>
      <c r="T65">
        <f t="shared" si="12"/>
        <v>1</v>
      </c>
      <c r="AA65">
        <v>80</v>
      </c>
      <c r="AB65" s="1">
        <f t="shared" si="13"/>
        <v>79</v>
      </c>
      <c r="AC65">
        <f t="shared" si="14"/>
        <v>29</v>
      </c>
      <c r="AD65" t="str">
        <f t="shared" si="15"/>
        <v/>
      </c>
      <c r="AE65" t="str">
        <f t="shared" si="16"/>
        <v/>
      </c>
      <c r="AG65" s="21" t="str">
        <f t="shared" si="17"/>
        <v/>
      </c>
      <c r="AI65" s="6" t="str">
        <f t="shared" si="18"/>
        <v/>
      </c>
      <c r="AM65" s="7" t="str">
        <f t="shared" si="19"/>
        <v/>
      </c>
      <c r="AQ65" s="8" t="str">
        <f t="shared" si="20"/>
        <v/>
      </c>
      <c r="AW65" s="25" t="str">
        <f t="shared" si="21"/>
        <v/>
      </c>
      <c r="AZ65" s="12" t="str">
        <f t="shared" si="22"/>
        <v/>
      </c>
      <c r="BI65" s="17" t="str">
        <f t="shared" si="23"/>
        <v/>
      </c>
      <c r="BM65" t="str">
        <f t="shared" si="24"/>
        <v>SPT Relationship</v>
      </c>
      <c r="BN65">
        <f t="shared" si="42"/>
        <v>140</v>
      </c>
      <c r="BO65" t="str">
        <f t="shared" si="25"/>
        <v>Wolff, 1989</v>
      </c>
      <c r="BP65">
        <f t="shared" si="43"/>
        <v>35</v>
      </c>
      <c r="BQ65" t="str">
        <f t="shared" si="26"/>
        <v/>
      </c>
      <c r="BR65" t="str">
        <f t="shared" si="27"/>
        <v/>
      </c>
      <c r="BS65" t="str">
        <f t="shared" si="28"/>
        <v/>
      </c>
      <c r="BT65" t="str">
        <f t="shared" si="44"/>
        <v/>
      </c>
      <c r="BU65" t="str">
        <f t="shared" si="29"/>
        <v/>
      </c>
      <c r="BV65" t="str">
        <f t="shared" si="30"/>
        <v/>
      </c>
      <c r="BW65" t="str">
        <f t="shared" si="31"/>
        <v/>
      </c>
      <c r="BX65" t="str">
        <f t="shared" si="32"/>
        <v/>
      </c>
      <c r="BY65" t="str">
        <f t="shared" si="33"/>
        <v/>
      </c>
      <c r="BZ65" t="str">
        <f t="shared" si="34"/>
        <v/>
      </c>
      <c r="CA65" t="str">
        <f t="shared" si="35"/>
        <v/>
      </c>
      <c r="CB65" t="str">
        <f t="shared" si="45"/>
        <v/>
      </c>
      <c r="CC65" t="str">
        <f t="shared" si="36"/>
        <v/>
      </c>
      <c r="CD65" t="str">
        <f t="shared" si="46"/>
        <v/>
      </c>
      <c r="CE65" t="str">
        <f t="shared" si="37"/>
        <v>Bowles 5th edition</v>
      </c>
      <c r="CF65">
        <f t="shared" si="47"/>
        <v>602</v>
      </c>
      <c r="CG65" t="str">
        <f t="shared" si="38"/>
        <v/>
      </c>
      <c r="CH65" t="str">
        <f t="shared" si="48"/>
        <v/>
      </c>
      <c r="CI65" t="str">
        <f t="shared" si="39"/>
        <v/>
      </c>
      <c r="CJ65" t="str">
        <f t="shared" si="40"/>
        <v/>
      </c>
    </row>
    <row r="66" spans="2:88" x14ac:dyDescent="0.3">
      <c r="B66" t="str">
        <f t="shared" si="8"/>
        <v>36.831747-76.119917</v>
      </c>
      <c r="C66" t="s">
        <v>9</v>
      </c>
      <c r="D66">
        <v>36.831747</v>
      </c>
      <c r="E66">
        <v>-76.119917000000001</v>
      </c>
      <c r="F66">
        <v>6</v>
      </c>
      <c r="G66" t="str">
        <f t="shared" si="9"/>
        <v>-137-13936.831747-76.119917</v>
      </c>
      <c r="H66">
        <f t="shared" si="10"/>
        <v>-137</v>
      </c>
      <c r="I66">
        <v>-139</v>
      </c>
      <c r="J66" t="s">
        <v>21</v>
      </c>
      <c r="L66" t="s">
        <v>16</v>
      </c>
      <c r="M66">
        <v>26</v>
      </c>
      <c r="Q66" s="1" t="str">
        <f t="shared" si="11"/>
        <v/>
      </c>
      <c r="S66" t="str">
        <f t="shared" ref="S66:S97" si="49">IF(OR(L66="CL",L66="CH",L66="CL_ML"),"Clay",IF(OR(L66="SM",L66="SC",L66="SP",L66="SP-SM",L66="SP-SC",L66="SC-SM",L66="SW",L66="SW-SM"),"Sand",IF(OR(L66="GP", L66="GM",L66="GC", L66="GP-GM",L66="GW"),"Gravel",IF(OR(L66="ML",L66="MH"),"Silt",IF(OR(L66="OL",L66="OH",L66="PT"),"Organic")))))</f>
        <v>Sand</v>
      </c>
      <c r="T66">
        <f t="shared" si="12"/>
        <v>1</v>
      </c>
      <c r="AA66">
        <v>80</v>
      </c>
      <c r="AB66" s="1">
        <f t="shared" si="13"/>
        <v>35</v>
      </c>
      <c r="AC66">
        <f t="shared" si="14"/>
        <v>12</v>
      </c>
      <c r="AD66" t="str">
        <f t="shared" si="15"/>
        <v/>
      </c>
      <c r="AE66" t="str">
        <f t="shared" si="16"/>
        <v/>
      </c>
      <c r="AG66" s="21" t="str">
        <f t="shared" si="17"/>
        <v/>
      </c>
      <c r="AI66" s="6" t="str">
        <f t="shared" si="18"/>
        <v/>
      </c>
      <c r="AM66" s="7" t="str">
        <f t="shared" si="19"/>
        <v/>
      </c>
      <c r="AQ66" s="8" t="str">
        <f t="shared" si="20"/>
        <v/>
      </c>
      <c r="AW66" s="25" t="str">
        <f t="shared" si="21"/>
        <v/>
      </c>
      <c r="AZ66" s="12" t="str">
        <f t="shared" si="22"/>
        <v/>
      </c>
      <c r="BI66" s="17" t="str">
        <f t="shared" si="23"/>
        <v/>
      </c>
      <c r="BM66" t="str">
        <f t="shared" si="24"/>
        <v>SPT Relationship</v>
      </c>
      <c r="BN66">
        <f t="shared" ref="BN66:BN97" si="50">IFERROR(IF(M66=0,95,ROUND(95*M66^0.095,0)),"")</f>
        <v>129</v>
      </c>
      <c r="BO66" t="str">
        <f t="shared" si="25"/>
        <v>Wolff, 1989</v>
      </c>
      <c r="BP66">
        <f t="shared" ref="BP66:BP97" si="51">ROUNDDOWN(27.1+0.3*AC66-0.00054*AC66^2,0)</f>
        <v>30</v>
      </c>
      <c r="BQ66" t="str">
        <f t="shared" si="26"/>
        <v/>
      </c>
      <c r="BR66" t="str">
        <f t="shared" si="27"/>
        <v/>
      </c>
      <c r="BS66" t="str">
        <f t="shared" si="28"/>
        <v/>
      </c>
      <c r="BT66" t="str">
        <f t="shared" ref="BT66:BT97" si="52">IF(S66="Clay",ROUND((3.5*AB66)*20.885434273039,0),"")</f>
        <v/>
      </c>
      <c r="BU66" t="str">
        <f t="shared" si="29"/>
        <v/>
      </c>
      <c r="BV66" t="str">
        <f t="shared" si="30"/>
        <v/>
      </c>
      <c r="BW66" t="str">
        <f t="shared" si="31"/>
        <v/>
      </c>
      <c r="BX66" t="str">
        <f t="shared" si="32"/>
        <v/>
      </c>
      <c r="BY66" t="str">
        <f t="shared" si="33"/>
        <v/>
      </c>
      <c r="BZ66" t="str">
        <f t="shared" si="34"/>
        <v/>
      </c>
      <c r="CA66" t="str">
        <f t="shared" si="35"/>
        <v/>
      </c>
      <c r="CB66" t="str">
        <f t="shared" ref="CB66:CB97" si="53">IF(P66="","",-0.0000000002*P66^5+0.00000009*P66^4-0.00002*P66^3+0.0019*P66^2-0.0999*P66+2.2178)</f>
        <v/>
      </c>
      <c r="CC66" t="str">
        <f t="shared" si="36"/>
        <v/>
      </c>
      <c r="CD66" t="str">
        <f t="shared" ref="CD66:CD97" si="54">IF(AD66="","",(10^(1.11-1.62*AD66)*100)*20.885434273039)</f>
        <v/>
      </c>
      <c r="CE66" t="str">
        <f t="shared" si="37"/>
        <v>Bowles 5th edition</v>
      </c>
      <c r="CF66">
        <f t="shared" ref="CF66:CF97" si="55">IF(S66="Clay","",IF(AB66="","",ROUND((AB66+15)*6.4,0)))</f>
        <v>320</v>
      </c>
      <c r="CG66" t="str">
        <f t="shared" si="38"/>
        <v/>
      </c>
      <c r="CH66" t="str">
        <f t="shared" ref="CH66:CH97" si="56">IF(N66="","",ROUND(N66/100*2.67,2))</f>
        <v/>
      </c>
      <c r="CI66" t="str">
        <f t="shared" si="39"/>
        <v/>
      </c>
      <c r="CJ66" t="str">
        <f t="shared" si="40"/>
        <v/>
      </c>
    </row>
    <row r="67" spans="2:88" x14ac:dyDescent="0.3">
      <c r="B67" t="str">
        <f t="shared" ref="B67:B136" si="57">""&amp;D67&amp;""&amp;E67</f>
        <v>36.831747-76.119917</v>
      </c>
      <c r="C67" t="s">
        <v>9</v>
      </c>
      <c r="D67">
        <v>36.831747</v>
      </c>
      <c r="E67">
        <v>-76.119917000000001</v>
      </c>
      <c r="F67">
        <v>6</v>
      </c>
      <c r="G67" t="str">
        <f t="shared" ref="G67:G136" si="58">""&amp;H67&amp;""&amp;I67&amp;""&amp;D67&amp;""&amp;E67</f>
        <v>-142-14436.831747-76.119917</v>
      </c>
      <c r="H67">
        <f t="shared" ref="H67:H136" si="59">I67+2</f>
        <v>-142</v>
      </c>
      <c r="I67">
        <v>-144</v>
      </c>
      <c r="J67" t="s">
        <v>21</v>
      </c>
      <c r="L67" t="s">
        <v>8</v>
      </c>
      <c r="M67">
        <v>40</v>
      </c>
      <c r="Q67" s="1" t="str">
        <f t="shared" ref="Q67:Q136" si="60">IF(OR(O67="",P67=""),"",P67-O67)</f>
        <v/>
      </c>
      <c r="S67" t="str">
        <f t="shared" si="49"/>
        <v>Sand</v>
      </c>
      <c r="T67">
        <f t="shared" ref="T67:T136" si="61">IF(OR(Q67&lt;&gt;"",R67&lt;&gt;""),2,1)</f>
        <v>1</v>
      </c>
      <c r="AA67">
        <v>80</v>
      </c>
      <c r="AB67" s="1">
        <f t="shared" ref="AB67:AB136" si="62">ROUND(M67*AA67/60,0)</f>
        <v>53</v>
      </c>
      <c r="AC67">
        <f t="shared" ref="AC67:AC136" si="63">ROUNDDOWN(((1/((((F67-I67)*110)*0.047880258888889)/100))^(0.5))*AB67,0)</f>
        <v>18</v>
      </c>
      <c r="AD67" t="str">
        <f t="shared" ref="AD67:AD136" si="64">IF(OR(N67="",O67=""),"",(N67-O67)/(P67-O67))</f>
        <v/>
      </c>
      <c r="AE67" t="str">
        <f t="shared" ref="AE67:AE130" si="65">IF(AF67="","","Tested")</f>
        <v/>
      </c>
      <c r="AG67" s="21" t="str">
        <f t="shared" ref="AG67:AG130" si="66">IF(AH67="","","Pocket Pentrometer")</f>
        <v/>
      </c>
      <c r="AI67" s="6" t="str">
        <f t="shared" ref="AI67:AI130" si="67">IF(AJ67="","","Unconfined Compression")</f>
        <v/>
      </c>
      <c r="AM67" s="7" t="str">
        <f t="shared" ref="AM67:AM130" si="68">IF(AN67="","","Undrained Unconsolidated Triaxial")</f>
        <v/>
      </c>
      <c r="AQ67" s="8" t="str">
        <f t="shared" ref="AQ67:AQ130" si="69">IF(AR67="","","Consolidated Undrained Triaxial")</f>
        <v/>
      </c>
      <c r="AW67" s="25" t="str">
        <f t="shared" ref="AW67:AW130" si="70">IF(AX67="","","Direct Shear")</f>
        <v/>
      </c>
      <c r="AZ67" s="12" t="str">
        <f t="shared" ref="AZ67:AZ130" si="71">IF(BA67="","","Consolidation Test")</f>
        <v/>
      </c>
      <c r="BI67" s="17" t="str">
        <f t="shared" ref="BI67:BI130" si="72">IF(BJ67="","","Permeability Test")</f>
        <v/>
      </c>
      <c r="BM67" t="str">
        <f t="shared" ref="BM67:BM130" si="73">IF(BN67="","","SPT Relationship")</f>
        <v>SPT Relationship</v>
      </c>
      <c r="BN67">
        <f t="shared" si="50"/>
        <v>135</v>
      </c>
      <c r="BO67" t="str">
        <f t="shared" ref="BO67:BO130" si="74">IF(BP67="","","Wolff, 1989")</f>
        <v>Wolff, 1989</v>
      </c>
      <c r="BP67">
        <f t="shared" si="51"/>
        <v>32</v>
      </c>
      <c r="BQ67" t="str">
        <f t="shared" ref="BQ67:BQ130" si="75">IF(BR67="","","GTENG-2476")</f>
        <v/>
      </c>
      <c r="BR67" t="str">
        <f t="shared" ref="BR67:BR136" si="76">IF(P67="","",ROUNDDOWN(28-0.1533*P67+0.000564*P67^2-0.0000008414*P67^3,0))</f>
        <v/>
      </c>
      <c r="BS67" t="str">
        <f t="shared" ref="BS67:BS130" si="77">IF(BT67="","", "Stroud 1974 (K=3.5)")</f>
        <v/>
      </c>
      <c r="BT67" t="str">
        <f t="shared" si="52"/>
        <v/>
      </c>
      <c r="BU67" t="str">
        <f t="shared" ref="BU67:BU130" si="78">IF(BV67="","","Kulhawy and Mayne 1990")</f>
        <v/>
      </c>
      <c r="BV67" t="str">
        <f t="shared" ref="BV67:BV136" si="79">IF(Q67="","",ROUND(Q67/74,3))</f>
        <v/>
      </c>
      <c r="BW67" t="str">
        <f t="shared" ref="BW67:BW130" si="80">IF(BX67="","","Kulhawy and Mayne 1990")</f>
        <v/>
      </c>
      <c r="BX67" t="str">
        <f t="shared" ref="BX67:BX136" si="81">IF(Q67="","",ROUND(Q67/370,3))</f>
        <v/>
      </c>
      <c r="BY67" t="str">
        <f t="shared" ref="BY67:BY130" si="82">IF(BZ67="","","Mesri 1990")</f>
        <v/>
      </c>
      <c r="BZ67" t="str">
        <f t="shared" ref="BZ67:BZ136" si="83">IF(BV67="","",ROUND(0.03*BV67,4))</f>
        <v/>
      </c>
      <c r="CA67" t="str">
        <f t="shared" ref="CA67:CA130" si="84">IF(CB67="","","NAVFAC Vol. 7.1 Figure 4")</f>
        <v/>
      </c>
      <c r="CB67" t="str">
        <f t="shared" si="53"/>
        <v/>
      </c>
      <c r="CC67" t="str">
        <f t="shared" ref="CC67:CC130" si="85">IF(CD67="","","Stas and Kulhawy 1984")</f>
        <v/>
      </c>
      <c r="CD67" t="str">
        <f t="shared" si="54"/>
        <v/>
      </c>
      <c r="CE67" t="str">
        <f t="shared" ref="CE67:CE130" si="86">IF(CF67="","","Bowles 5th edition")</f>
        <v>Bowles 5th edition</v>
      </c>
      <c r="CF67">
        <f t="shared" si="55"/>
        <v>435</v>
      </c>
      <c r="CG67" t="str">
        <f t="shared" ref="CG67:CG130" si="87">IF(CH67="","","Relationship (Gs=2.67)")</f>
        <v/>
      </c>
      <c r="CH67" t="str">
        <f t="shared" si="56"/>
        <v/>
      </c>
      <c r="CI67" t="str">
        <f t="shared" ref="CI67:CI130" si="88">IF(CJ67="","","Hazen, 1911 (c=1.5)")</f>
        <v/>
      </c>
      <c r="CJ67" t="str">
        <f t="shared" ref="CJ67:CJ136" si="89">IF(OR(S67="Clay",X67=""),"",1.5*X67^2)</f>
        <v/>
      </c>
    </row>
    <row r="68" spans="2:88" x14ac:dyDescent="0.3">
      <c r="B68" t="str">
        <f t="shared" si="57"/>
        <v>36.831347-76.119652</v>
      </c>
      <c r="C68" t="s">
        <v>12</v>
      </c>
      <c r="D68">
        <v>36.831347000000001</v>
      </c>
      <c r="E68">
        <v>-76.119652000000002</v>
      </c>
      <c r="F68">
        <v>5</v>
      </c>
      <c r="G68" t="str">
        <f t="shared" si="58"/>
        <v>5336.831347-76.119652</v>
      </c>
      <c r="H68">
        <f t="shared" si="59"/>
        <v>5</v>
      </c>
      <c r="I68">
        <v>3</v>
      </c>
      <c r="J68" t="s">
        <v>21</v>
      </c>
      <c r="L68" t="s">
        <v>11</v>
      </c>
      <c r="M68">
        <v>8</v>
      </c>
      <c r="Q68" s="1" t="str">
        <f t="shared" si="60"/>
        <v/>
      </c>
      <c r="S68" t="str">
        <f t="shared" si="49"/>
        <v>Clay</v>
      </c>
      <c r="T68">
        <f t="shared" si="61"/>
        <v>1</v>
      </c>
      <c r="AA68">
        <v>80</v>
      </c>
      <c r="AB68" s="1">
        <f t="shared" si="62"/>
        <v>11</v>
      </c>
      <c r="AC68">
        <f t="shared" si="63"/>
        <v>33</v>
      </c>
      <c r="AD68" t="str">
        <f t="shared" si="64"/>
        <v/>
      </c>
      <c r="AE68" t="str">
        <f t="shared" si="65"/>
        <v/>
      </c>
      <c r="AG68" s="21" t="str">
        <f t="shared" si="66"/>
        <v/>
      </c>
      <c r="AI68" s="6" t="str">
        <f t="shared" si="67"/>
        <v/>
      </c>
      <c r="AM68" s="7" t="str">
        <f t="shared" si="68"/>
        <v/>
      </c>
      <c r="AQ68" s="8" t="str">
        <f t="shared" si="69"/>
        <v/>
      </c>
      <c r="AW68" s="25" t="str">
        <f t="shared" si="70"/>
        <v/>
      </c>
      <c r="AZ68" s="12" t="str">
        <f t="shared" si="71"/>
        <v/>
      </c>
      <c r="BI68" s="17" t="str">
        <f t="shared" si="72"/>
        <v/>
      </c>
      <c r="BM68" t="str">
        <f t="shared" si="73"/>
        <v>SPT Relationship</v>
      </c>
      <c r="BN68">
        <f t="shared" si="50"/>
        <v>116</v>
      </c>
      <c r="BO68" t="str">
        <f t="shared" si="74"/>
        <v>Wolff, 1989</v>
      </c>
      <c r="BP68">
        <f t="shared" si="51"/>
        <v>36</v>
      </c>
      <c r="BQ68" t="str">
        <f t="shared" si="75"/>
        <v/>
      </c>
      <c r="BR68" t="str">
        <f t="shared" si="76"/>
        <v/>
      </c>
      <c r="BS68" t="str">
        <f t="shared" si="77"/>
        <v>Stroud 1974 (K=3.5)</v>
      </c>
      <c r="BT68">
        <f t="shared" si="52"/>
        <v>804</v>
      </c>
      <c r="BU68" t="str">
        <f t="shared" si="78"/>
        <v/>
      </c>
      <c r="BV68" t="str">
        <f t="shared" si="79"/>
        <v/>
      </c>
      <c r="BW68" t="str">
        <f t="shared" si="80"/>
        <v/>
      </c>
      <c r="BX68" t="str">
        <f t="shared" si="81"/>
        <v/>
      </c>
      <c r="BY68" t="str">
        <f t="shared" si="82"/>
        <v/>
      </c>
      <c r="BZ68" t="str">
        <f t="shared" si="83"/>
        <v/>
      </c>
      <c r="CA68" t="str">
        <f t="shared" si="84"/>
        <v/>
      </c>
      <c r="CB68" t="str">
        <f t="shared" si="53"/>
        <v/>
      </c>
      <c r="CC68" t="str">
        <f t="shared" si="85"/>
        <v/>
      </c>
      <c r="CD68" t="str">
        <f t="shared" si="54"/>
        <v/>
      </c>
      <c r="CE68" t="str">
        <f t="shared" si="86"/>
        <v/>
      </c>
      <c r="CF68" t="str">
        <f t="shared" si="55"/>
        <v/>
      </c>
      <c r="CG68" t="str">
        <f t="shared" si="87"/>
        <v/>
      </c>
      <c r="CH68" t="str">
        <f t="shared" si="56"/>
        <v/>
      </c>
      <c r="CI68" t="str">
        <f t="shared" si="88"/>
        <v/>
      </c>
      <c r="CJ68" t="str">
        <f t="shared" si="89"/>
        <v/>
      </c>
    </row>
    <row r="69" spans="2:88" x14ac:dyDescent="0.3">
      <c r="B69" t="str">
        <f t="shared" si="57"/>
        <v>36.831347-76.119652</v>
      </c>
      <c r="C69" t="s">
        <v>12</v>
      </c>
      <c r="D69">
        <v>36.831347000000001</v>
      </c>
      <c r="E69">
        <v>-76.119652000000002</v>
      </c>
      <c r="F69">
        <v>5</v>
      </c>
      <c r="G69" t="str">
        <f t="shared" si="58"/>
        <v>3136.831347-76.119652</v>
      </c>
      <c r="H69">
        <f t="shared" si="59"/>
        <v>3</v>
      </c>
      <c r="I69">
        <v>1</v>
      </c>
      <c r="J69" t="s">
        <v>21</v>
      </c>
      <c r="L69" t="s">
        <v>11</v>
      </c>
      <c r="M69">
        <v>12</v>
      </c>
      <c r="Q69" s="1" t="str">
        <f t="shared" si="60"/>
        <v/>
      </c>
      <c r="S69" t="str">
        <f t="shared" si="49"/>
        <v>Clay</v>
      </c>
      <c r="T69">
        <f t="shared" si="61"/>
        <v>1</v>
      </c>
      <c r="AA69">
        <v>80</v>
      </c>
      <c r="AB69" s="1">
        <f t="shared" si="62"/>
        <v>16</v>
      </c>
      <c r="AC69">
        <f t="shared" si="63"/>
        <v>34</v>
      </c>
      <c r="AD69" t="str">
        <f t="shared" si="64"/>
        <v/>
      </c>
      <c r="AE69" t="str">
        <f t="shared" si="65"/>
        <v/>
      </c>
      <c r="AG69" s="21" t="str">
        <f t="shared" si="66"/>
        <v/>
      </c>
      <c r="AI69" s="6" t="str">
        <f t="shared" si="67"/>
        <v/>
      </c>
      <c r="AM69" s="7" t="str">
        <f t="shared" si="68"/>
        <v/>
      </c>
      <c r="AQ69" s="8" t="str">
        <f t="shared" si="69"/>
        <v/>
      </c>
      <c r="AW69" s="25" t="str">
        <f t="shared" si="70"/>
        <v/>
      </c>
      <c r="AZ69" s="12" t="str">
        <f t="shared" si="71"/>
        <v/>
      </c>
      <c r="BI69" s="17" t="str">
        <f t="shared" si="72"/>
        <v/>
      </c>
      <c r="BM69" t="str">
        <f t="shared" si="73"/>
        <v>SPT Relationship</v>
      </c>
      <c r="BN69">
        <f t="shared" si="50"/>
        <v>120</v>
      </c>
      <c r="BO69" t="str">
        <f t="shared" si="74"/>
        <v>Wolff, 1989</v>
      </c>
      <c r="BP69">
        <f t="shared" si="51"/>
        <v>36</v>
      </c>
      <c r="BQ69" t="str">
        <f t="shared" si="75"/>
        <v/>
      </c>
      <c r="BR69" t="str">
        <f t="shared" si="76"/>
        <v/>
      </c>
      <c r="BS69" t="str">
        <f t="shared" si="77"/>
        <v>Stroud 1974 (K=3.5)</v>
      </c>
      <c r="BT69">
        <f t="shared" si="52"/>
        <v>1170</v>
      </c>
      <c r="BU69" t="str">
        <f t="shared" si="78"/>
        <v/>
      </c>
      <c r="BV69" t="str">
        <f t="shared" si="79"/>
        <v/>
      </c>
      <c r="BW69" t="str">
        <f t="shared" si="80"/>
        <v/>
      </c>
      <c r="BX69" t="str">
        <f t="shared" si="81"/>
        <v/>
      </c>
      <c r="BY69" t="str">
        <f t="shared" si="82"/>
        <v/>
      </c>
      <c r="BZ69" t="str">
        <f t="shared" si="83"/>
        <v/>
      </c>
      <c r="CA69" t="str">
        <f t="shared" si="84"/>
        <v/>
      </c>
      <c r="CB69" t="str">
        <f t="shared" si="53"/>
        <v/>
      </c>
      <c r="CC69" t="str">
        <f t="shared" si="85"/>
        <v/>
      </c>
      <c r="CD69" t="str">
        <f t="shared" si="54"/>
        <v/>
      </c>
      <c r="CE69" t="str">
        <f t="shared" si="86"/>
        <v/>
      </c>
      <c r="CF69" t="str">
        <f t="shared" si="55"/>
        <v/>
      </c>
      <c r="CG69" t="str">
        <f t="shared" si="87"/>
        <v/>
      </c>
      <c r="CH69" t="str">
        <f t="shared" si="56"/>
        <v/>
      </c>
      <c r="CI69" t="str">
        <f t="shared" si="88"/>
        <v/>
      </c>
      <c r="CJ69" t="str">
        <f t="shared" si="89"/>
        <v/>
      </c>
    </row>
    <row r="70" spans="2:88" x14ac:dyDescent="0.3">
      <c r="B70" t="str">
        <f t="shared" si="57"/>
        <v>36.831347-76.119652</v>
      </c>
      <c r="C70" t="s">
        <v>12</v>
      </c>
      <c r="D70">
        <v>36.831347000000001</v>
      </c>
      <c r="E70">
        <v>-76.119652000000002</v>
      </c>
      <c r="F70">
        <v>5</v>
      </c>
      <c r="G70" t="str">
        <f t="shared" si="58"/>
        <v>1-136.831347-76.119652</v>
      </c>
      <c r="H70">
        <f t="shared" si="59"/>
        <v>1</v>
      </c>
      <c r="I70">
        <v>-1</v>
      </c>
      <c r="J70" t="s">
        <v>21</v>
      </c>
      <c r="L70" t="s">
        <v>8</v>
      </c>
      <c r="M70">
        <v>14</v>
      </c>
      <c r="Q70" s="1" t="str">
        <f t="shared" si="60"/>
        <v/>
      </c>
      <c r="S70" t="str">
        <f t="shared" si="49"/>
        <v>Sand</v>
      </c>
      <c r="T70">
        <f t="shared" si="61"/>
        <v>1</v>
      </c>
      <c r="AA70">
        <v>80</v>
      </c>
      <c r="AB70" s="1">
        <f t="shared" si="62"/>
        <v>19</v>
      </c>
      <c r="AC70">
        <f t="shared" si="63"/>
        <v>33</v>
      </c>
      <c r="AD70" t="str">
        <f t="shared" si="64"/>
        <v/>
      </c>
      <c r="AE70" t="str">
        <f t="shared" si="65"/>
        <v/>
      </c>
      <c r="AG70" s="21" t="str">
        <f t="shared" si="66"/>
        <v/>
      </c>
      <c r="AI70" s="6" t="str">
        <f t="shared" si="67"/>
        <v/>
      </c>
      <c r="AM70" s="7" t="str">
        <f t="shared" si="68"/>
        <v/>
      </c>
      <c r="AQ70" s="8" t="str">
        <f t="shared" si="69"/>
        <v/>
      </c>
      <c r="AW70" s="25" t="str">
        <f t="shared" si="70"/>
        <v/>
      </c>
      <c r="AZ70" s="12" t="str">
        <f t="shared" si="71"/>
        <v/>
      </c>
      <c r="BI70" s="17" t="str">
        <f t="shared" si="72"/>
        <v/>
      </c>
      <c r="BM70" t="str">
        <f t="shared" si="73"/>
        <v>SPT Relationship</v>
      </c>
      <c r="BN70">
        <f t="shared" si="50"/>
        <v>122</v>
      </c>
      <c r="BO70" t="str">
        <f t="shared" si="74"/>
        <v>Wolff, 1989</v>
      </c>
      <c r="BP70">
        <f t="shared" si="51"/>
        <v>36</v>
      </c>
      <c r="BQ70" t="str">
        <f t="shared" si="75"/>
        <v/>
      </c>
      <c r="BR70" t="str">
        <f t="shared" si="76"/>
        <v/>
      </c>
      <c r="BS70" t="str">
        <f t="shared" si="77"/>
        <v/>
      </c>
      <c r="BT70" t="str">
        <f t="shared" si="52"/>
        <v/>
      </c>
      <c r="BU70" t="str">
        <f t="shared" si="78"/>
        <v/>
      </c>
      <c r="BV70" t="str">
        <f t="shared" si="79"/>
        <v/>
      </c>
      <c r="BW70" t="str">
        <f t="shared" si="80"/>
        <v/>
      </c>
      <c r="BX70" t="str">
        <f t="shared" si="81"/>
        <v/>
      </c>
      <c r="BY70" t="str">
        <f t="shared" si="82"/>
        <v/>
      </c>
      <c r="BZ70" t="str">
        <f t="shared" si="83"/>
        <v/>
      </c>
      <c r="CA70" t="str">
        <f t="shared" si="84"/>
        <v/>
      </c>
      <c r="CB70" t="str">
        <f t="shared" si="53"/>
        <v/>
      </c>
      <c r="CC70" t="str">
        <f t="shared" si="85"/>
        <v/>
      </c>
      <c r="CD70" t="str">
        <f t="shared" si="54"/>
        <v/>
      </c>
      <c r="CE70" t="str">
        <f t="shared" si="86"/>
        <v>Bowles 5th edition</v>
      </c>
      <c r="CF70">
        <f t="shared" si="55"/>
        <v>218</v>
      </c>
      <c r="CG70" t="str">
        <f t="shared" si="87"/>
        <v/>
      </c>
      <c r="CH70" t="str">
        <f t="shared" si="56"/>
        <v/>
      </c>
      <c r="CI70" t="str">
        <f t="shared" si="88"/>
        <v/>
      </c>
      <c r="CJ70" t="str">
        <f t="shared" si="89"/>
        <v/>
      </c>
    </row>
    <row r="71" spans="2:88" x14ac:dyDescent="0.3">
      <c r="B71" t="str">
        <f t="shared" si="57"/>
        <v>36.831347-76.119652</v>
      </c>
      <c r="C71" t="s">
        <v>12</v>
      </c>
      <c r="D71">
        <v>36.831347000000001</v>
      </c>
      <c r="E71">
        <v>-76.119652000000002</v>
      </c>
      <c r="F71">
        <v>5</v>
      </c>
      <c r="G71" t="str">
        <f t="shared" si="58"/>
        <v>-1-336.831347-76.119652</v>
      </c>
      <c r="H71">
        <f t="shared" si="59"/>
        <v>-1</v>
      </c>
      <c r="I71">
        <v>-3</v>
      </c>
      <c r="J71" t="s">
        <v>21</v>
      </c>
      <c r="L71" t="s">
        <v>17</v>
      </c>
      <c r="M71">
        <v>13</v>
      </c>
      <c r="Q71" s="1" t="str">
        <f t="shared" si="60"/>
        <v/>
      </c>
      <c r="S71" t="str">
        <f t="shared" si="49"/>
        <v>Sand</v>
      </c>
      <c r="T71">
        <f t="shared" si="61"/>
        <v>1</v>
      </c>
      <c r="AA71">
        <v>80</v>
      </c>
      <c r="AB71" s="1">
        <f t="shared" si="62"/>
        <v>17</v>
      </c>
      <c r="AC71">
        <f t="shared" si="63"/>
        <v>26</v>
      </c>
      <c r="AD71" t="str">
        <f t="shared" si="64"/>
        <v/>
      </c>
      <c r="AE71" t="str">
        <f t="shared" si="65"/>
        <v/>
      </c>
      <c r="AG71" s="21" t="str">
        <f t="shared" si="66"/>
        <v/>
      </c>
      <c r="AI71" s="6" t="str">
        <f t="shared" si="67"/>
        <v/>
      </c>
      <c r="AM71" s="7" t="str">
        <f t="shared" si="68"/>
        <v/>
      </c>
      <c r="AQ71" s="8" t="str">
        <f t="shared" si="69"/>
        <v/>
      </c>
      <c r="AW71" s="25" t="str">
        <f t="shared" si="70"/>
        <v/>
      </c>
      <c r="AZ71" s="12" t="str">
        <f t="shared" si="71"/>
        <v/>
      </c>
      <c r="BI71" s="17" t="str">
        <f t="shared" si="72"/>
        <v/>
      </c>
      <c r="BM71" t="str">
        <f t="shared" si="73"/>
        <v>SPT Relationship</v>
      </c>
      <c r="BN71">
        <f t="shared" si="50"/>
        <v>121</v>
      </c>
      <c r="BO71" t="str">
        <f t="shared" si="74"/>
        <v>Wolff, 1989</v>
      </c>
      <c r="BP71">
        <f t="shared" si="51"/>
        <v>34</v>
      </c>
      <c r="BQ71" t="str">
        <f t="shared" si="75"/>
        <v/>
      </c>
      <c r="BR71" t="str">
        <f t="shared" si="76"/>
        <v/>
      </c>
      <c r="BS71" t="str">
        <f t="shared" si="77"/>
        <v/>
      </c>
      <c r="BT71" t="str">
        <f t="shared" si="52"/>
        <v/>
      </c>
      <c r="BU71" t="str">
        <f t="shared" si="78"/>
        <v/>
      </c>
      <c r="BV71" t="str">
        <f t="shared" si="79"/>
        <v/>
      </c>
      <c r="BW71" t="str">
        <f t="shared" si="80"/>
        <v/>
      </c>
      <c r="BX71" t="str">
        <f t="shared" si="81"/>
        <v/>
      </c>
      <c r="BY71" t="str">
        <f t="shared" si="82"/>
        <v/>
      </c>
      <c r="BZ71" t="str">
        <f t="shared" si="83"/>
        <v/>
      </c>
      <c r="CA71" t="str">
        <f t="shared" si="84"/>
        <v/>
      </c>
      <c r="CB71" t="str">
        <f t="shared" si="53"/>
        <v/>
      </c>
      <c r="CC71" t="str">
        <f t="shared" si="85"/>
        <v/>
      </c>
      <c r="CD71" t="str">
        <f t="shared" si="54"/>
        <v/>
      </c>
      <c r="CE71" t="str">
        <f t="shared" si="86"/>
        <v>Bowles 5th edition</v>
      </c>
      <c r="CF71">
        <f t="shared" si="55"/>
        <v>205</v>
      </c>
      <c r="CG71" t="str">
        <f t="shared" si="87"/>
        <v/>
      </c>
      <c r="CH71" t="str">
        <f t="shared" si="56"/>
        <v/>
      </c>
      <c r="CI71" t="str">
        <f t="shared" si="88"/>
        <v/>
      </c>
      <c r="CJ71" t="str">
        <f t="shared" si="89"/>
        <v/>
      </c>
    </row>
    <row r="72" spans="2:88" x14ac:dyDescent="0.3">
      <c r="B72" t="str">
        <f t="shared" si="57"/>
        <v>36.831347-76.119652</v>
      </c>
      <c r="C72" t="s">
        <v>12</v>
      </c>
      <c r="D72">
        <v>36.831347000000001</v>
      </c>
      <c r="E72">
        <v>-76.119652000000002</v>
      </c>
      <c r="F72">
        <v>5</v>
      </c>
      <c r="G72" t="str">
        <f t="shared" si="58"/>
        <v>-3-536.831347-76.119652</v>
      </c>
      <c r="H72">
        <f t="shared" si="59"/>
        <v>-3</v>
      </c>
      <c r="I72">
        <v>-5</v>
      </c>
      <c r="J72" t="s">
        <v>21</v>
      </c>
      <c r="L72" t="s">
        <v>8</v>
      </c>
      <c r="M72">
        <v>3</v>
      </c>
      <c r="Q72" s="1" t="str">
        <f t="shared" si="60"/>
        <v/>
      </c>
      <c r="S72" t="str">
        <f t="shared" si="49"/>
        <v>Sand</v>
      </c>
      <c r="T72">
        <f t="shared" si="61"/>
        <v>1</v>
      </c>
      <c r="AA72">
        <v>80</v>
      </c>
      <c r="AB72" s="1">
        <f t="shared" si="62"/>
        <v>4</v>
      </c>
      <c r="AC72">
        <f t="shared" si="63"/>
        <v>5</v>
      </c>
      <c r="AD72" t="str">
        <f t="shared" si="64"/>
        <v/>
      </c>
      <c r="AE72" t="str">
        <f t="shared" si="65"/>
        <v/>
      </c>
      <c r="AG72" s="21" t="str">
        <f t="shared" si="66"/>
        <v/>
      </c>
      <c r="AI72" s="6" t="str">
        <f t="shared" si="67"/>
        <v/>
      </c>
      <c r="AM72" s="7" t="str">
        <f t="shared" si="68"/>
        <v/>
      </c>
      <c r="AQ72" s="8" t="str">
        <f t="shared" si="69"/>
        <v/>
      </c>
      <c r="AW72" s="25" t="str">
        <f t="shared" si="70"/>
        <v/>
      </c>
      <c r="AZ72" s="12" t="str">
        <f t="shared" si="71"/>
        <v/>
      </c>
      <c r="BI72" s="17" t="str">
        <f t="shared" si="72"/>
        <v/>
      </c>
      <c r="BM72" t="str">
        <f t="shared" si="73"/>
        <v>SPT Relationship</v>
      </c>
      <c r="BN72">
        <f t="shared" si="50"/>
        <v>105</v>
      </c>
      <c r="BO72" t="str">
        <f t="shared" si="74"/>
        <v>Wolff, 1989</v>
      </c>
      <c r="BP72">
        <f t="shared" si="51"/>
        <v>28</v>
      </c>
      <c r="BQ72" t="str">
        <f t="shared" si="75"/>
        <v/>
      </c>
      <c r="BR72" t="str">
        <f t="shared" si="76"/>
        <v/>
      </c>
      <c r="BS72" t="str">
        <f t="shared" si="77"/>
        <v/>
      </c>
      <c r="BT72" t="str">
        <f t="shared" si="52"/>
        <v/>
      </c>
      <c r="BU72" t="str">
        <f t="shared" si="78"/>
        <v/>
      </c>
      <c r="BV72" t="str">
        <f t="shared" si="79"/>
        <v/>
      </c>
      <c r="BW72" t="str">
        <f t="shared" si="80"/>
        <v/>
      </c>
      <c r="BX72" t="str">
        <f t="shared" si="81"/>
        <v/>
      </c>
      <c r="BY72" t="str">
        <f t="shared" si="82"/>
        <v/>
      </c>
      <c r="BZ72" t="str">
        <f t="shared" si="83"/>
        <v/>
      </c>
      <c r="CA72" t="str">
        <f t="shared" si="84"/>
        <v/>
      </c>
      <c r="CB72" t="str">
        <f t="shared" si="53"/>
        <v/>
      </c>
      <c r="CC72" t="str">
        <f t="shared" si="85"/>
        <v/>
      </c>
      <c r="CD72" t="str">
        <f t="shared" si="54"/>
        <v/>
      </c>
      <c r="CE72" t="str">
        <f t="shared" si="86"/>
        <v>Bowles 5th edition</v>
      </c>
      <c r="CF72">
        <f t="shared" si="55"/>
        <v>122</v>
      </c>
      <c r="CG72" t="str">
        <f t="shared" si="87"/>
        <v/>
      </c>
      <c r="CH72" t="str">
        <f t="shared" si="56"/>
        <v/>
      </c>
      <c r="CI72" t="str">
        <f t="shared" si="88"/>
        <v/>
      </c>
      <c r="CJ72" t="str">
        <f t="shared" si="89"/>
        <v/>
      </c>
    </row>
    <row r="73" spans="2:88" x14ac:dyDescent="0.3">
      <c r="B73" t="str">
        <f t="shared" si="57"/>
        <v>36.831347-76.119652</v>
      </c>
      <c r="C73" t="s">
        <v>12</v>
      </c>
      <c r="D73">
        <v>36.831347000000001</v>
      </c>
      <c r="E73">
        <v>-76.119652000000002</v>
      </c>
      <c r="F73">
        <v>5</v>
      </c>
      <c r="G73" t="str">
        <f t="shared" si="58"/>
        <v>-8-1036.831347-76.119652</v>
      </c>
      <c r="H73">
        <f t="shared" si="59"/>
        <v>-8</v>
      </c>
      <c r="I73">
        <v>-10</v>
      </c>
      <c r="J73" t="s">
        <v>21</v>
      </c>
      <c r="L73" t="s">
        <v>10</v>
      </c>
      <c r="M73">
        <v>24</v>
      </c>
      <c r="Q73" s="1" t="str">
        <f t="shared" si="60"/>
        <v/>
      </c>
      <c r="S73" t="str">
        <f t="shared" si="49"/>
        <v>Sand</v>
      </c>
      <c r="T73">
        <f t="shared" si="61"/>
        <v>1</v>
      </c>
      <c r="AA73">
        <v>80</v>
      </c>
      <c r="AB73" s="1">
        <f t="shared" si="62"/>
        <v>32</v>
      </c>
      <c r="AC73">
        <f t="shared" si="63"/>
        <v>36</v>
      </c>
      <c r="AD73" t="str">
        <f t="shared" si="64"/>
        <v/>
      </c>
      <c r="AE73" t="str">
        <f t="shared" si="65"/>
        <v/>
      </c>
      <c r="AG73" s="21" t="str">
        <f t="shared" si="66"/>
        <v/>
      </c>
      <c r="AI73" s="6" t="str">
        <f t="shared" si="67"/>
        <v/>
      </c>
      <c r="AM73" s="7" t="str">
        <f t="shared" si="68"/>
        <v/>
      </c>
      <c r="AQ73" s="8" t="str">
        <f t="shared" si="69"/>
        <v/>
      </c>
      <c r="AW73" s="25" t="str">
        <f t="shared" si="70"/>
        <v/>
      </c>
      <c r="AZ73" s="12" t="str">
        <f t="shared" si="71"/>
        <v/>
      </c>
      <c r="BI73" s="17" t="str">
        <f t="shared" si="72"/>
        <v/>
      </c>
      <c r="BM73" t="str">
        <f t="shared" si="73"/>
        <v>SPT Relationship</v>
      </c>
      <c r="BN73">
        <f t="shared" si="50"/>
        <v>128</v>
      </c>
      <c r="BO73" t="str">
        <f t="shared" si="74"/>
        <v>Wolff, 1989</v>
      </c>
      <c r="BP73">
        <f t="shared" si="51"/>
        <v>37</v>
      </c>
      <c r="BQ73" t="str">
        <f t="shared" si="75"/>
        <v/>
      </c>
      <c r="BR73" t="str">
        <f t="shared" si="76"/>
        <v/>
      </c>
      <c r="BS73" t="str">
        <f t="shared" si="77"/>
        <v/>
      </c>
      <c r="BT73" t="str">
        <f t="shared" si="52"/>
        <v/>
      </c>
      <c r="BU73" t="str">
        <f t="shared" si="78"/>
        <v/>
      </c>
      <c r="BV73" t="str">
        <f t="shared" si="79"/>
        <v/>
      </c>
      <c r="BW73" t="str">
        <f t="shared" si="80"/>
        <v/>
      </c>
      <c r="BX73" t="str">
        <f t="shared" si="81"/>
        <v/>
      </c>
      <c r="BY73" t="str">
        <f t="shared" si="82"/>
        <v/>
      </c>
      <c r="BZ73" t="str">
        <f t="shared" si="83"/>
        <v/>
      </c>
      <c r="CA73" t="str">
        <f t="shared" si="84"/>
        <v/>
      </c>
      <c r="CB73" t="str">
        <f t="shared" si="53"/>
        <v/>
      </c>
      <c r="CC73" t="str">
        <f t="shared" si="85"/>
        <v/>
      </c>
      <c r="CD73" t="str">
        <f t="shared" si="54"/>
        <v/>
      </c>
      <c r="CE73" t="str">
        <f t="shared" si="86"/>
        <v>Bowles 5th edition</v>
      </c>
      <c r="CF73">
        <f t="shared" si="55"/>
        <v>301</v>
      </c>
      <c r="CG73" t="str">
        <f t="shared" si="87"/>
        <v/>
      </c>
      <c r="CH73" t="str">
        <f t="shared" si="56"/>
        <v/>
      </c>
      <c r="CI73" t="str">
        <f t="shared" si="88"/>
        <v/>
      </c>
      <c r="CJ73" t="str">
        <f t="shared" si="89"/>
        <v/>
      </c>
    </row>
    <row r="74" spans="2:88" x14ac:dyDescent="0.3">
      <c r="B74" t="str">
        <f t="shared" si="57"/>
        <v>36.831347-76.119652</v>
      </c>
      <c r="C74" t="s">
        <v>12</v>
      </c>
      <c r="D74">
        <v>36.831347000000001</v>
      </c>
      <c r="E74">
        <v>-76.119652000000002</v>
      </c>
      <c r="F74">
        <v>5</v>
      </c>
      <c r="G74" t="str">
        <f t="shared" si="58"/>
        <v>-13-1536.831347-76.119652</v>
      </c>
      <c r="H74">
        <f t="shared" si="59"/>
        <v>-13</v>
      </c>
      <c r="I74">
        <v>-15</v>
      </c>
      <c r="J74" t="s">
        <v>21</v>
      </c>
      <c r="L74" t="s">
        <v>8</v>
      </c>
      <c r="M74">
        <v>3</v>
      </c>
      <c r="Q74" s="1" t="str">
        <f t="shared" si="60"/>
        <v/>
      </c>
      <c r="S74" t="str">
        <f t="shared" si="49"/>
        <v>Sand</v>
      </c>
      <c r="T74">
        <f t="shared" si="61"/>
        <v>1</v>
      </c>
      <c r="AA74">
        <v>80</v>
      </c>
      <c r="AB74" s="1">
        <f t="shared" si="62"/>
        <v>4</v>
      </c>
      <c r="AC74">
        <f t="shared" si="63"/>
        <v>3</v>
      </c>
      <c r="AD74" t="str">
        <f t="shared" si="64"/>
        <v/>
      </c>
      <c r="AE74" t="str">
        <f t="shared" si="65"/>
        <v/>
      </c>
      <c r="AG74" s="21" t="str">
        <f t="shared" si="66"/>
        <v/>
      </c>
      <c r="AI74" s="6" t="str">
        <f t="shared" si="67"/>
        <v/>
      </c>
      <c r="AM74" s="7" t="str">
        <f t="shared" si="68"/>
        <v/>
      </c>
      <c r="AQ74" s="8" t="str">
        <f t="shared" si="69"/>
        <v/>
      </c>
      <c r="AW74" s="25" t="str">
        <f t="shared" si="70"/>
        <v/>
      </c>
      <c r="AZ74" s="12" t="str">
        <f t="shared" si="71"/>
        <v/>
      </c>
      <c r="BI74" s="17" t="str">
        <f t="shared" si="72"/>
        <v/>
      </c>
      <c r="BM74" t="str">
        <f t="shared" si="73"/>
        <v>SPT Relationship</v>
      </c>
      <c r="BN74">
        <f t="shared" si="50"/>
        <v>105</v>
      </c>
      <c r="BO74" t="str">
        <f t="shared" si="74"/>
        <v>Wolff, 1989</v>
      </c>
      <c r="BP74">
        <f t="shared" si="51"/>
        <v>27</v>
      </c>
      <c r="BQ74" t="str">
        <f t="shared" si="75"/>
        <v/>
      </c>
      <c r="BR74" t="str">
        <f t="shared" si="76"/>
        <v/>
      </c>
      <c r="BS74" t="str">
        <f t="shared" si="77"/>
        <v/>
      </c>
      <c r="BT74" t="str">
        <f t="shared" si="52"/>
        <v/>
      </c>
      <c r="BU74" t="str">
        <f t="shared" si="78"/>
        <v/>
      </c>
      <c r="BV74" t="str">
        <f t="shared" si="79"/>
        <v/>
      </c>
      <c r="BW74" t="str">
        <f t="shared" si="80"/>
        <v/>
      </c>
      <c r="BX74" t="str">
        <f t="shared" si="81"/>
        <v/>
      </c>
      <c r="BY74" t="str">
        <f t="shared" si="82"/>
        <v/>
      </c>
      <c r="BZ74" t="str">
        <f t="shared" si="83"/>
        <v/>
      </c>
      <c r="CA74" t="str">
        <f t="shared" si="84"/>
        <v/>
      </c>
      <c r="CB74" t="str">
        <f t="shared" si="53"/>
        <v/>
      </c>
      <c r="CC74" t="str">
        <f t="shared" si="85"/>
        <v/>
      </c>
      <c r="CD74" t="str">
        <f t="shared" si="54"/>
        <v/>
      </c>
      <c r="CE74" t="str">
        <f t="shared" si="86"/>
        <v>Bowles 5th edition</v>
      </c>
      <c r="CF74">
        <f t="shared" si="55"/>
        <v>122</v>
      </c>
      <c r="CG74" t="str">
        <f t="shared" si="87"/>
        <v/>
      </c>
      <c r="CH74" t="str">
        <f t="shared" si="56"/>
        <v/>
      </c>
      <c r="CI74" t="str">
        <f t="shared" si="88"/>
        <v/>
      </c>
      <c r="CJ74" t="str">
        <f t="shared" si="89"/>
        <v/>
      </c>
    </row>
    <row r="75" spans="2:88" x14ac:dyDescent="0.3">
      <c r="B75" t="str">
        <f t="shared" si="57"/>
        <v>36.831347-76.119652</v>
      </c>
      <c r="C75" t="s">
        <v>12</v>
      </c>
      <c r="D75">
        <v>36.831347000000001</v>
      </c>
      <c r="E75">
        <v>-76.119652000000002</v>
      </c>
      <c r="F75">
        <v>5</v>
      </c>
      <c r="G75" t="str">
        <f t="shared" si="58"/>
        <v>-18-2036.831347-76.119652</v>
      </c>
      <c r="H75">
        <f t="shared" si="59"/>
        <v>-18</v>
      </c>
      <c r="I75">
        <v>-20</v>
      </c>
      <c r="J75" t="s">
        <v>21</v>
      </c>
      <c r="L75" t="s">
        <v>8</v>
      </c>
      <c r="M75">
        <v>2</v>
      </c>
      <c r="N75">
        <v>31</v>
      </c>
      <c r="Q75" s="1" t="str">
        <f t="shared" si="60"/>
        <v/>
      </c>
      <c r="R75">
        <v>20</v>
      </c>
      <c r="S75" t="str">
        <f t="shared" si="49"/>
        <v>Sand</v>
      </c>
      <c r="T75">
        <f t="shared" si="61"/>
        <v>2</v>
      </c>
      <c r="AA75">
        <v>80</v>
      </c>
      <c r="AB75" s="1">
        <f t="shared" si="62"/>
        <v>3</v>
      </c>
      <c r="AC75">
        <f t="shared" si="63"/>
        <v>2</v>
      </c>
      <c r="AD75" t="str">
        <f t="shared" si="64"/>
        <v/>
      </c>
      <c r="AE75" t="str">
        <f t="shared" si="65"/>
        <v/>
      </c>
      <c r="AG75" s="21" t="str">
        <f t="shared" si="66"/>
        <v/>
      </c>
      <c r="AI75" s="6" t="str">
        <f t="shared" si="67"/>
        <v/>
      </c>
      <c r="AM75" s="7" t="str">
        <f t="shared" si="68"/>
        <v/>
      </c>
      <c r="AQ75" s="8" t="str">
        <f t="shared" si="69"/>
        <v/>
      </c>
      <c r="AW75" s="25" t="str">
        <f t="shared" si="70"/>
        <v/>
      </c>
      <c r="AZ75" s="12" t="str">
        <f t="shared" si="71"/>
        <v/>
      </c>
      <c r="BI75" s="17" t="str">
        <f t="shared" si="72"/>
        <v/>
      </c>
      <c r="BM75" t="str">
        <f t="shared" si="73"/>
        <v>SPT Relationship</v>
      </c>
      <c r="BN75">
        <f t="shared" si="50"/>
        <v>101</v>
      </c>
      <c r="BO75" t="str">
        <f t="shared" si="74"/>
        <v>Wolff, 1989</v>
      </c>
      <c r="BP75">
        <f t="shared" si="51"/>
        <v>27</v>
      </c>
      <c r="BQ75" t="str">
        <f t="shared" si="75"/>
        <v/>
      </c>
      <c r="BR75" t="str">
        <f t="shared" si="76"/>
        <v/>
      </c>
      <c r="BS75" t="str">
        <f t="shared" si="77"/>
        <v/>
      </c>
      <c r="BT75" t="str">
        <f t="shared" si="52"/>
        <v/>
      </c>
      <c r="BU75" t="str">
        <f t="shared" si="78"/>
        <v/>
      </c>
      <c r="BV75" t="str">
        <f t="shared" si="79"/>
        <v/>
      </c>
      <c r="BW75" t="str">
        <f t="shared" si="80"/>
        <v/>
      </c>
      <c r="BX75" t="str">
        <f t="shared" si="81"/>
        <v/>
      </c>
      <c r="BY75" t="str">
        <f t="shared" si="82"/>
        <v/>
      </c>
      <c r="BZ75" t="str">
        <f t="shared" si="83"/>
        <v/>
      </c>
      <c r="CA75" t="str">
        <f t="shared" si="84"/>
        <v/>
      </c>
      <c r="CB75" t="str">
        <f t="shared" si="53"/>
        <v/>
      </c>
      <c r="CC75" t="str">
        <f t="shared" si="85"/>
        <v/>
      </c>
      <c r="CD75" t="str">
        <f t="shared" si="54"/>
        <v/>
      </c>
      <c r="CE75" t="str">
        <f t="shared" si="86"/>
        <v>Bowles 5th edition</v>
      </c>
      <c r="CF75">
        <f t="shared" si="55"/>
        <v>115</v>
      </c>
      <c r="CG75" t="str">
        <f t="shared" si="87"/>
        <v>Relationship (Gs=2.67)</v>
      </c>
      <c r="CH75">
        <f t="shared" si="56"/>
        <v>0.83</v>
      </c>
      <c r="CI75" t="str">
        <f t="shared" si="88"/>
        <v/>
      </c>
      <c r="CJ75" t="str">
        <f t="shared" si="89"/>
        <v/>
      </c>
    </row>
    <row r="76" spans="2:88" x14ac:dyDescent="0.3">
      <c r="B76" t="str">
        <f t="shared" si="57"/>
        <v>36.831347-76.119652</v>
      </c>
      <c r="C76" t="s">
        <v>12</v>
      </c>
      <c r="D76">
        <v>36.831347000000001</v>
      </c>
      <c r="E76">
        <v>-76.119652000000002</v>
      </c>
      <c r="F76">
        <v>5</v>
      </c>
      <c r="G76" t="str">
        <f t="shared" si="58"/>
        <v>-23-2536.831347-76.119652</v>
      </c>
      <c r="H76">
        <f t="shared" si="59"/>
        <v>-23</v>
      </c>
      <c r="I76">
        <v>-25</v>
      </c>
      <c r="J76" t="s">
        <v>21</v>
      </c>
      <c r="L76" t="s">
        <v>8</v>
      </c>
      <c r="M76">
        <v>2</v>
      </c>
      <c r="Q76" s="1" t="str">
        <f t="shared" si="60"/>
        <v/>
      </c>
      <c r="S76" t="str">
        <f t="shared" si="49"/>
        <v>Sand</v>
      </c>
      <c r="T76">
        <f t="shared" si="61"/>
        <v>1</v>
      </c>
      <c r="AA76">
        <v>80</v>
      </c>
      <c r="AB76" s="1">
        <f t="shared" si="62"/>
        <v>3</v>
      </c>
      <c r="AC76">
        <f t="shared" si="63"/>
        <v>2</v>
      </c>
      <c r="AD76" t="str">
        <f t="shared" si="64"/>
        <v/>
      </c>
      <c r="AE76" t="str">
        <f t="shared" si="65"/>
        <v/>
      </c>
      <c r="AG76" s="21" t="str">
        <f t="shared" si="66"/>
        <v/>
      </c>
      <c r="AI76" s="6" t="str">
        <f t="shared" si="67"/>
        <v/>
      </c>
      <c r="AM76" s="7" t="str">
        <f t="shared" si="68"/>
        <v/>
      </c>
      <c r="AQ76" s="8" t="str">
        <f t="shared" si="69"/>
        <v/>
      </c>
      <c r="AW76" s="25" t="str">
        <f t="shared" si="70"/>
        <v/>
      </c>
      <c r="AZ76" s="12" t="str">
        <f t="shared" si="71"/>
        <v/>
      </c>
      <c r="BI76" s="17" t="str">
        <f t="shared" si="72"/>
        <v/>
      </c>
      <c r="BM76" t="str">
        <f t="shared" si="73"/>
        <v>SPT Relationship</v>
      </c>
      <c r="BN76">
        <f t="shared" si="50"/>
        <v>101</v>
      </c>
      <c r="BO76" t="str">
        <f t="shared" si="74"/>
        <v>Wolff, 1989</v>
      </c>
      <c r="BP76">
        <f t="shared" si="51"/>
        <v>27</v>
      </c>
      <c r="BQ76" t="str">
        <f t="shared" si="75"/>
        <v/>
      </c>
      <c r="BR76" t="str">
        <f t="shared" si="76"/>
        <v/>
      </c>
      <c r="BS76" t="str">
        <f t="shared" si="77"/>
        <v/>
      </c>
      <c r="BT76" t="str">
        <f t="shared" si="52"/>
        <v/>
      </c>
      <c r="BU76" t="str">
        <f t="shared" si="78"/>
        <v/>
      </c>
      <c r="BV76" t="str">
        <f t="shared" si="79"/>
        <v/>
      </c>
      <c r="BW76" t="str">
        <f t="shared" si="80"/>
        <v/>
      </c>
      <c r="BX76" t="str">
        <f t="shared" si="81"/>
        <v/>
      </c>
      <c r="BY76" t="str">
        <f t="shared" si="82"/>
        <v/>
      </c>
      <c r="BZ76" t="str">
        <f t="shared" si="83"/>
        <v/>
      </c>
      <c r="CA76" t="str">
        <f t="shared" si="84"/>
        <v/>
      </c>
      <c r="CB76" t="str">
        <f t="shared" si="53"/>
        <v/>
      </c>
      <c r="CC76" t="str">
        <f t="shared" si="85"/>
        <v/>
      </c>
      <c r="CD76" t="str">
        <f t="shared" si="54"/>
        <v/>
      </c>
      <c r="CE76" t="str">
        <f t="shared" si="86"/>
        <v>Bowles 5th edition</v>
      </c>
      <c r="CF76">
        <f t="shared" si="55"/>
        <v>115</v>
      </c>
      <c r="CG76" t="str">
        <f t="shared" si="87"/>
        <v/>
      </c>
      <c r="CH76" t="str">
        <f t="shared" si="56"/>
        <v/>
      </c>
      <c r="CI76" t="str">
        <f t="shared" si="88"/>
        <v/>
      </c>
      <c r="CJ76" t="str">
        <f t="shared" si="89"/>
        <v/>
      </c>
    </row>
    <row r="77" spans="2:88" x14ac:dyDescent="0.3">
      <c r="B77" t="str">
        <f t="shared" si="57"/>
        <v>36.831347-76.119652</v>
      </c>
      <c r="C77" t="s">
        <v>12</v>
      </c>
      <c r="D77">
        <v>36.831347000000001</v>
      </c>
      <c r="E77">
        <v>-76.119652000000002</v>
      </c>
      <c r="F77">
        <v>5</v>
      </c>
      <c r="G77" t="str">
        <f t="shared" si="58"/>
        <v>-28-3036.831347-76.119652</v>
      </c>
      <c r="H77">
        <f t="shared" si="59"/>
        <v>-28</v>
      </c>
      <c r="I77">
        <v>-30</v>
      </c>
      <c r="J77" t="s">
        <v>21</v>
      </c>
      <c r="L77" t="s">
        <v>8</v>
      </c>
      <c r="M77">
        <v>3</v>
      </c>
      <c r="Q77" s="1" t="str">
        <f t="shared" si="60"/>
        <v/>
      </c>
      <c r="S77" t="str">
        <f t="shared" si="49"/>
        <v>Sand</v>
      </c>
      <c r="T77">
        <f t="shared" si="61"/>
        <v>1</v>
      </c>
      <c r="AA77">
        <v>80</v>
      </c>
      <c r="AB77" s="1">
        <f t="shared" si="62"/>
        <v>4</v>
      </c>
      <c r="AC77">
        <f t="shared" si="63"/>
        <v>2</v>
      </c>
      <c r="AD77" t="str">
        <f t="shared" si="64"/>
        <v/>
      </c>
      <c r="AE77" t="str">
        <f t="shared" si="65"/>
        <v/>
      </c>
      <c r="AG77" s="21" t="str">
        <f t="shared" si="66"/>
        <v/>
      </c>
      <c r="AI77" s="6" t="str">
        <f t="shared" si="67"/>
        <v/>
      </c>
      <c r="AM77" s="7" t="str">
        <f t="shared" si="68"/>
        <v/>
      </c>
      <c r="AQ77" s="8" t="str">
        <f t="shared" si="69"/>
        <v/>
      </c>
      <c r="AW77" s="25" t="str">
        <f t="shared" si="70"/>
        <v/>
      </c>
      <c r="AZ77" s="12" t="str">
        <f t="shared" si="71"/>
        <v/>
      </c>
      <c r="BI77" s="17" t="str">
        <f t="shared" si="72"/>
        <v/>
      </c>
      <c r="BM77" t="str">
        <f t="shared" si="73"/>
        <v>SPT Relationship</v>
      </c>
      <c r="BN77">
        <f t="shared" si="50"/>
        <v>105</v>
      </c>
      <c r="BO77" t="str">
        <f t="shared" si="74"/>
        <v>Wolff, 1989</v>
      </c>
      <c r="BP77">
        <f t="shared" si="51"/>
        <v>27</v>
      </c>
      <c r="BQ77" t="str">
        <f t="shared" si="75"/>
        <v/>
      </c>
      <c r="BR77" t="str">
        <f t="shared" si="76"/>
        <v/>
      </c>
      <c r="BS77" t="str">
        <f t="shared" si="77"/>
        <v/>
      </c>
      <c r="BT77" t="str">
        <f t="shared" si="52"/>
        <v/>
      </c>
      <c r="BU77" t="str">
        <f t="shared" si="78"/>
        <v/>
      </c>
      <c r="BV77" t="str">
        <f t="shared" si="79"/>
        <v/>
      </c>
      <c r="BW77" t="str">
        <f t="shared" si="80"/>
        <v/>
      </c>
      <c r="BX77" t="str">
        <f t="shared" si="81"/>
        <v/>
      </c>
      <c r="BY77" t="str">
        <f t="shared" si="82"/>
        <v/>
      </c>
      <c r="BZ77" t="str">
        <f t="shared" si="83"/>
        <v/>
      </c>
      <c r="CA77" t="str">
        <f t="shared" si="84"/>
        <v/>
      </c>
      <c r="CB77" t="str">
        <f t="shared" si="53"/>
        <v/>
      </c>
      <c r="CC77" t="str">
        <f t="shared" si="85"/>
        <v/>
      </c>
      <c r="CD77" t="str">
        <f t="shared" si="54"/>
        <v/>
      </c>
      <c r="CE77" t="str">
        <f t="shared" si="86"/>
        <v>Bowles 5th edition</v>
      </c>
      <c r="CF77">
        <f t="shared" si="55"/>
        <v>122</v>
      </c>
      <c r="CG77" t="str">
        <f t="shared" si="87"/>
        <v/>
      </c>
      <c r="CH77" t="str">
        <f t="shared" si="56"/>
        <v/>
      </c>
      <c r="CI77" t="str">
        <f t="shared" si="88"/>
        <v/>
      </c>
      <c r="CJ77" t="str">
        <f t="shared" si="89"/>
        <v/>
      </c>
    </row>
    <row r="78" spans="2:88" x14ac:dyDescent="0.3">
      <c r="B78" t="str">
        <f t="shared" si="57"/>
        <v>36.831347-76.119652</v>
      </c>
      <c r="C78" t="s">
        <v>12</v>
      </c>
      <c r="D78">
        <v>36.831347000000001</v>
      </c>
      <c r="E78">
        <v>-76.119652000000002</v>
      </c>
      <c r="F78">
        <v>5</v>
      </c>
      <c r="G78" t="str">
        <f t="shared" si="58"/>
        <v>-33-3536.831347-76.119652</v>
      </c>
      <c r="H78">
        <f t="shared" si="59"/>
        <v>-33</v>
      </c>
      <c r="I78">
        <v>-35</v>
      </c>
      <c r="J78" t="s">
        <v>21</v>
      </c>
      <c r="L78" t="s">
        <v>8</v>
      </c>
      <c r="M78">
        <v>1</v>
      </c>
      <c r="Q78" s="1" t="str">
        <f t="shared" si="60"/>
        <v/>
      </c>
      <c r="S78" t="str">
        <f t="shared" si="49"/>
        <v>Sand</v>
      </c>
      <c r="T78">
        <f t="shared" si="61"/>
        <v>1</v>
      </c>
      <c r="AA78">
        <v>80</v>
      </c>
      <c r="AB78" s="1">
        <f t="shared" si="62"/>
        <v>1</v>
      </c>
      <c r="AC78">
        <f t="shared" si="63"/>
        <v>0</v>
      </c>
      <c r="AD78" t="str">
        <f t="shared" si="64"/>
        <v/>
      </c>
      <c r="AE78" t="str">
        <f t="shared" si="65"/>
        <v/>
      </c>
      <c r="AG78" s="21" t="str">
        <f t="shared" si="66"/>
        <v/>
      </c>
      <c r="AI78" s="6" t="str">
        <f t="shared" si="67"/>
        <v/>
      </c>
      <c r="AM78" s="7" t="str">
        <f t="shared" si="68"/>
        <v/>
      </c>
      <c r="AQ78" s="8" t="str">
        <f t="shared" si="69"/>
        <v/>
      </c>
      <c r="AW78" s="25" t="str">
        <f t="shared" si="70"/>
        <v/>
      </c>
      <c r="AZ78" s="12" t="str">
        <f t="shared" si="71"/>
        <v/>
      </c>
      <c r="BI78" s="17" t="str">
        <f t="shared" si="72"/>
        <v/>
      </c>
      <c r="BM78" t="str">
        <f t="shared" si="73"/>
        <v>SPT Relationship</v>
      </c>
      <c r="BN78">
        <f t="shared" si="50"/>
        <v>95</v>
      </c>
      <c r="BO78" t="str">
        <f t="shared" si="74"/>
        <v>Wolff, 1989</v>
      </c>
      <c r="BP78">
        <f t="shared" si="51"/>
        <v>27</v>
      </c>
      <c r="BQ78" t="str">
        <f t="shared" si="75"/>
        <v/>
      </c>
      <c r="BR78" t="str">
        <f t="shared" si="76"/>
        <v/>
      </c>
      <c r="BS78" t="str">
        <f t="shared" si="77"/>
        <v/>
      </c>
      <c r="BT78" t="str">
        <f t="shared" si="52"/>
        <v/>
      </c>
      <c r="BU78" t="str">
        <f t="shared" si="78"/>
        <v/>
      </c>
      <c r="BV78" t="str">
        <f t="shared" si="79"/>
        <v/>
      </c>
      <c r="BW78" t="str">
        <f t="shared" si="80"/>
        <v/>
      </c>
      <c r="BX78" t="str">
        <f t="shared" si="81"/>
        <v/>
      </c>
      <c r="BY78" t="str">
        <f t="shared" si="82"/>
        <v/>
      </c>
      <c r="BZ78" t="str">
        <f t="shared" si="83"/>
        <v/>
      </c>
      <c r="CA78" t="str">
        <f t="shared" si="84"/>
        <v/>
      </c>
      <c r="CB78" t="str">
        <f t="shared" si="53"/>
        <v/>
      </c>
      <c r="CC78" t="str">
        <f t="shared" si="85"/>
        <v/>
      </c>
      <c r="CD78" t="str">
        <f t="shared" si="54"/>
        <v/>
      </c>
      <c r="CE78" t="str">
        <f t="shared" si="86"/>
        <v>Bowles 5th edition</v>
      </c>
      <c r="CF78">
        <f t="shared" si="55"/>
        <v>102</v>
      </c>
      <c r="CG78" t="str">
        <f t="shared" si="87"/>
        <v/>
      </c>
      <c r="CH78" t="str">
        <f t="shared" si="56"/>
        <v/>
      </c>
      <c r="CI78" t="str">
        <f t="shared" si="88"/>
        <v/>
      </c>
      <c r="CJ78" t="str">
        <f t="shared" si="89"/>
        <v/>
      </c>
    </row>
    <row r="79" spans="2:88" x14ac:dyDescent="0.3">
      <c r="B79" t="str">
        <f t="shared" si="57"/>
        <v>36.831347-76.119652</v>
      </c>
      <c r="C79" t="s">
        <v>12</v>
      </c>
      <c r="D79">
        <v>36.831347000000001</v>
      </c>
      <c r="E79">
        <v>-76.119652000000002</v>
      </c>
      <c r="F79">
        <v>5</v>
      </c>
      <c r="G79" t="str">
        <f t="shared" si="58"/>
        <v>-38-4036.831347-76.119652</v>
      </c>
      <c r="H79">
        <f t="shared" si="59"/>
        <v>-38</v>
      </c>
      <c r="I79">
        <v>-40</v>
      </c>
      <c r="J79" t="s">
        <v>21</v>
      </c>
      <c r="L79" t="s">
        <v>11</v>
      </c>
      <c r="M79">
        <v>0</v>
      </c>
      <c r="Q79" s="1" t="str">
        <f t="shared" si="60"/>
        <v/>
      </c>
      <c r="S79" t="str">
        <f t="shared" si="49"/>
        <v>Clay</v>
      </c>
      <c r="T79">
        <f t="shared" si="61"/>
        <v>1</v>
      </c>
      <c r="AA79">
        <v>80</v>
      </c>
      <c r="AB79" s="1">
        <f t="shared" si="62"/>
        <v>0</v>
      </c>
      <c r="AC79">
        <f t="shared" si="63"/>
        <v>0</v>
      </c>
      <c r="AD79" t="str">
        <f t="shared" si="64"/>
        <v/>
      </c>
      <c r="AE79" t="str">
        <f t="shared" si="65"/>
        <v/>
      </c>
      <c r="AG79" s="21" t="str">
        <f t="shared" si="66"/>
        <v/>
      </c>
      <c r="AI79" s="6" t="str">
        <f t="shared" si="67"/>
        <v/>
      </c>
      <c r="AM79" s="7" t="str">
        <f t="shared" si="68"/>
        <v/>
      </c>
      <c r="AQ79" s="8" t="str">
        <f t="shared" si="69"/>
        <v/>
      </c>
      <c r="AW79" s="25" t="str">
        <f t="shared" si="70"/>
        <v/>
      </c>
      <c r="AZ79" s="12" t="str">
        <f t="shared" si="71"/>
        <v/>
      </c>
      <c r="BI79" s="17" t="str">
        <f t="shared" si="72"/>
        <v/>
      </c>
      <c r="BM79" t="str">
        <f t="shared" si="73"/>
        <v>SPT Relationship</v>
      </c>
      <c r="BN79">
        <f t="shared" si="50"/>
        <v>95</v>
      </c>
      <c r="BO79" t="str">
        <f t="shared" si="74"/>
        <v>Wolff, 1989</v>
      </c>
      <c r="BP79">
        <f t="shared" si="51"/>
        <v>27</v>
      </c>
      <c r="BQ79" t="str">
        <f t="shared" si="75"/>
        <v/>
      </c>
      <c r="BR79" t="str">
        <f t="shared" si="76"/>
        <v/>
      </c>
      <c r="BS79" t="str">
        <f t="shared" si="77"/>
        <v>Stroud 1974 (K=3.5)</v>
      </c>
      <c r="BT79">
        <f t="shared" si="52"/>
        <v>0</v>
      </c>
      <c r="BU79" t="str">
        <f t="shared" si="78"/>
        <v/>
      </c>
      <c r="BV79" t="str">
        <f t="shared" si="79"/>
        <v/>
      </c>
      <c r="BW79" t="str">
        <f t="shared" si="80"/>
        <v/>
      </c>
      <c r="BX79" t="str">
        <f t="shared" si="81"/>
        <v/>
      </c>
      <c r="BY79" t="str">
        <f t="shared" si="82"/>
        <v/>
      </c>
      <c r="BZ79" t="str">
        <f t="shared" si="83"/>
        <v/>
      </c>
      <c r="CA79" t="str">
        <f t="shared" si="84"/>
        <v/>
      </c>
      <c r="CB79" t="str">
        <f t="shared" si="53"/>
        <v/>
      </c>
      <c r="CC79" t="str">
        <f t="shared" si="85"/>
        <v/>
      </c>
      <c r="CD79" t="str">
        <f t="shared" si="54"/>
        <v/>
      </c>
      <c r="CE79" t="str">
        <f t="shared" si="86"/>
        <v/>
      </c>
      <c r="CF79" t="str">
        <f t="shared" si="55"/>
        <v/>
      </c>
      <c r="CG79" t="str">
        <f t="shared" si="87"/>
        <v/>
      </c>
      <c r="CH79" t="str">
        <f t="shared" si="56"/>
        <v/>
      </c>
      <c r="CI79" t="str">
        <f t="shared" si="88"/>
        <v/>
      </c>
      <c r="CJ79" t="str">
        <f t="shared" si="89"/>
        <v/>
      </c>
    </row>
    <row r="80" spans="2:88" x14ac:dyDescent="0.3">
      <c r="B80" t="str">
        <f t="shared" si="57"/>
        <v>36.831347-76.119652</v>
      </c>
      <c r="C80" t="s">
        <v>12</v>
      </c>
      <c r="D80">
        <v>36.831347000000001</v>
      </c>
      <c r="E80">
        <v>-76.119652000000002</v>
      </c>
      <c r="F80">
        <v>5</v>
      </c>
      <c r="G80" t="str">
        <f t="shared" si="58"/>
        <v>-43-4536.831347-76.119652</v>
      </c>
      <c r="H80">
        <f t="shared" si="59"/>
        <v>-43</v>
      </c>
      <c r="I80">
        <v>-45</v>
      </c>
      <c r="J80" t="s">
        <v>21</v>
      </c>
      <c r="L80" t="s">
        <v>11</v>
      </c>
      <c r="M80">
        <v>3</v>
      </c>
      <c r="N80">
        <v>31</v>
      </c>
      <c r="O80">
        <v>17</v>
      </c>
      <c r="P80">
        <v>31</v>
      </c>
      <c r="Q80" s="1">
        <f t="shared" si="60"/>
        <v>14</v>
      </c>
      <c r="R80">
        <v>50</v>
      </c>
      <c r="S80" t="str">
        <f t="shared" si="49"/>
        <v>Clay</v>
      </c>
      <c r="T80">
        <f t="shared" si="61"/>
        <v>2</v>
      </c>
      <c r="AA80">
        <v>80</v>
      </c>
      <c r="AB80" s="1">
        <f t="shared" si="62"/>
        <v>4</v>
      </c>
      <c r="AC80">
        <f t="shared" si="63"/>
        <v>2</v>
      </c>
      <c r="AD80">
        <f t="shared" si="64"/>
        <v>1</v>
      </c>
      <c r="AE80" t="str">
        <f t="shared" si="65"/>
        <v/>
      </c>
      <c r="AG80" s="21" t="str">
        <f t="shared" si="66"/>
        <v/>
      </c>
      <c r="AI80" s="6" t="str">
        <f t="shared" si="67"/>
        <v/>
      </c>
      <c r="AM80" s="7" t="str">
        <f t="shared" si="68"/>
        <v/>
      </c>
      <c r="AQ80" s="8" t="str">
        <f t="shared" si="69"/>
        <v/>
      </c>
      <c r="AW80" s="25" t="str">
        <f t="shared" si="70"/>
        <v/>
      </c>
      <c r="AZ80" s="12" t="str">
        <f t="shared" si="71"/>
        <v/>
      </c>
      <c r="BI80" s="17" t="str">
        <f t="shared" si="72"/>
        <v/>
      </c>
      <c r="BM80" t="str">
        <f t="shared" si="73"/>
        <v>SPT Relationship</v>
      </c>
      <c r="BN80">
        <f t="shared" si="50"/>
        <v>105</v>
      </c>
      <c r="BO80" t="str">
        <f t="shared" si="74"/>
        <v>Wolff, 1989</v>
      </c>
      <c r="BP80">
        <f t="shared" si="51"/>
        <v>27</v>
      </c>
      <c r="BQ80" t="str">
        <f t="shared" si="75"/>
        <v>GTENG-2476</v>
      </c>
      <c r="BR80">
        <f t="shared" si="76"/>
        <v>23</v>
      </c>
      <c r="BS80" t="str">
        <f t="shared" si="77"/>
        <v>Stroud 1974 (K=3.5)</v>
      </c>
      <c r="BT80">
        <f t="shared" si="52"/>
        <v>292</v>
      </c>
      <c r="BU80" t="str">
        <f t="shared" si="78"/>
        <v>Kulhawy and Mayne 1990</v>
      </c>
      <c r="BV80">
        <f t="shared" si="79"/>
        <v>0.189</v>
      </c>
      <c r="BW80" t="str">
        <f t="shared" si="80"/>
        <v>Kulhawy and Mayne 1990</v>
      </c>
      <c r="BX80">
        <f t="shared" si="81"/>
        <v>3.7999999999999999E-2</v>
      </c>
      <c r="BY80" t="str">
        <f t="shared" si="82"/>
        <v>Mesri 1990</v>
      </c>
      <c r="BZ80">
        <f t="shared" si="83"/>
        <v>5.7000000000000002E-3</v>
      </c>
      <c r="CA80" t="str">
        <f t="shared" si="84"/>
        <v>NAVFAC Vol. 7.1 Figure 4</v>
      </c>
      <c r="CB80">
        <f t="shared" si="53"/>
        <v>0.4283710597999999</v>
      </c>
      <c r="CC80" t="str">
        <f t="shared" si="85"/>
        <v>Stas and Kulhawy 1984</v>
      </c>
      <c r="CD80">
        <f t="shared" si="54"/>
        <v>645.42162140035202</v>
      </c>
      <c r="CE80" t="str">
        <f t="shared" si="86"/>
        <v/>
      </c>
      <c r="CF80" t="str">
        <f t="shared" si="55"/>
        <v/>
      </c>
      <c r="CG80" t="str">
        <f t="shared" si="87"/>
        <v>Relationship (Gs=2.67)</v>
      </c>
      <c r="CH80">
        <f t="shared" si="56"/>
        <v>0.83</v>
      </c>
      <c r="CI80" t="str">
        <f t="shared" si="88"/>
        <v/>
      </c>
      <c r="CJ80" t="str">
        <f t="shared" si="89"/>
        <v/>
      </c>
    </row>
    <row r="81" spans="2:88" x14ac:dyDescent="0.3">
      <c r="B81" t="str">
        <f t="shared" si="57"/>
        <v>36.831347-76.119652</v>
      </c>
      <c r="C81" t="s">
        <v>12</v>
      </c>
      <c r="D81">
        <v>36.831347000000001</v>
      </c>
      <c r="E81">
        <v>-76.119652000000002</v>
      </c>
      <c r="F81">
        <v>5</v>
      </c>
      <c r="G81" t="str">
        <f t="shared" si="58"/>
        <v>-48-5036.831347-76.119652</v>
      </c>
      <c r="H81">
        <f t="shared" si="59"/>
        <v>-48</v>
      </c>
      <c r="I81">
        <v>-50</v>
      </c>
      <c r="J81" t="s">
        <v>21</v>
      </c>
      <c r="L81" t="s">
        <v>11</v>
      </c>
      <c r="M81">
        <v>0</v>
      </c>
      <c r="Q81" s="1" t="str">
        <f t="shared" si="60"/>
        <v/>
      </c>
      <c r="S81" t="str">
        <f t="shared" si="49"/>
        <v>Clay</v>
      </c>
      <c r="T81">
        <f t="shared" si="61"/>
        <v>1</v>
      </c>
      <c r="AA81">
        <v>80</v>
      </c>
      <c r="AB81" s="1">
        <f t="shared" si="62"/>
        <v>0</v>
      </c>
      <c r="AC81">
        <f t="shared" si="63"/>
        <v>0</v>
      </c>
      <c r="AD81" t="str">
        <f t="shared" si="64"/>
        <v/>
      </c>
      <c r="AE81" t="str">
        <f t="shared" si="65"/>
        <v/>
      </c>
      <c r="AG81" s="21" t="str">
        <f t="shared" si="66"/>
        <v/>
      </c>
      <c r="AI81" s="6" t="str">
        <f t="shared" si="67"/>
        <v/>
      </c>
      <c r="AM81" s="7" t="str">
        <f t="shared" si="68"/>
        <v/>
      </c>
      <c r="AQ81" s="8" t="str">
        <f t="shared" si="69"/>
        <v/>
      </c>
      <c r="AW81" s="25" t="str">
        <f t="shared" si="70"/>
        <v/>
      </c>
      <c r="AZ81" s="12" t="str">
        <f t="shared" si="71"/>
        <v/>
      </c>
      <c r="BI81" s="17" t="str">
        <f t="shared" si="72"/>
        <v/>
      </c>
      <c r="BM81" t="str">
        <f t="shared" si="73"/>
        <v>SPT Relationship</v>
      </c>
      <c r="BN81">
        <f t="shared" si="50"/>
        <v>95</v>
      </c>
      <c r="BO81" t="str">
        <f t="shared" si="74"/>
        <v>Wolff, 1989</v>
      </c>
      <c r="BP81">
        <f t="shared" si="51"/>
        <v>27</v>
      </c>
      <c r="BQ81" t="str">
        <f t="shared" si="75"/>
        <v/>
      </c>
      <c r="BR81" t="str">
        <f t="shared" si="76"/>
        <v/>
      </c>
      <c r="BS81" t="str">
        <f t="shared" si="77"/>
        <v>Stroud 1974 (K=3.5)</v>
      </c>
      <c r="BT81">
        <f t="shared" si="52"/>
        <v>0</v>
      </c>
      <c r="BU81" t="str">
        <f t="shared" si="78"/>
        <v/>
      </c>
      <c r="BV81" t="str">
        <f t="shared" si="79"/>
        <v/>
      </c>
      <c r="BW81" t="str">
        <f t="shared" si="80"/>
        <v/>
      </c>
      <c r="BX81" t="str">
        <f t="shared" si="81"/>
        <v/>
      </c>
      <c r="BY81" t="str">
        <f t="shared" si="82"/>
        <v/>
      </c>
      <c r="BZ81" t="str">
        <f t="shared" si="83"/>
        <v/>
      </c>
      <c r="CA81" t="str">
        <f t="shared" si="84"/>
        <v/>
      </c>
      <c r="CB81" t="str">
        <f t="shared" si="53"/>
        <v/>
      </c>
      <c r="CC81" t="str">
        <f t="shared" si="85"/>
        <v/>
      </c>
      <c r="CD81" t="str">
        <f t="shared" si="54"/>
        <v/>
      </c>
      <c r="CE81" t="str">
        <f t="shared" si="86"/>
        <v/>
      </c>
      <c r="CF81" t="str">
        <f t="shared" si="55"/>
        <v/>
      </c>
      <c r="CG81" t="str">
        <f t="shared" si="87"/>
        <v/>
      </c>
      <c r="CH81" t="str">
        <f t="shared" si="56"/>
        <v/>
      </c>
      <c r="CI81" t="str">
        <f t="shared" si="88"/>
        <v/>
      </c>
      <c r="CJ81" t="str">
        <f t="shared" si="89"/>
        <v/>
      </c>
    </row>
    <row r="82" spans="2:88" x14ac:dyDescent="0.3">
      <c r="B82" t="str">
        <f t="shared" si="57"/>
        <v>36.831347-76.119652</v>
      </c>
      <c r="C82" t="s">
        <v>12</v>
      </c>
      <c r="D82">
        <v>36.831347000000001</v>
      </c>
      <c r="E82">
        <v>-76.119652000000002</v>
      </c>
      <c r="F82">
        <v>5</v>
      </c>
      <c r="G82" t="str">
        <f t="shared" si="58"/>
        <v>-53-5536.831347-76.119652</v>
      </c>
      <c r="H82">
        <f t="shared" si="59"/>
        <v>-53</v>
      </c>
      <c r="I82">
        <v>-55</v>
      </c>
      <c r="J82" t="s">
        <v>21</v>
      </c>
      <c r="L82" t="s">
        <v>8</v>
      </c>
      <c r="M82">
        <v>9</v>
      </c>
      <c r="Q82" s="1" t="str">
        <f t="shared" si="60"/>
        <v/>
      </c>
      <c r="S82" t="str">
        <f t="shared" si="49"/>
        <v>Sand</v>
      </c>
      <c r="T82">
        <f t="shared" si="61"/>
        <v>1</v>
      </c>
      <c r="AA82">
        <v>80</v>
      </c>
      <c r="AB82" s="1">
        <f t="shared" si="62"/>
        <v>12</v>
      </c>
      <c r="AC82">
        <f t="shared" si="63"/>
        <v>6</v>
      </c>
      <c r="AD82" t="str">
        <f t="shared" si="64"/>
        <v/>
      </c>
      <c r="AE82" t="str">
        <f t="shared" si="65"/>
        <v/>
      </c>
      <c r="AG82" s="21" t="str">
        <f t="shared" si="66"/>
        <v/>
      </c>
      <c r="AI82" s="6" t="str">
        <f t="shared" si="67"/>
        <v/>
      </c>
      <c r="AM82" s="7" t="str">
        <f t="shared" si="68"/>
        <v/>
      </c>
      <c r="AQ82" s="8" t="str">
        <f t="shared" si="69"/>
        <v/>
      </c>
      <c r="AW82" s="25" t="str">
        <f t="shared" si="70"/>
        <v/>
      </c>
      <c r="AZ82" s="12" t="str">
        <f t="shared" si="71"/>
        <v/>
      </c>
      <c r="BI82" s="17" t="str">
        <f t="shared" si="72"/>
        <v/>
      </c>
      <c r="BM82" t="str">
        <f t="shared" si="73"/>
        <v>SPT Relationship</v>
      </c>
      <c r="BN82">
        <f t="shared" si="50"/>
        <v>117</v>
      </c>
      <c r="BO82" t="str">
        <f t="shared" si="74"/>
        <v>Wolff, 1989</v>
      </c>
      <c r="BP82">
        <f t="shared" si="51"/>
        <v>28</v>
      </c>
      <c r="BQ82" t="str">
        <f t="shared" si="75"/>
        <v/>
      </c>
      <c r="BR82" t="str">
        <f t="shared" si="76"/>
        <v/>
      </c>
      <c r="BS82" t="str">
        <f t="shared" si="77"/>
        <v/>
      </c>
      <c r="BT82" t="str">
        <f t="shared" si="52"/>
        <v/>
      </c>
      <c r="BU82" t="str">
        <f t="shared" si="78"/>
        <v/>
      </c>
      <c r="BV82" t="str">
        <f t="shared" si="79"/>
        <v/>
      </c>
      <c r="BW82" t="str">
        <f t="shared" si="80"/>
        <v/>
      </c>
      <c r="BX82" t="str">
        <f t="shared" si="81"/>
        <v/>
      </c>
      <c r="BY82" t="str">
        <f t="shared" si="82"/>
        <v/>
      </c>
      <c r="BZ82" t="str">
        <f t="shared" si="83"/>
        <v/>
      </c>
      <c r="CA82" t="str">
        <f t="shared" si="84"/>
        <v/>
      </c>
      <c r="CB82" t="str">
        <f t="shared" si="53"/>
        <v/>
      </c>
      <c r="CC82" t="str">
        <f t="shared" si="85"/>
        <v/>
      </c>
      <c r="CD82" t="str">
        <f t="shared" si="54"/>
        <v/>
      </c>
      <c r="CE82" t="str">
        <f t="shared" si="86"/>
        <v>Bowles 5th edition</v>
      </c>
      <c r="CF82">
        <f t="shared" si="55"/>
        <v>173</v>
      </c>
      <c r="CG82" t="str">
        <f t="shared" si="87"/>
        <v/>
      </c>
      <c r="CH82" t="str">
        <f t="shared" si="56"/>
        <v/>
      </c>
      <c r="CI82" t="str">
        <f t="shared" si="88"/>
        <v/>
      </c>
      <c r="CJ82" t="str">
        <f t="shared" si="89"/>
        <v/>
      </c>
    </row>
    <row r="83" spans="2:88" x14ac:dyDescent="0.3">
      <c r="B83" t="str">
        <f t="shared" si="57"/>
        <v>36.831347-76.119652</v>
      </c>
      <c r="C83" t="s">
        <v>12</v>
      </c>
      <c r="D83">
        <v>36.831347000000001</v>
      </c>
      <c r="E83">
        <v>-76.119652000000002</v>
      </c>
      <c r="F83">
        <v>5</v>
      </c>
      <c r="G83" t="str">
        <f t="shared" si="58"/>
        <v>-58-6036.831347-76.119652</v>
      </c>
      <c r="H83">
        <f t="shared" si="59"/>
        <v>-58</v>
      </c>
      <c r="I83">
        <v>-60</v>
      </c>
      <c r="J83" t="s">
        <v>21</v>
      </c>
      <c r="L83" t="s">
        <v>8</v>
      </c>
      <c r="M83">
        <v>16</v>
      </c>
      <c r="N83">
        <v>26</v>
      </c>
      <c r="Q83" s="1" t="str">
        <f t="shared" si="60"/>
        <v/>
      </c>
      <c r="R83">
        <v>30</v>
      </c>
      <c r="S83" t="str">
        <f t="shared" si="49"/>
        <v>Sand</v>
      </c>
      <c r="T83">
        <f t="shared" si="61"/>
        <v>2</v>
      </c>
      <c r="AA83">
        <v>80</v>
      </c>
      <c r="AB83" s="1">
        <f t="shared" si="62"/>
        <v>21</v>
      </c>
      <c r="AC83">
        <f t="shared" si="63"/>
        <v>11</v>
      </c>
      <c r="AD83" t="str">
        <f t="shared" si="64"/>
        <v/>
      </c>
      <c r="AE83" t="str">
        <f t="shared" si="65"/>
        <v/>
      </c>
      <c r="AG83" s="21" t="str">
        <f t="shared" si="66"/>
        <v/>
      </c>
      <c r="AI83" s="6" t="str">
        <f t="shared" si="67"/>
        <v/>
      </c>
      <c r="AM83" s="7" t="str">
        <f t="shared" si="68"/>
        <v/>
      </c>
      <c r="AQ83" s="8" t="str">
        <f t="shared" si="69"/>
        <v/>
      </c>
      <c r="AW83" s="25" t="str">
        <f t="shared" si="70"/>
        <v/>
      </c>
      <c r="AZ83" s="12" t="str">
        <f t="shared" si="71"/>
        <v/>
      </c>
      <c r="BI83" s="17" t="str">
        <f t="shared" si="72"/>
        <v/>
      </c>
      <c r="BM83" t="str">
        <f t="shared" si="73"/>
        <v>SPT Relationship</v>
      </c>
      <c r="BN83">
        <f t="shared" si="50"/>
        <v>124</v>
      </c>
      <c r="BO83" t="str">
        <f t="shared" si="74"/>
        <v>Wolff, 1989</v>
      </c>
      <c r="BP83">
        <f t="shared" si="51"/>
        <v>30</v>
      </c>
      <c r="BQ83" t="str">
        <f t="shared" si="75"/>
        <v/>
      </c>
      <c r="BR83" t="str">
        <f t="shared" si="76"/>
        <v/>
      </c>
      <c r="BS83" t="str">
        <f t="shared" si="77"/>
        <v/>
      </c>
      <c r="BT83" t="str">
        <f t="shared" si="52"/>
        <v/>
      </c>
      <c r="BU83" t="str">
        <f t="shared" si="78"/>
        <v/>
      </c>
      <c r="BV83" t="str">
        <f t="shared" si="79"/>
        <v/>
      </c>
      <c r="BW83" t="str">
        <f t="shared" si="80"/>
        <v/>
      </c>
      <c r="BX83" t="str">
        <f t="shared" si="81"/>
        <v/>
      </c>
      <c r="BY83" t="str">
        <f t="shared" si="82"/>
        <v/>
      </c>
      <c r="BZ83" t="str">
        <f t="shared" si="83"/>
        <v/>
      </c>
      <c r="CA83" t="str">
        <f t="shared" si="84"/>
        <v/>
      </c>
      <c r="CB83" t="str">
        <f t="shared" si="53"/>
        <v/>
      </c>
      <c r="CC83" t="str">
        <f t="shared" si="85"/>
        <v/>
      </c>
      <c r="CD83" t="str">
        <f t="shared" si="54"/>
        <v/>
      </c>
      <c r="CE83" t="str">
        <f t="shared" si="86"/>
        <v>Bowles 5th edition</v>
      </c>
      <c r="CF83">
        <f t="shared" si="55"/>
        <v>230</v>
      </c>
      <c r="CG83" t="str">
        <f t="shared" si="87"/>
        <v>Relationship (Gs=2.67)</v>
      </c>
      <c r="CH83">
        <f t="shared" si="56"/>
        <v>0.69</v>
      </c>
      <c r="CI83" t="str">
        <f t="shared" si="88"/>
        <v/>
      </c>
      <c r="CJ83" t="str">
        <f t="shared" si="89"/>
        <v/>
      </c>
    </row>
    <row r="84" spans="2:88" x14ac:dyDescent="0.3">
      <c r="B84" t="str">
        <f t="shared" si="57"/>
        <v>36.831347-76.119652</v>
      </c>
      <c r="C84" t="s">
        <v>12</v>
      </c>
      <c r="D84">
        <v>36.831347000000001</v>
      </c>
      <c r="E84">
        <v>-76.119652000000002</v>
      </c>
      <c r="F84">
        <v>5</v>
      </c>
      <c r="G84" t="str">
        <f t="shared" si="58"/>
        <v>-63-6536.831347-76.119652</v>
      </c>
      <c r="H84">
        <f t="shared" si="59"/>
        <v>-63</v>
      </c>
      <c r="I84">
        <v>-65</v>
      </c>
      <c r="J84" t="s">
        <v>21</v>
      </c>
      <c r="L84" t="s">
        <v>11</v>
      </c>
      <c r="M84">
        <v>21</v>
      </c>
      <c r="Q84" s="1" t="str">
        <f t="shared" si="60"/>
        <v/>
      </c>
      <c r="S84" t="str">
        <f t="shared" si="49"/>
        <v>Clay</v>
      </c>
      <c r="T84">
        <f t="shared" si="61"/>
        <v>1</v>
      </c>
      <c r="AA84">
        <v>80</v>
      </c>
      <c r="AB84" s="1">
        <f t="shared" si="62"/>
        <v>28</v>
      </c>
      <c r="AC84">
        <f t="shared" si="63"/>
        <v>14</v>
      </c>
      <c r="AD84" t="str">
        <f t="shared" si="64"/>
        <v/>
      </c>
      <c r="AE84" t="str">
        <f t="shared" si="65"/>
        <v/>
      </c>
      <c r="AG84" s="21" t="str">
        <f t="shared" si="66"/>
        <v/>
      </c>
      <c r="AI84" s="6" t="str">
        <f t="shared" si="67"/>
        <v/>
      </c>
      <c r="AM84" s="7" t="str">
        <f t="shared" si="68"/>
        <v/>
      </c>
      <c r="AQ84" s="8" t="str">
        <f t="shared" si="69"/>
        <v/>
      </c>
      <c r="AW84" s="25" t="str">
        <f t="shared" si="70"/>
        <v/>
      </c>
      <c r="AZ84" s="12" t="str">
        <f t="shared" si="71"/>
        <v/>
      </c>
      <c r="BI84" s="17" t="str">
        <f t="shared" si="72"/>
        <v/>
      </c>
      <c r="BM84" t="str">
        <f t="shared" si="73"/>
        <v>SPT Relationship</v>
      </c>
      <c r="BN84">
        <f t="shared" si="50"/>
        <v>127</v>
      </c>
      <c r="BO84" t="str">
        <f t="shared" si="74"/>
        <v>Wolff, 1989</v>
      </c>
      <c r="BP84">
        <f t="shared" si="51"/>
        <v>31</v>
      </c>
      <c r="BQ84" t="str">
        <f t="shared" si="75"/>
        <v/>
      </c>
      <c r="BR84" t="str">
        <f t="shared" si="76"/>
        <v/>
      </c>
      <c r="BS84" t="str">
        <f t="shared" si="77"/>
        <v>Stroud 1974 (K=3.5)</v>
      </c>
      <c r="BT84">
        <f t="shared" si="52"/>
        <v>2047</v>
      </c>
      <c r="BU84" t="str">
        <f t="shared" si="78"/>
        <v/>
      </c>
      <c r="BV84" t="str">
        <f t="shared" si="79"/>
        <v/>
      </c>
      <c r="BW84" t="str">
        <f t="shared" si="80"/>
        <v/>
      </c>
      <c r="BX84" t="str">
        <f t="shared" si="81"/>
        <v/>
      </c>
      <c r="BY84" t="str">
        <f t="shared" si="82"/>
        <v/>
      </c>
      <c r="BZ84" t="str">
        <f t="shared" si="83"/>
        <v/>
      </c>
      <c r="CA84" t="str">
        <f t="shared" si="84"/>
        <v/>
      </c>
      <c r="CB84" t="str">
        <f t="shared" si="53"/>
        <v/>
      </c>
      <c r="CC84" t="str">
        <f t="shared" si="85"/>
        <v/>
      </c>
      <c r="CD84" t="str">
        <f t="shared" si="54"/>
        <v/>
      </c>
      <c r="CE84" t="str">
        <f t="shared" si="86"/>
        <v/>
      </c>
      <c r="CF84" t="str">
        <f t="shared" si="55"/>
        <v/>
      </c>
      <c r="CG84" t="str">
        <f t="shared" si="87"/>
        <v/>
      </c>
      <c r="CH84" t="str">
        <f t="shared" si="56"/>
        <v/>
      </c>
      <c r="CI84" t="str">
        <f t="shared" si="88"/>
        <v/>
      </c>
      <c r="CJ84" t="str">
        <f t="shared" si="89"/>
        <v/>
      </c>
    </row>
    <row r="85" spans="2:88" x14ac:dyDescent="0.3">
      <c r="B85" t="str">
        <f t="shared" si="57"/>
        <v>36.831347-76.119652</v>
      </c>
      <c r="C85" t="s">
        <v>12</v>
      </c>
      <c r="D85">
        <v>36.831347000000001</v>
      </c>
      <c r="E85">
        <v>-76.119652000000002</v>
      </c>
      <c r="F85">
        <v>5</v>
      </c>
      <c r="G85" t="str">
        <f t="shared" si="58"/>
        <v>-68-7036.831347-76.119652</v>
      </c>
      <c r="H85">
        <f t="shared" si="59"/>
        <v>-68</v>
      </c>
      <c r="I85">
        <v>-70</v>
      </c>
      <c r="J85" t="s">
        <v>21</v>
      </c>
      <c r="L85" t="s">
        <v>11</v>
      </c>
      <c r="M85">
        <v>9</v>
      </c>
      <c r="Q85" s="1" t="str">
        <f t="shared" si="60"/>
        <v/>
      </c>
      <c r="S85" t="str">
        <f t="shared" si="49"/>
        <v>Clay</v>
      </c>
      <c r="T85">
        <f t="shared" si="61"/>
        <v>1</v>
      </c>
      <c r="AA85">
        <v>80</v>
      </c>
      <c r="AB85" s="1">
        <f t="shared" si="62"/>
        <v>12</v>
      </c>
      <c r="AC85">
        <f t="shared" si="63"/>
        <v>6</v>
      </c>
      <c r="AD85" t="str">
        <f t="shared" si="64"/>
        <v/>
      </c>
      <c r="AE85" t="str">
        <f t="shared" si="65"/>
        <v/>
      </c>
      <c r="AG85" s="21" t="str">
        <f t="shared" si="66"/>
        <v/>
      </c>
      <c r="AI85" s="6" t="str">
        <f t="shared" si="67"/>
        <v/>
      </c>
      <c r="AM85" s="7" t="str">
        <f t="shared" si="68"/>
        <v/>
      </c>
      <c r="AQ85" s="8" t="str">
        <f t="shared" si="69"/>
        <v/>
      </c>
      <c r="AW85" s="25" t="str">
        <f t="shared" si="70"/>
        <v/>
      </c>
      <c r="AZ85" s="12" t="str">
        <f t="shared" si="71"/>
        <v/>
      </c>
      <c r="BI85" s="17" t="str">
        <f t="shared" si="72"/>
        <v/>
      </c>
      <c r="BM85" t="str">
        <f t="shared" si="73"/>
        <v>SPT Relationship</v>
      </c>
      <c r="BN85">
        <f t="shared" si="50"/>
        <v>117</v>
      </c>
      <c r="BO85" t="str">
        <f t="shared" si="74"/>
        <v>Wolff, 1989</v>
      </c>
      <c r="BP85">
        <f t="shared" si="51"/>
        <v>28</v>
      </c>
      <c r="BQ85" t="str">
        <f t="shared" si="75"/>
        <v/>
      </c>
      <c r="BR85" t="str">
        <f t="shared" si="76"/>
        <v/>
      </c>
      <c r="BS85" t="str">
        <f t="shared" si="77"/>
        <v>Stroud 1974 (K=3.5)</v>
      </c>
      <c r="BT85">
        <f t="shared" si="52"/>
        <v>877</v>
      </c>
      <c r="BU85" t="str">
        <f t="shared" si="78"/>
        <v/>
      </c>
      <c r="BV85" t="str">
        <f t="shared" si="79"/>
        <v/>
      </c>
      <c r="BW85" t="str">
        <f t="shared" si="80"/>
        <v/>
      </c>
      <c r="BX85" t="str">
        <f t="shared" si="81"/>
        <v/>
      </c>
      <c r="BY85" t="str">
        <f t="shared" si="82"/>
        <v/>
      </c>
      <c r="BZ85" t="str">
        <f t="shared" si="83"/>
        <v/>
      </c>
      <c r="CA85" t="str">
        <f t="shared" si="84"/>
        <v/>
      </c>
      <c r="CB85" t="str">
        <f t="shared" si="53"/>
        <v/>
      </c>
      <c r="CC85" t="str">
        <f t="shared" si="85"/>
        <v/>
      </c>
      <c r="CD85" t="str">
        <f t="shared" si="54"/>
        <v/>
      </c>
      <c r="CE85" t="str">
        <f t="shared" si="86"/>
        <v/>
      </c>
      <c r="CF85" t="str">
        <f t="shared" si="55"/>
        <v/>
      </c>
      <c r="CG85" t="str">
        <f t="shared" si="87"/>
        <v/>
      </c>
      <c r="CH85" t="str">
        <f t="shared" si="56"/>
        <v/>
      </c>
      <c r="CI85" t="str">
        <f t="shared" si="88"/>
        <v/>
      </c>
      <c r="CJ85" t="str">
        <f t="shared" si="89"/>
        <v/>
      </c>
    </row>
    <row r="86" spans="2:88" x14ac:dyDescent="0.3">
      <c r="B86" t="str">
        <f t="shared" si="57"/>
        <v>36.831347-76.119652</v>
      </c>
      <c r="C86" t="s">
        <v>12</v>
      </c>
      <c r="D86">
        <v>36.831347000000001</v>
      </c>
      <c r="E86">
        <v>-76.119652000000002</v>
      </c>
      <c r="F86">
        <v>5</v>
      </c>
      <c r="G86" t="str">
        <f t="shared" si="58"/>
        <v>-73-7536.831347-76.119652</v>
      </c>
      <c r="H86">
        <f t="shared" si="59"/>
        <v>-73</v>
      </c>
      <c r="I86">
        <v>-75</v>
      </c>
      <c r="J86" t="s">
        <v>21</v>
      </c>
      <c r="L86" t="s">
        <v>11</v>
      </c>
      <c r="M86">
        <v>11</v>
      </c>
      <c r="N86">
        <v>30</v>
      </c>
      <c r="O86">
        <v>20</v>
      </c>
      <c r="P86">
        <v>37</v>
      </c>
      <c r="Q86" s="1">
        <f t="shared" si="60"/>
        <v>17</v>
      </c>
      <c r="R86">
        <v>80</v>
      </c>
      <c r="S86" t="str">
        <f t="shared" si="49"/>
        <v>Clay</v>
      </c>
      <c r="T86">
        <f t="shared" si="61"/>
        <v>2</v>
      </c>
      <c r="AA86">
        <v>80</v>
      </c>
      <c r="AB86" s="1">
        <f t="shared" si="62"/>
        <v>15</v>
      </c>
      <c r="AC86">
        <f t="shared" si="63"/>
        <v>7</v>
      </c>
      <c r="AD86">
        <f t="shared" si="64"/>
        <v>0.58823529411764708</v>
      </c>
      <c r="AE86" t="str">
        <f t="shared" si="65"/>
        <v/>
      </c>
      <c r="AG86" s="21" t="str">
        <f t="shared" si="66"/>
        <v/>
      </c>
      <c r="AI86" s="6" t="str">
        <f t="shared" si="67"/>
        <v/>
      </c>
      <c r="AM86" s="7" t="str">
        <f t="shared" si="68"/>
        <v/>
      </c>
      <c r="AQ86" s="8" t="str">
        <f t="shared" si="69"/>
        <v/>
      </c>
      <c r="AW86" s="25" t="str">
        <f t="shared" si="70"/>
        <v/>
      </c>
      <c r="AZ86" s="12" t="str">
        <f t="shared" si="71"/>
        <v/>
      </c>
      <c r="BI86" s="17" t="str">
        <f t="shared" si="72"/>
        <v/>
      </c>
      <c r="BM86" t="str">
        <f t="shared" si="73"/>
        <v>SPT Relationship</v>
      </c>
      <c r="BN86">
        <f t="shared" si="50"/>
        <v>119</v>
      </c>
      <c r="BO86" t="str">
        <f t="shared" si="74"/>
        <v>Wolff, 1989</v>
      </c>
      <c r="BP86">
        <f t="shared" si="51"/>
        <v>29</v>
      </c>
      <c r="BQ86" t="str">
        <f t="shared" si="75"/>
        <v>GTENG-2476</v>
      </c>
      <c r="BR86">
        <f t="shared" si="76"/>
        <v>23</v>
      </c>
      <c r="BS86" t="str">
        <f t="shared" si="77"/>
        <v>Stroud 1974 (K=3.5)</v>
      </c>
      <c r="BT86">
        <f t="shared" si="52"/>
        <v>1096</v>
      </c>
      <c r="BU86" t="str">
        <f t="shared" si="78"/>
        <v>Kulhawy and Mayne 1990</v>
      </c>
      <c r="BV86">
        <f t="shared" si="79"/>
        <v>0.23</v>
      </c>
      <c r="BW86" t="str">
        <f t="shared" si="80"/>
        <v>Kulhawy and Mayne 1990</v>
      </c>
      <c r="BX86">
        <f t="shared" si="81"/>
        <v>4.5999999999999999E-2</v>
      </c>
      <c r="BY86" t="str">
        <f t="shared" si="82"/>
        <v>Mesri 1990</v>
      </c>
      <c r="BZ86">
        <f t="shared" si="83"/>
        <v>6.8999999999999999E-3</v>
      </c>
      <c r="CA86" t="str">
        <f t="shared" si="84"/>
        <v>NAVFAC Vol. 7.1 Figure 4</v>
      </c>
      <c r="CB86">
        <f t="shared" si="53"/>
        <v>0.26434569860000012</v>
      </c>
      <c r="CC86" t="str">
        <f t="shared" si="85"/>
        <v>Stas and Kulhawy 1984</v>
      </c>
      <c r="CD86">
        <f t="shared" si="54"/>
        <v>2998.4881272600182</v>
      </c>
      <c r="CE86" t="str">
        <f t="shared" si="86"/>
        <v/>
      </c>
      <c r="CF86" t="str">
        <f t="shared" si="55"/>
        <v/>
      </c>
      <c r="CG86" t="str">
        <f t="shared" si="87"/>
        <v>Relationship (Gs=2.67)</v>
      </c>
      <c r="CH86">
        <f t="shared" si="56"/>
        <v>0.8</v>
      </c>
      <c r="CI86" t="str">
        <f t="shared" si="88"/>
        <v/>
      </c>
      <c r="CJ86" t="str">
        <f t="shared" si="89"/>
        <v/>
      </c>
    </row>
    <row r="87" spans="2:88" x14ac:dyDescent="0.3">
      <c r="B87" t="str">
        <f t="shared" si="57"/>
        <v>36.831347-76.119652</v>
      </c>
      <c r="C87" t="s">
        <v>12</v>
      </c>
      <c r="D87">
        <v>36.831347000000001</v>
      </c>
      <c r="E87">
        <v>-76.119652000000002</v>
      </c>
      <c r="F87">
        <v>5</v>
      </c>
      <c r="G87" t="str">
        <f t="shared" si="58"/>
        <v>-78-8036.831347-76.119652</v>
      </c>
      <c r="H87">
        <f t="shared" si="59"/>
        <v>-78</v>
      </c>
      <c r="I87">
        <v>-80</v>
      </c>
      <c r="J87" t="s">
        <v>21</v>
      </c>
      <c r="L87" t="s">
        <v>17</v>
      </c>
      <c r="M87">
        <v>13</v>
      </c>
      <c r="Q87" s="1" t="str">
        <f t="shared" si="60"/>
        <v/>
      </c>
      <c r="S87" t="str">
        <f t="shared" si="49"/>
        <v>Sand</v>
      </c>
      <c r="T87">
        <f t="shared" si="61"/>
        <v>1</v>
      </c>
      <c r="AA87">
        <v>80</v>
      </c>
      <c r="AB87" s="1">
        <f t="shared" si="62"/>
        <v>17</v>
      </c>
      <c r="AC87">
        <f t="shared" si="63"/>
        <v>8</v>
      </c>
      <c r="AD87" t="str">
        <f t="shared" si="64"/>
        <v/>
      </c>
      <c r="AE87" t="str">
        <f t="shared" si="65"/>
        <v/>
      </c>
      <c r="AG87" s="21" t="str">
        <f t="shared" si="66"/>
        <v/>
      </c>
      <c r="AI87" s="6" t="str">
        <f t="shared" si="67"/>
        <v/>
      </c>
      <c r="AM87" s="7" t="str">
        <f t="shared" si="68"/>
        <v/>
      </c>
      <c r="AQ87" s="8" t="str">
        <f t="shared" si="69"/>
        <v/>
      </c>
      <c r="AW87" s="25" t="str">
        <f t="shared" si="70"/>
        <v/>
      </c>
      <c r="AZ87" s="12" t="str">
        <f t="shared" si="71"/>
        <v/>
      </c>
      <c r="BI87" s="17" t="str">
        <f t="shared" si="72"/>
        <v/>
      </c>
      <c r="BM87" t="str">
        <f t="shared" si="73"/>
        <v>SPT Relationship</v>
      </c>
      <c r="BN87">
        <f t="shared" si="50"/>
        <v>121</v>
      </c>
      <c r="BO87" t="str">
        <f t="shared" si="74"/>
        <v>Wolff, 1989</v>
      </c>
      <c r="BP87">
        <f t="shared" si="51"/>
        <v>29</v>
      </c>
      <c r="BQ87" t="str">
        <f t="shared" si="75"/>
        <v/>
      </c>
      <c r="BR87" t="str">
        <f t="shared" si="76"/>
        <v/>
      </c>
      <c r="BS87" t="str">
        <f t="shared" si="77"/>
        <v/>
      </c>
      <c r="BT87" t="str">
        <f t="shared" si="52"/>
        <v/>
      </c>
      <c r="BU87" t="str">
        <f t="shared" si="78"/>
        <v/>
      </c>
      <c r="BV87" t="str">
        <f t="shared" si="79"/>
        <v/>
      </c>
      <c r="BW87" t="str">
        <f t="shared" si="80"/>
        <v/>
      </c>
      <c r="BX87" t="str">
        <f t="shared" si="81"/>
        <v/>
      </c>
      <c r="BY87" t="str">
        <f t="shared" si="82"/>
        <v/>
      </c>
      <c r="BZ87" t="str">
        <f t="shared" si="83"/>
        <v/>
      </c>
      <c r="CA87" t="str">
        <f t="shared" si="84"/>
        <v/>
      </c>
      <c r="CB87" t="str">
        <f t="shared" si="53"/>
        <v/>
      </c>
      <c r="CC87" t="str">
        <f t="shared" si="85"/>
        <v/>
      </c>
      <c r="CD87" t="str">
        <f t="shared" si="54"/>
        <v/>
      </c>
      <c r="CE87" t="str">
        <f t="shared" si="86"/>
        <v>Bowles 5th edition</v>
      </c>
      <c r="CF87">
        <f t="shared" si="55"/>
        <v>205</v>
      </c>
      <c r="CG87" t="str">
        <f t="shared" si="87"/>
        <v/>
      </c>
      <c r="CH87" t="str">
        <f t="shared" si="56"/>
        <v/>
      </c>
      <c r="CI87" t="str">
        <f t="shared" si="88"/>
        <v/>
      </c>
      <c r="CJ87" t="str">
        <f t="shared" si="89"/>
        <v/>
      </c>
    </row>
    <row r="88" spans="2:88" x14ac:dyDescent="0.3">
      <c r="B88" t="str">
        <f t="shared" si="57"/>
        <v>36.831347-76.119652</v>
      </c>
      <c r="C88" t="s">
        <v>12</v>
      </c>
      <c r="D88">
        <v>36.831347000000001</v>
      </c>
      <c r="E88">
        <v>-76.119652000000002</v>
      </c>
      <c r="F88">
        <v>5</v>
      </c>
      <c r="G88" t="str">
        <f t="shared" si="58"/>
        <v>-83-8536.831347-76.119652</v>
      </c>
      <c r="H88">
        <f t="shared" si="59"/>
        <v>-83</v>
      </c>
      <c r="I88">
        <v>-85</v>
      </c>
      <c r="J88" t="s">
        <v>21</v>
      </c>
      <c r="L88" t="s">
        <v>8</v>
      </c>
      <c r="M88">
        <v>14</v>
      </c>
      <c r="Q88" s="1" t="str">
        <f t="shared" si="60"/>
        <v/>
      </c>
      <c r="S88" t="str">
        <f t="shared" si="49"/>
        <v>Sand</v>
      </c>
      <c r="T88">
        <f t="shared" si="61"/>
        <v>1</v>
      </c>
      <c r="AA88">
        <v>80</v>
      </c>
      <c r="AB88" s="1">
        <f t="shared" si="62"/>
        <v>19</v>
      </c>
      <c r="AC88">
        <f t="shared" si="63"/>
        <v>8</v>
      </c>
      <c r="AD88" t="str">
        <f t="shared" si="64"/>
        <v/>
      </c>
      <c r="AE88" t="str">
        <f t="shared" si="65"/>
        <v/>
      </c>
      <c r="AG88" s="21" t="str">
        <f t="shared" si="66"/>
        <v/>
      </c>
      <c r="AI88" s="6" t="str">
        <f t="shared" si="67"/>
        <v/>
      </c>
      <c r="AM88" s="7" t="str">
        <f t="shared" si="68"/>
        <v/>
      </c>
      <c r="AQ88" s="8" t="str">
        <f t="shared" si="69"/>
        <v/>
      </c>
      <c r="AW88" s="25" t="str">
        <f t="shared" si="70"/>
        <v/>
      </c>
      <c r="AZ88" s="12" t="str">
        <f t="shared" si="71"/>
        <v/>
      </c>
      <c r="BI88" s="17" t="str">
        <f t="shared" si="72"/>
        <v/>
      </c>
      <c r="BM88" t="str">
        <f t="shared" si="73"/>
        <v>SPT Relationship</v>
      </c>
      <c r="BN88">
        <f t="shared" si="50"/>
        <v>122</v>
      </c>
      <c r="BO88" t="str">
        <f t="shared" si="74"/>
        <v>Wolff, 1989</v>
      </c>
      <c r="BP88">
        <f t="shared" si="51"/>
        <v>29</v>
      </c>
      <c r="BQ88" t="str">
        <f t="shared" si="75"/>
        <v/>
      </c>
      <c r="BR88" t="str">
        <f t="shared" si="76"/>
        <v/>
      </c>
      <c r="BS88" t="str">
        <f t="shared" si="77"/>
        <v/>
      </c>
      <c r="BT88" t="str">
        <f t="shared" si="52"/>
        <v/>
      </c>
      <c r="BU88" t="str">
        <f t="shared" si="78"/>
        <v/>
      </c>
      <c r="BV88" t="str">
        <f t="shared" si="79"/>
        <v/>
      </c>
      <c r="BW88" t="str">
        <f t="shared" si="80"/>
        <v/>
      </c>
      <c r="BX88" t="str">
        <f t="shared" si="81"/>
        <v/>
      </c>
      <c r="BY88" t="str">
        <f t="shared" si="82"/>
        <v/>
      </c>
      <c r="BZ88" t="str">
        <f t="shared" si="83"/>
        <v/>
      </c>
      <c r="CA88" t="str">
        <f t="shared" si="84"/>
        <v/>
      </c>
      <c r="CB88" t="str">
        <f t="shared" si="53"/>
        <v/>
      </c>
      <c r="CC88" t="str">
        <f t="shared" si="85"/>
        <v/>
      </c>
      <c r="CD88" t="str">
        <f t="shared" si="54"/>
        <v/>
      </c>
      <c r="CE88" t="str">
        <f t="shared" si="86"/>
        <v>Bowles 5th edition</v>
      </c>
      <c r="CF88">
        <f t="shared" si="55"/>
        <v>218</v>
      </c>
      <c r="CG88" t="str">
        <f t="shared" si="87"/>
        <v/>
      </c>
      <c r="CH88" t="str">
        <f t="shared" si="56"/>
        <v/>
      </c>
      <c r="CI88" t="str">
        <f t="shared" si="88"/>
        <v/>
      </c>
      <c r="CJ88" t="str">
        <f t="shared" si="89"/>
        <v/>
      </c>
    </row>
    <row r="89" spans="2:88" x14ac:dyDescent="0.3">
      <c r="B89" t="str">
        <f t="shared" si="57"/>
        <v>36.831347-76.119652</v>
      </c>
      <c r="C89" t="s">
        <v>12</v>
      </c>
      <c r="D89">
        <v>36.831347000000001</v>
      </c>
      <c r="E89">
        <v>-76.119652000000002</v>
      </c>
      <c r="F89">
        <v>5</v>
      </c>
      <c r="G89" t="str">
        <f t="shared" si="58"/>
        <v>-88-9036.831347-76.119652</v>
      </c>
      <c r="H89">
        <f t="shared" si="59"/>
        <v>-88</v>
      </c>
      <c r="I89">
        <v>-90</v>
      </c>
      <c r="J89" t="s">
        <v>21</v>
      </c>
      <c r="L89" t="s">
        <v>8</v>
      </c>
      <c r="M89">
        <v>11</v>
      </c>
      <c r="Q89" s="1" t="str">
        <f t="shared" si="60"/>
        <v/>
      </c>
      <c r="S89" t="str">
        <f t="shared" si="49"/>
        <v>Sand</v>
      </c>
      <c r="T89">
        <f t="shared" si="61"/>
        <v>1</v>
      </c>
      <c r="AA89">
        <v>80</v>
      </c>
      <c r="AB89" s="1">
        <f t="shared" si="62"/>
        <v>15</v>
      </c>
      <c r="AC89">
        <f t="shared" si="63"/>
        <v>6</v>
      </c>
      <c r="AD89" t="str">
        <f t="shared" si="64"/>
        <v/>
      </c>
      <c r="AE89" t="str">
        <f t="shared" si="65"/>
        <v/>
      </c>
      <c r="AG89" s="21" t="str">
        <f t="shared" si="66"/>
        <v/>
      </c>
      <c r="AI89" s="6" t="str">
        <f t="shared" si="67"/>
        <v/>
      </c>
      <c r="AM89" s="7" t="str">
        <f t="shared" si="68"/>
        <v/>
      </c>
      <c r="AQ89" s="8" t="str">
        <f t="shared" si="69"/>
        <v/>
      </c>
      <c r="AW89" s="25" t="str">
        <f t="shared" si="70"/>
        <v/>
      </c>
      <c r="AZ89" s="12" t="str">
        <f t="shared" si="71"/>
        <v/>
      </c>
      <c r="BI89" s="17" t="str">
        <f t="shared" si="72"/>
        <v/>
      </c>
      <c r="BM89" t="str">
        <f t="shared" si="73"/>
        <v>SPT Relationship</v>
      </c>
      <c r="BN89">
        <f t="shared" si="50"/>
        <v>119</v>
      </c>
      <c r="BO89" t="str">
        <f t="shared" si="74"/>
        <v>Wolff, 1989</v>
      </c>
      <c r="BP89">
        <f t="shared" si="51"/>
        <v>28</v>
      </c>
      <c r="BQ89" t="str">
        <f t="shared" si="75"/>
        <v/>
      </c>
      <c r="BR89" t="str">
        <f t="shared" si="76"/>
        <v/>
      </c>
      <c r="BS89" t="str">
        <f t="shared" si="77"/>
        <v/>
      </c>
      <c r="BT89" t="str">
        <f t="shared" si="52"/>
        <v/>
      </c>
      <c r="BU89" t="str">
        <f t="shared" si="78"/>
        <v/>
      </c>
      <c r="BV89" t="str">
        <f t="shared" si="79"/>
        <v/>
      </c>
      <c r="BW89" t="str">
        <f t="shared" si="80"/>
        <v/>
      </c>
      <c r="BX89" t="str">
        <f t="shared" si="81"/>
        <v/>
      </c>
      <c r="BY89" t="str">
        <f t="shared" si="82"/>
        <v/>
      </c>
      <c r="BZ89" t="str">
        <f t="shared" si="83"/>
        <v/>
      </c>
      <c r="CA89" t="str">
        <f t="shared" si="84"/>
        <v/>
      </c>
      <c r="CB89" t="str">
        <f t="shared" si="53"/>
        <v/>
      </c>
      <c r="CC89" t="str">
        <f t="shared" si="85"/>
        <v/>
      </c>
      <c r="CD89" t="str">
        <f t="shared" si="54"/>
        <v/>
      </c>
      <c r="CE89" t="str">
        <f t="shared" si="86"/>
        <v>Bowles 5th edition</v>
      </c>
      <c r="CF89">
        <f t="shared" si="55"/>
        <v>192</v>
      </c>
      <c r="CG89" t="str">
        <f t="shared" si="87"/>
        <v/>
      </c>
      <c r="CH89" t="str">
        <f t="shared" si="56"/>
        <v/>
      </c>
      <c r="CI89" t="str">
        <f t="shared" si="88"/>
        <v/>
      </c>
      <c r="CJ89" t="str">
        <f t="shared" si="89"/>
        <v/>
      </c>
    </row>
    <row r="90" spans="2:88" x14ac:dyDescent="0.3">
      <c r="B90" t="str">
        <f t="shared" si="57"/>
        <v>36.831347-76.119652</v>
      </c>
      <c r="C90" t="s">
        <v>12</v>
      </c>
      <c r="D90">
        <v>36.831347000000001</v>
      </c>
      <c r="E90">
        <v>-76.119652000000002</v>
      </c>
      <c r="F90">
        <v>5</v>
      </c>
      <c r="G90" t="str">
        <f t="shared" si="58"/>
        <v>-93-9536.831347-76.119652</v>
      </c>
      <c r="H90">
        <f t="shared" si="59"/>
        <v>-93</v>
      </c>
      <c r="I90">
        <v>-95</v>
      </c>
      <c r="J90" t="s">
        <v>21</v>
      </c>
      <c r="L90" t="s">
        <v>8</v>
      </c>
      <c r="M90">
        <v>19</v>
      </c>
      <c r="Q90" s="1" t="str">
        <f t="shared" si="60"/>
        <v/>
      </c>
      <c r="S90" t="str">
        <f t="shared" si="49"/>
        <v>Sand</v>
      </c>
      <c r="T90">
        <f t="shared" si="61"/>
        <v>1</v>
      </c>
      <c r="AA90">
        <v>80</v>
      </c>
      <c r="AB90" s="1">
        <f t="shared" si="62"/>
        <v>25</v>
      </c>
      <c r="AC90">
        <f t="shared" si="63"/>
        <v>10</v>
      </c>
      <c r="AD90" t="str">
        <f t="shared" si="64"/>
        <v/>
      </c>
      <c r="AE90" t="str">
        <f t="shared" si="65"/>
        <v/>
      </c>
      <c r="AG90" s="21" t="str">
        <f t="shared" si="66"/>
        <v/>
      </c>
      <c r="AI90" s="6" t="str">
        <f t="shared" si="67"/>
        <v/>
      </c>
      <c r="AM90" s="7" t="str">
        <f t="shared" si="68"/>
        <v/>
      </c>
      <c r="AQ90" s="8" t="str">
        <f t="shared" si="69"/>
        <v/>
      </c>
      <c r="AW90" s="25" t="str">
        <f t="shared" si="70"/>
        <v/>
      </c>
      <c r="AZ90" s="12" t="str">
        <f t="shared" si="71"/>
        <v/>
      </c>
      <c r="BI90" s="17" t="str">
        <f t="shared" si="72"/>
        <v/>
      </c>
      <c r="BM90" t="str">
        <f t="shared" si="73"/>
        <v>SPT Relationship</v>
      </c>
      <c r="BN90">
        <f t="shared" si="50"/>
        <v>126</v>
      </c>
      <c r="BO90" t="str">
        <f t="shared" si="74"/>
        <v>Wolff, 1989</v>
      </c>
      <c r="BP90">
        <f t="shared" si="51"/>
        <v>30</v>
      </c>
      <c r="BQ90" t="str">
        <f t="shared" si="75"/>
        <v/>
      </c>
      <c r="BR90" t="str">
        <f t="shared" si="76"/>
        <v/>
      </c>
      <c r="BS90" t="str">
        <f t="shared" si="77"/>
        <v/>
      </c>
      <c r="BT90" t="str">
        <f t="shared" si="52"/>
        <v/>
      </c>
      <c r="BU90" t="str">
        <f t="shared" si="78"/>
        <v/>
      </c>
      <c r="BV90" t="str">
        <f t="shared" si="79"/>
        <v/>
      </c>
      <c r="BW90" t="str">
        <f t="shared" si="80"/>
        <v/>
      </c>
      <c r="BX90" t="str">
        <f t="shared" si="81"/>
        <v/>
      </c>
      <c r="BY90" t="str">
        <f t="shared" si="82"/>
        <v/>
      </c>
      <c r="BZ90" t="str">
        <f t="shared" si="83"/>
        <v/>
      </c>
      <c r="CA90" t="str">
        <f t="shared" si="84"/>
        <v/>
      </c>
      <c r="CB90" t="str">
        <f t="shared" si="53"/>
        <v/>
      </c>
      <c r="CC90" t="str">
        <f t="shared" si="85"/>
        <v/>
      </c>
      <c r="CD90" t="str">
        <f t="shared" si="54"/>
        <v/>
      </c>
      <c r="CE90" t="str">
        <f t="shared" si="86"/>
        <v>Bowles 5th edition</v>
      </c>
      <c r="CF90">
        <f t="shared" si="55"/>
        <v>256</v>
      </c>
      <c r="CG90" t="str">
        <f t="shared" si="87"/>
        <v/>
      </c>
      <c r="CH90" t="str">
        <f t="shared" si="56"/>
        <v/>
      </c>
      <c r="CI90" t="str">
        <f t="shared" si="88"/>
        <v/>
      </c>
      <c r="CJ90" t="str">
        <f t="shared" si="89"/>
        <v/>
      </c>
    </row>
    <row r="91" spans="2:88" x14ac:dyDescent="0.3">
      <c r="B91" t="str">
        <f t="shared" si="57"/>
        <v>36.831347-76.119652</v>
      </c>
      <c r="C91" t="s">
        <v>12</v>
      </c>
      <c r="D91">
        <v>36.831347000000001</v>
      </c>
      <c r="E91">
        <v>-76.119652000000002</v>
      </c>
      <c r="F91">
        <v>5</v>
      </c>
      <c r="G91" t="str">
        <f t="shared" si="58"/>
        <v>-98-10036.831347-76.119652</v>
      </c>
      <c r="H91">
        <f t="shared" si="59"/>
        <v>-98</v>
      </c>
      <c r="I91">
        <v>-100</v>
      </c>
      <c r="J91" t="s">
        <v>21</v>
      </c>
      <c r="L91" t="s">
        <v>8</v>
      </c>
      <c r="M91">
        <v>24</v>
      </c>
      <c r="N91">
        <v>28</v>
      </c>
      <c r="Q91" s="1" t="str">
        <f t="shared" si="60"/>
        <v/>
      </c>
      <c r="R91">
        <v>20</v>
      </c>
      <c r="S91" t="str">
        <f t="shared" si="49"/>
        <v>Sand</v>
      </c>
      <c r="T91">
        <f t="shared" si="61"/>
        <v>2</v>
      </c>
      <c r="AA91">
        <v>80</v>
      </c>
      <c r="AB91" s="1">
        <f t="shared" si="62"/>
        <v>32</v>
      </c>
      <c r="AC91">
        <f t="shared" si="63"/>
        <v>13</v>
      </c>
      <c r="AD91" t="str">
        <f t="shared" si="64"/>
        <v/>
      </c>
      <c r="AE91" t="str">
        <f t="shared" si="65"/>
        <v/>
      </c>
      <c r="AG91" s="21" t="str">
        <f t="shared" si="66"/>
        <v/>
      </c>
      <c r="AI91" s="6" t="str">
        <f t="shared" si="67"/>
        <v/>
      </c>
      <c r="AM91" s="7" t="str">
        <f t="shared" si="68"/>
        <v/>
      </c>
      <c r="AQ91" s="8" t="str">
        <f t="shared" si="69"/>
        <v/>
      </c>
      <c r="AW91" s="25" t="str">
        <f t="shared" si="70"/>
        <v/>
      </c>
      <c r="AZ91" s="12" t="str">
        <f t="shared" si="71"/>
        <v/>
      </c>
      <c r="BI91" s="17" t="str">
        <f t="shared" si="72"/>
        <v/>
      </c>
      <c r="BM91" t="str">
        <f t="shared" si="73"/>
        <v>SPT Relationship</v>
      </c>
      <c r="BN91">
        <f t="shared" si="50"/>
        <v>128</v>
      </c>
      <c r="BO91" t="str">
        <f t="shared" si="74"/>
        <v>Wolff, 1989</v>
      </c>
      <c r="BP91">
        <f t="shared" si="51"/>
        <v>30</v>
      </c>
      <c r="BQ91" t="str">
        <f t="shared" si="75"/>
        <v/>
      </c>
      <c r="BR91" t="str">
        <f t="shared" si="76"/>
        <v/>
      </c>
      <c r="BS91" t="str">
        <f t="shared" si="77"/>
        <v/>
      </c>
      <c r="BT91" t="str">
        <f t="shared" si="52"/>
        <v/>
      </c>
      <c r="BU91" t="str">
        <f t="shared" si="78"/>
        <v/>
      </c>
      <c r="BV91" t="str">
        <f t="shared" si="79"/>
        <v/>
      </c>
      <c r="BW91" t="str">
        <f t="shared" si="80"/>
        <v/>
      </c>
      <c r="BX91" t="str">
        <f t="shared" si="81"/>
        <v/>
      </c>
      <c r="BY91" t="str">
        <f t="shared" si="82"/>
        <v/>
      </c>
      <c r="BZ91" t="str">
        <f t="shared" si="83"/>
        <v/>
      </c>
      <c r="CA91" t="str">
        <f t="shared" si="84"/>
        <v/>
      </c>
      <c r="CB91" t="str">
        <f t="shared" si="53"/>
        <v/>
      </c>
      <c r="CC91" t="str">
        <f t="shared" si="85"/>
        <v/>
      </c>
      <c r="CD91" t="str">
        <f t="shared" si="54"/>
        <v/>
      </c>
      <c r="CE91" t="str">
        <f t="shared" si="86"/>
        <v>Bowles 5th edition</v>
      </c>
      <c r="CF91">
        <f t="shared" si="55"/>
        <v>301</v>
      </c>
      <c r="CG91" t="str">
        <f t="shared" si="87"/>
        <v>Relationship (Gs=2.67)</v>
      </c>
      <c r="CH91">
        <f t="shared" si="56"/>
        <v>0.75</v>
      </c>
      <c r="CI91" t="str">
        <f t="shared" si="88"/>
        <v/>
      </c>
      <c r="CJ91" t="str">
        <f t="shared" si="89"/>
        <v/>
      </c>
    </row>
    <row r="92" spans="2:88" x14ac:dyDescent="0.3">
      <c r="B92" t="str">
        <f t="shared" si="57"/>
        <v>36.831347-76.119652</v>
      </c>
      <c r="C92" t="s">
        <v>12</v>
      </c>
      <c r="D92">
        <v>36.831347000000001</v>
      </c>
      <c r="E92">
        <v>-76.119652000000002</v>
      </c>
      <c r="F92">
        <v>5</v>
      </c>
      <c r="G92" t="str">
        <f t="shared" si="58"/>
        <v>-103-10536.831347-76.119652</v>
      </c>
      <c r="H92">
        <f t="shared" si="59"/>
        <v>-103</v>
      </c>
      <c r="I92">
        <v>-105</v>
      </c>
      <c r="J92" t="s">
        <v>21</v>
      </c>
      <c r="L92" t="s">
        <v>8</v>
      </c>
      <c r="M92">
        <v>20</v>
      </c>
      <c r="Q92" s="1" t="str">
        <f t="shared" si="60"/>
        <v/>
      </c>
      <c r="S92" t="str">
        <f t="shared" si="49"/>
        <v>Sand</v>
      </c>
      <c r="T92">
        <f t="shared" si="61"/>
        <v>1</v>
      </c>
      <c r="AA92">
        <v>80</v>
      </c>
      <c r="AB92" s="1">
        <f t="shared" si="62"/>
        <v>27</v>
      </c>
      <c r="AC92">
        <f t="shared" si="63"/>
        <v>11</v>
      </c>
      <c r="AD92" t="str">
        <f t="shared" si="64"/>
        <v/>
      </c>
      <c r="AE92" t="str">
        <f t="shared" si="65"/>
        <v/>
      </c>
      <c r="AG92" s="21" t="str">
        <f t="shared" si="66"/>
        <v/>
      </c>
      <c r="AI92" s="6" t="str">
        <f t="shared" si="67"/>
        <v/>
      </c>
      <c r="AM92" s="7" t="str">
        <f t="shared" si="68"/>
        <v/>
      </c>
      <c r="AQ92" s="8" t="str">
        <f t="shared" si="69"/>
        <v/>
      </c>
      <c r="AW92" s="25" t="str">
        <f t="shared" si="70"/>
        <v/>
      </c>
      <c r="AZ92" s="12" t="str">
        <f t="shared" si="71"/>
        <v/>
      </c>
      <c r="BI92" s="17" t="str">
        <f t="shared" si="72"/>
        <v/>
      </c>
      <c r="BM92" t="str">
        <f t="shared" si="73"/>
        <v>SPT Relationship</v>
      </c>
      <c r="BN92">
        <f t="shared" si="50"/>
        <v>126</v>
      </c>
      <c r="BO92" t="str">
        <f t="shared" si="74"/>
        <v>Wolff, 1989</v>
      </c>
      <c r="BP92">
        <f t="shared" si="51"/>
        <v>30</v>
      </c>
      <c r="BQ92" t="str">
        <f t="shared" si="75"/>
        <v/>
      </c>
      <c r="BR92" t="str">
        <f t="shared" si="76"/>
        <v/>
      </c>
      <c r="BS92" t="str">
        <f t="shared" si="77"/>
        <v/>
      </c>
      <c r="BT92" t="str">
        <f t="shared" si="52"/>
        <v/>
      </c>
      <c r="BU92" t="str">
        <f t="shared" si="78"/>
        <v/>
      </c>
      <c r="BV92" t="str">
        <f t="shared" si="79"/>
        <v/>
      </c>
      <c r="BW92" t="str">
        <f t="shared" si="80"/>
        <v/>
      </c>
      <c r="BX92" t="str">
        <f t="shared" si="81"/>
        <v/>
      </c>
      <c r="BY92" t="str">
        <f t="shared" si="82"/>
        <v/>
      </c>
      <c r="BZ92" t="str">
        <f t="shared" si="83"/>
        <v/>
      </c>
      <c r="CA92" t="str">
        <f t="shared" si="84"/>
        <v/>
      </c>
      <c r="CB92" t="str">
        <f t="shared" si="53"/>
        <v/>
      </c>
      <c r="CC92" t="str">
        <f t="shared" si="85"/>
        <v/>
      </c>
      <c r="CD92" t="str">
        <f t="shared" si="54"/>
        <v/>
      </c>
      <c r="CE92" t="str">
        <f t="shared" si="86"/>
        <v>Bowles 5th edition</v>
      </c>
      <c r="CF92">
        <f t="shared" si="55"/>
        <v>269</v>
      </c>
      <c r="CG92" t="str">
        <f t="shared" si="87"/>
        <v/>
      </c>
      <c r="CH92" t="str">
        <f t="shared" si="56"/>
        <v/>
      </c>
      <c r="CI92" t="str">
        <f t="shared" si="88"/>
        <v/>
      </c>
      <c r="CJ92" t="str">
        <f t="shared" si="89"/>
        <v/>
      </c>
    </row>
    <row r="93" spans="2:88" x14ac:dyDescent="0.3">
      <c r="B93" t="str">
        <f t="shared" si="57"/>
        <v>36.831347-76.119652</v>
      </c>
      <c r="C93" t="s">
        <v>12</v>
      </c>
      <c r="D93">
        <v>36.831347000000001</v>
      </c>
      <c r="E93">
        <v>-76.119652000000002</v>
      </c>
      <c r="F93">
        <v>5</v>
      </c>
      <c r="G93" t="str">
        <f t="shared" si="58"/>
        <v>-108-11036.831347-76.119652</v>
      </c>
      <c r="H93">
        <f t="shared" si="59"/>
        <v>-108</v>
      </c>
      <c r="I93">
        <v>-110</v>
      </c>
      <c r="J93" t="s">
        <v>21</v>
      </c>
      <c r="L93" t="s">
        <v>11</v>
      </c>
      <c r="M93">
        <v>20</v>
      </c>
      <c r="Q93" s="1" t="str">
        <f t="shared" si="60"/>
        <v/>
      </c>
      <c r="S93" t="str">
        <f t="shared" si="49"/>
        <v>Clay</v>
      </c>
      <c r="T93">
        <f t="shared" si="61"/>
        <v>1</v>
      </c>
      <c r="AA93">
        <v>80</v>
      </c>
      <c r="AB93" s="1">
        <f t="shared" si="62"/>
        <v>27</v>
      </c>
      <c r="AC93">
        <f t="shared" si="63"/>
        <v>10</v>
      </c>
      <c r="AD93" t="str">
        <f t="shared" si="64"/>
        <v/>
      </c>
      <c r="AE93" t="str">
        <f t="shared" si="65"/>
        <v/>
      </c>
      <c r="AG93" s="21" t="str">
        <f t="shared" si="66"/>
        <v/>
      </c>
      <c r="AI93" s="6" t="str">
        <f t="shared" si="67"/>
        <v/>
      </c>
      <c r="AM93" s="7" t="str">
        <f t="shared" si="68"/>
        <v/>
      </c>
      <c r="AQ93" s="8" t="str">
        <f t="shared" si="69"/>
        <v/>
      </c>
      <c r="AW93" s="25" t="str">
        <f t="shared" si="70"/>
        <v/>
      </c>
      <c r="AZ93" s="12" t="str">
        <f t="shared" si="71"/>
        <v/>
      </c>
      <c r="BI93" s="17" t="str">
        <f t="shared" si="72"/>
        <v/>
      </c>
      <c r="BM93" t="str">
        <f t="shared" si="73"/>
        <v>SPT Relationship</v>
      </c>
      <c r="BN93">
        <f t="shared" si="50"/>
        <v>126</v>
      </c>
      <c r="BO93" t="str">
        <f t="shared" si="74"/>
        <v>Wolff, 1989</v>
      </c>
      <c r="BP93">
        <f t="shared" si="51"/>
        <v>30</v>
      </c>
      <c r="BQ93" t="str">
        <f t="shared" si="75"/>
        <v/>
      </c>
      <c r="BR93" t="str">
        <f t="shared" si="76"/>
        <v/>
      </c>
      <c r="BS93" t="str">
        <f t="shared" si="77"/>
        <v>Stroud 1974 (K=3.5)</v>
      </c>
      <c r="BT93">
        <f t="shared" si="52"/>
        <v>1974</v>
      </c>
      <c r="BU93" t="str">
        <f t="shared" si="78"/>
        <v/>
      </c>
      <c r="BV93" t="str">
        <f t="shared" si="79"/>
        <v/>
      </c>
      <c r="BW93" t="str">
        <f t="shared" si="80"/>
        <v/>
      </c>
      <c r="BX93" t="str">
        <f t="shared" si="81"/>
        <v/>
      </c>
      <c r="BY93" t="str">
        <f t="shared" si="82"/>
        <v/>
      </c>
      <c r="BZ93" t="str">
        <f t="shared" si="83"/>
        <v/>
      </c>
      <c r="CA93" t="str">
        <f t="shared" si="84"/>
        <v/>
      </c>
      <c r="CB93" t="str">
        <f t="shared" si="53"/>
        <v/>
      </c>
      <c r="CC93" t="str">
        <f t="shared" si="85"/>
        <v/>
      </c>
      <c r="CD93" t="str">
        <f t="shared" si="54"/>
        <v/>
      </c>
      <c r="CE93" t="str">
        <f t="shared" si="86"/>
        <v/>
      </c>
      <c r="CF93" t="str">
        <f t="shared" si="55"/>
        <v/>
      </c>
      <c r="CG93" t="str">
        <f t="shared" si="87"/>
        <v/>
      </c>
      <c r="CH93" t="str">
        <f t="shared" si="56"/>
        <v/>
      </c>
      <c r="CI93" t="str">
        <f t="shared" si="88"/>
        <v/>
      </c>
      <c r="CJ93" t="str">
        <f t="shared" si="89"/>
        <v/>
      </c>
    </row>
    <row r="94" spans="2:88" x14ac:dyDescent="0.3">
      <c r="B94" t="str">
        <f t="shared" si="57"/>
        <v>36.831347-76.119652</v>
      </c>
      <c r="C94" t="s">
        <v>12</v>
      </c>
      <c r="D94">
        <v>36.831347000000001</v>
      </c>
      <c r="E94">
        <v>-76.119652000000002</v>
      </c>
      <c r="F94">
        <v>5</v>
      </c>
      <c r="G94" t="str">
        <f t="shared" si="58"/>
        <v>-113-11536.831347-76.119652</v>
      </c>
      <c r="H94">
        <f t="shared" si="59"/>
        <v>-113</v>
      </c>
      <c r="I94">
        <v>-115</v>
      </c>
      <c r="J94" t="s">
        <v>21</v>
      </c>
      <c r="L94" t="s">
        <v>16</v>
      </c>
      <c r="M94">
        <v>42</v>
      </c>
      <c r="Q94" s="1" t="str">
        <f t="shared" si="60"/>
        <v/>
      </c>
      <c r="S94" t="str">
        <f t="shared" si="49"/>
        <v>Sand</v>
      </c>
      <c r="T94">
        <f t="shared" si="61"/>
        <v>1</v>
      </c>
      <c r="AA94">
        <v>80</v>
      </c>
      <c r="AB94" s="1">
        <f t="shared" si="62"/>
        <v>56</v>
      </c>
      <c r="AC94">
        <f t="shared" si="63"/>
        <v>22</v>
      </c>
      <c r="AD94" t="str">
        <f t="shared" si="64"/>
        <v/>
      </c>
      <c r="AE94" t="str">
        <f t="shared" si="65"/>
        <v/>
      </c>
      <c r="AG94" s="21" t="str">
        <f t="shared" si="66"/>
        <v/>
      </c>
      <c r="AI94" s="6" t="str">
        <f t="shared" si="67"/>
        <v/>
      </c>
      <c r="AM94" s="7" t="str">
        <f t="shared" si="68"/>
        <v/>
      </c>
      <c r="AQ94" s="8" t="str">
        <f t="shared" si="69"/>
        <v/>
      </c>
      <c r="AW94" s="25" t="str">
        <f t="shared" si="70"/>
        <v/>
      </c>
      <c r="AZ94" s="12" t="str">
        <f t="shared" si="71"/>
        <v/>
      </c>
      <c r="BI94" s="17" t="str">
        <f t="shared" si="72"/>
        <v/>
      </c>
      <c r="BM94" t="str">
        <f t="shared" si="73"/>
        <v>SPT Relationship</v>
      </c>
      <c r="BN94">
        <f t="shared" si="50"/>
        <v>135</v>
      </c>
      <c r="BO94" t="str">
        <f t="shared" si="74"/>
        <v>Wolff, 1989</v>
      </c>
      <c r="BP94">
        <f t="shared" si="51"/>
        <v>33</v>
      </c>
      <c r="BQ94" t="str">
        <f t="shared" si="75"/>
        <v/>
      </c>
      <c r="BR94" t="str">
        <f t="shared" si="76"/>
        <v/>
      </c>
      <c r="BS94" t="str">
        <f t="shared" si="77"/>
        <v/>
      </c>
      <c r="BT94" t="str">
        <f t="shared" si="52"/>
        <v/>
      </c>
      <c r="BU94" t="str">
        <f t="shared" si="78"/>
        <v/>
      </c>
      <c r="BV94" t="str">
        <f t="shared" si="79"/>
        <v/>
      </c>
      <c r="BW94" t="str">
        <f t="shared" si="80"/>
        <v/>
      </c>
      <c r="BX94" t="str">
        <f t="shared" si="81"/>
        <v/>
      </c>
      <c r="BY94" t="str">
        <f t="shared" si="82"/>
        <v/>
      </c>
      <c r="BZ94" t="str">
        <f t="shared" si="83"/>
        <v/>
      </c>
      <c r="CA94" t="str">
        <f t="shared" si="84"/>
        <v/>
      </c>
      <c r="CB94" t="str">
        <f t="shared" si="53"/>
        <v/>
      </c>
      <c r="CC94" t="str">
        <f t="shared" si="85"/>
        <v/>
      </c>
      <c r="CD94" t="str">
        <f t="shared" si="54"/>
        <v/>
      </c>
      <c r="CE94" t="str">
        <f t="shared" si="86"/>
        <v>Bowles 5th edition</v>
      </c>
      <c r="CF94">
        <f t="shared" si="55"/>
        <v>454</v>
      </c>
      <c r="CG94" t="str">
        <f t="shared" si="87"/>
        <v/>
      </c>
      <c r="CH94" t="str">
        <f t="shared" si="56"/>
        <v/>
      </c>
      <c r="CI94" t="str">
        <f t="shared" si="88"/>
        <v/>
      </c>
      <c r="CJ94" t="str">
        <f t="shared" si="89"/>
        <v/>
      </c>
    </row>
    <row r="95" spans="2:88" x14ac:dyDescent="0.3">
      <c r="B95" t="str">
        <f t="shared" si="57"/>
        <v>36.831347-76.119652</v>
      </c>
      <c r="C95" t="s">
        <v>12</v>
      </c>
      <c r="D95">
        <v>36.831347000000001</v>
      </c>
      <c r="E95">
        <v>-76.119652000000002</v>
      </c>
      <c r="F95">
        <v>5</v>
      </c>
      <c r="G95" t="str">
        <f t="shared" si="58"/>
        <v>-118-12036.831347-76.119652</v>
      </c>
      <c r="H95">
        <f t="shared" si="59"/>
        <v>-118</v>
      </c>
      <c r="I95">
        <v>-120</v>
      </c>
      <c r="J95" t="s">
        <v>21</v>
      </c>
      <c r="L95" t="s">
        <v>16</v>
      </c>
      <c r="M95">
        <v>36</v>
      </c>
      <c r="N95">
        <v>20</v>
      </c>
      <c r="Q95" s="1" t="str">
        <f t="shared" si="60"/>
        <v/>
      </c>
      <c r="R95">
        <v>20</v>
      </c>
      <c r="S95" t="str">
        <f t="shared" si="49"/>
        <v>Sand</v>
      </c>
      <c r="T95">
        <f t="shared" si="61"/>
        <v>2</v>
      </c>
      <c r="AA95">
        <v>80</v>
      </c>
      <c r="AB95" s="1">
        <f t="shared" si="62"/>
        <v>48</v>
      </c>
      <c r="AC95">
        <f t="shared" si="63"/>
        <v>18</v>
      </c>
      <c r="AD95" t="str">
        <f t="shared" si="64"/>
        <v/>
      </c>
      <c r="AE95" t="str">
        <f t="shared" si="65"/>
        <v/>
      </c>
      <c r="AG95" s="21" t="str">
        <f t="shared" si="66"/>
        <v/>
      </c>
      <c r="AI95" s="6" t="str">
        <f t="shared" si="67"/>
        <v/>
      </c>
      <c r="AM95" s="7" t="str">
        <f t="shared" si="68"/>
        <v/>
      </c>
      <c r="AQ95" s="8" t="str">
        <f t="shared" si="69"/>
        <v/>
      </c>
      <c r="AW95" s="25" t="str">
        <f t="shared" si="70"/>
        <v/>
      </c>
      <c r="AZ95" s="12" t="str">
        <f t="shared" si="71"/>
        <v/>
      </c>
      <c r="BI95" s="17" t="str">
        <f t="shared" si="72"/>
        <v/>
      </c>
      <c r="BM95" t="str">
        <f t="shared" si="73"/>
        <v>SPT Relationship</v>
      </c>
      <c r="BN95">
        <f t="shared" si="50"/>
        <v>134</v>
      </c>
      <c r="BO95" t="str">
        <f t="shared" si="74"/>
        <v>Wolff, 1989</v>
      </c>
      <c r="BP95">
        <f t="shared" si="51"/>
        <v>32</v>
      </c>
      <c r="BQ95" t="str">
        <f t="shared" si="75"/>
        <v/>
      </c>
      <c r="BR95" t="str">
        <f t="shared" si="76"/>
        <v/>
      </c>
      <c r="BS95" t="str">
        <f t="shared" si="77"/>
        <v/>
      </c>
      <c r="BT95" t="str">
        <f t="shared" si="52"/>
        <v/>
      </c>
      <c r="BU95" t="str">
        <f t="shared" si="78"/>
        <v/>
      </c>
      <c r="BV95" t="str">
        <f t="shared" si="79"/>
        <v/>
      </c>
      <c r="BW95" t="str">
        <f t="shared" si="80"/>
        <v/>
      </c>
      <c r="BX95" t="str">
        <f t="shared" si="81"/>
        <v/>
      </c>
      <c r="BY95" t="str">
        <f t="shared" si="82"/>
        <v/>
      </c>
      <c r="BZ95" t="str">
        <f t="shared" si="83"/>
        <v/>
      </c>
      <c r="CA95" t="str">
        <f t="shared" si="84"/>
        <v/>
      </c>
      <c r="CB95" t="str">
        <f t="shared" si="53"/>
        <v/>
      </c>
      <c r="CC95" t="str">
        <f t="shared" si="85"/>
        <v/>
      </c>
      <c r="CD95" t="str">
        <f t="shared" si="54"/>
        <v/>
      </c>
      <c r="CE95" t="str">
        <f t="shared" si="86"/>
        <v>Bowles 5th edition</v>
      </c>
      <c r="CF95">
        <f t="shared" si="55"/>
        <v>403</v>
      </c>
      <c r="CG95" t="str">
        <f t="shared" si="87"/>
        <v>Relationship (Gs=2.67)</v>
      </c>
      <c r="CH95">
        <f t="shared" si="56"/>
        <v>0.53</v>
      </c>
      <c r="CI95" t="str">
        <f t="shared" si="88"/>
        <v/>
      </c>
      <c r="CJ95" t="str">
        <f t="shared" si="89"/>
        <v/>
      </c>
    </row>
    <row r="96" spans="2:88" x14ac:dyDescent="0.3">
      <c r="B96" t="str">
        <f t="shared" si="57"/>
        <v>36.831347-76.119652</v>
      </c>
      <c r="C96" t="s">
        <v>12</v>
      </c>
      <c r="D96">
        <v>36.831347000000001</v>
      </c>
      <c r="E96">
        <v>-76.119652000000002</v>
      </c>
      <c r="F96">
        <v>5</v>
      </c>
      <c r="G96" t="str">
        <f t="shared" si="58"/>
        <v>-123-12536.831347-76.119652</v>
      </c>
      <c r="H96">
        <f t="shared" si="59"/>
        <v>-123</v>
      </c>
      <c r="I96">
        <v>-125</v>
      </c>
      <c r="J96" t="s">
        <v>21</v>
      </c>
      <c r="L96" t="s">
        <v>16</v>
      </c>
      <c r="M96">
        <v>37</v>
      </c>
      <c r="Q96" s="1" t="str">
        <f t="shared" si="60"/>
        <v/>
      </c>
      <c r="S96" t="str">
        <f t="shared" si="49"/>
        <v>Sand</v>
      </c>
      <c r="T96">
        <f t="shared" si="61"/>
        <v>1</v>
      </c>
      <c r="AA96">
        <v>80</v>
      </c>
      <c r="AB96" s="1">
        <f t="shared" si="62"/>
        <v>49</v>
      </c>
      <c r="AC96">
        <f t="shared" si="63"/>
        <v>18</v>
      </c>
      <c r="AD96" t="str">
        <f t="shared" si="64"/>
        <v/>
      </c>
      <c r="AE96" t="str">
        <f t="shared" si="65"/>
        <v/>
      </c>
      <c r="AG96" s="21" t="str">
        <f t="shared" si="66"/>
        <v/>
      </c>
      <c r="AI96" s="6" t="str">
        <f t="shared" si="67"/>
        <v/>
      </c>
      <c r="AM96" s="7" t="str">
        <f t="shared" si="68"/>
        <v/>
      </c>
      <c r="AQ96" s="8" t="str">
        <f t="shared" si="69"/>
        <v/>
      </c>
      <c r="AW96" s="25" t="str">
        <f t="shared" si="70"/>
        <v/>
      </c>
      <c r="AZ96" s="12" t="str">
        <f t="shared" si="71"/>
        <v/>
      </c>
      <c r="BI96" s="17" t="str">
        <f t="shared" si="72"/>
        <v/>
      </c>
      <c r="BM96" t="str">
        <f t="shared" si="73"/>
        <v>SPT Relationship</v>
      </c>
      <c r="BN96">
        <f t="shared" si="50"/>
        <v>134</v>
      </c>
      <c r="BO96" t="str">
        <f t="shared" si="74"/>
        <v>Wolff, 1989</v>
      </c>
      <c r="BP96">
        <f t="shared" si="51"/>
        <v>32</v>
      </c>
      <c r="BQ96" t="str">
        <f t="shared" si="75"/>
        <v/>
      </c>
      <c r="BR96" t="str">
        <f t="shared" si="76"/>
        <v/>
      </c>
      <c r="BS96" t="str">
        <f t="shared" si="77"/>
        <v/>
      </c>
      <c r="BT96" t="str">
        <f t="shared" si="52"/>
        <v/>
      </c>
      <c r="BU96" t="str">
        <f t="shared" si="78"/>
        <v/>
      </c>
      <c r="BV96" t="str">
        <f t="shared" si="79"/>
        <v/>
      </c>
      <c r="BW96" t="str">
        <f t="shared" si="80"/>
        <v/>
      </c>
      <c r="BX96" t="str">
        <f t="shared" si="81"/>
        <v/>
      </c>
      <c r="BY96" t="str">
        <f t="shared" si="82"/>
        <v/>
      </c>
      <c r="BZ96" t="str">
        <f t="shared" si="83"/>
        <v/>
      </c>
      <c r="CA96" t="str">
        <f t="shared" si="84"/>
        <v/>
      </c>
      <c r="CB96" t="str">
        <f t="shared" si="53"/>
        <v/>
      </c>
      <c r="CC96" t="str">
        <f t="shared" si="85"/>
        <v/>
      </c>
      <c r="CD96" t="str">
        <f t="shared" si="54"/>
        <v/>
      </c>
      <c r="CE96" t="str">
        <f t="shared" si="86"/>
        <v>Bowles 5th edition</v>
      </c>
      <c r="CF96">
        <f t="shared" si="55"/>
        <v>410</v>
      </c>
      <c r="CG96" t="str">
        <f t="shared" si="87"/>
        <v/>
      </c>
      <c r="CH96" t="str">
        <f t="shared" si="56"/>
        <v/>
      </c>
      <c r="CI96" t="str">
        <f t="shared" si="88"/>
        <v/>
      </c>
      <c r="CJ96" t="str">
        <f t="shared" si="89"/>
        <v/>
      </c>
    </row>
    <row r="97" spans="2:88" x14ac:dyDescent="0.3">
      <c r="B97" t="str">
        <f t="shared" si="57"/>
        <v>36.831347-76.119652</v>
      </c>
      <c r="C97" t="s">
        <v>12</v>
      </c>
      <c r="D97">
        <v>36.831347000000001</v>
      </c>
      <c r="E97">
        <v>-76.119652000000002</v>
      </c>
      <c r="F97">
        <v>5</v>
      </c>
      <c r="G97" t="str">
        <f t="shared" si="58"/>
        <v>-128-13036.831347-76.119652</v>
      </c>
      <c r="H97">
        <f t="shared" si="59"/>
        <v>-128</v>
      </c>
      <c r="I97">
        <v>-130</v>
      </c>
      <c r="J97" t="s">
        <v>21</v>
      </c>
      <c r="L97" t="s">
        <v>16</v>
      </c>
      <c r="M97">
        <v>44</v>
      </c>
      <c r="Q97" s="1" t="str">
        <f t="shared" si="60"/>
        <v/>
      </c>
      <c r="S97" t="str">
        <f t="shared" si="49"/>
        <v>Sand</v>
      </c>
      <c r="T97">
        <f t="shared" si="61"/>
        <v>1</v>
      </c>
      <c r="AA97">
        <v>80</v>
      </c>
      <c r="AB97" s="1">
        <f t="shared" si="62"/>
        <v>59</v>
      </c>
      <c r="AC97">
        <f t="shared" si="63"/>
        <v>22</v>
      </c>
      <c r="AD97" t="str">
        <f t="shared" si="64"/>
        <v/>
      </c>
      <c r="AE97" t="str">
        <f t="shared" si="65"/>
        <v/>
      </c>
      <c r="AG97" s="21" t="str">
        <f t="shared" si="66"/>
        <v/>
      </c>
      <c r="AI97" s="6" t="str">
        <f t="shared" si="67"/>
        <v/>
      </c>
      <c r="AM97" s="7" t="str">
        <f t="shared" si="68"/>
        <v/>
      </c>
      <c r="AQ97" s="8" t="str">
        <f t="shared" si="69"/>
        <v/>
      </c>
      <c r="AW97" s="25" t="str">
        <f t="shared" si="70"/>
        <v/>
      </c>
      <c r="AZ97" s="12" t="str">
        <f t="shared" si="71"/>
        <v/>
      </c>
      <c r="BI97" s="17" t="str">
        <f t="shared" si="72"/>
        <v/>
      </c>
      <c r="BM97" t="str">
        <f t="shared" si="73"/>
        <v>SPT Relationship</v>
      </c>
      <c r="BN97">
        <f t="shared" si="50"/>
        <v>136</v>
      </c>
      <c r="BO97" t="str">
        <f t="shared" si="74"/>
        <v>Wolff, 1989</v>
      </c>
      <c r="BP97">
        <f t="shared" si="51"/>
        <v>33</v>
      </c>
      <c r="BQ97" t="str">
        <f t="shared" si="75"/>
        <v/>
      </c>
      <c r="BR97" t="str">
        <f t="shared" si="76"/>
        <v/>
      </c>
      <c r="BS97" t="str">
        <f t="shared" si="77"/>
        <v/>
      </c>
      <c r="BT97" t="str">
        <f t="shared" si="52"/>
        <v/>
      </c>
      <c r="BU97" t="str">
        <f t="shared" si="78"/>
        <v/>
      </c>
      <c r="BV97" t="str">
        <f t="shared" si="79"/>
        <v/>
      </c>
      <c r="BW97" t="str">
        <f t="shared" si="80"/>
        <v/>
      </c>
      <c r="BX97" t="str">
        <f t="shared" si="81"/>
        <v/>
      </c>
      <c r="BY97" t="str">
        <f t="shared" si="82"/>
        <v/>
      </c>
      <c r="BZ97" t="str">
        <f t="shared" si="83"/>
        <v/>
      </c>
      <c r="CA97" t="str">
        <f t="shared" si="84"/>
        <v/>
      </c>
      <c r="CB97" t="str">
        <f t="shared" si="53"/>
        <v/>
      </c>
      <c r="CC97" t="str">
        <f t="shared" si="85"/>
        <v/>
      </c>
      <c r="CD97" t="str">
        <f t="shared" si="54"/>
        <v/>
      </c>
      <c r="CE97" t="str">
        <f t="shared" si="86"/>
        <v>Bowles 5th edition</v>
      </c>
      <c r="CF97">
        <f t="shared" si="55"/>
        <v>474</v>
      </c>
      <c r="CG97" t="str">
        <f t="shared" si="87"/>
        <v/>
      </c>
      <c r="CH97" t="str">
        <f t="shared" si="56"/>
        <v/>
      </c>
      <c r="CI97" t="str">
        <f t="shared" si="88"/>
        <v/>
      </c>
      <c r="CJ97" t="str">
        <f t="shared" si="89"/>
        <v/>
      </c>
    </row>
    <row r="98" spans="2:88" x14ac:dyDescent="0.3">
      <c r="B98" t="str">
        <f t="shared" si="57"/>
        <v>36.831347-76.119652</v>
      </c>
      <c r="C98" t="s">
        <v>12</v>
      </c>
      <c r="D98">
        <v>36.831347000000001</v>
      </c>
      <c r="E98">
        <v>-76.119652000000002</v>
      </c>
      <c r="F98">
        <v>5</v>
      </c>
      <c r="G98" t="str">
        <f t="shared" si="58"/>
        <v>-133-13536.831347-76.119652</v>
      </c>
      <c r="H98">
        <f t="shared" si="59"/>
        <v>-133</v>
      </c>
      <c r="I98">
        <v>-135</v>
      </c>
      <c r="J98" t="s">
        <v>21</v>
      </c>
      <c r="L98" t="s">
        <v>16</v>
      </c>
      <c r="M98">
        <v>43</v>
      </c>
      <c r="Q98" s="1" t="str">
        <f t="shared" si="60"/>
        <v/>
      </c>
      <c r="S98" t="str">
        <f t="shared" ref="S98:S135" si="90">IF(OR(L98="CL",L98="CH",L98="CL_ML"),"Clay",IF(OR(L98="SM",L98="SC",L98="SP",L98="SP-SM",L98="SP-SC",L98="SC-SM",L98="SW",L98="SW-SM"),"Sand",IF(OR(L98="GP", L98="GM",L98="GC", L98="GP-GM",L98="GW"),"Gravel",IF(OR(L98="ML",L98="MH"),"Silt",IF(OR(L98="OL",L98="OH",L98="PT"),"Organic")))))</f>
        <v>Sand</v>
      </c>
      <c r="T98">
        <f t="shared" si="61"/>
        <v>1</v>
      </c>
      <c r="AA98">
        <v>80</v>
      </c>
      <c r="AB98" s="1">
        <f t="shared" si="62"/>
        <v>57</v>
      </c>
      <c r="AC98">
        <f t="shared" si="63"/>
        <v>20</v>
      </c>
      <c r="AD98" t="str">
        <f t="shared" si="64"/>
        <v/>
      </c>
      <c r="AE98" t="str">
        <f t="shared" si="65"/>
        <v/>
      </c>
      <c r="AG98" s="21" t="str">
        <f t="shared" si="66"/>
        <v/>
      </c>
      <c r="AI98" s="6" t="str">
        <f t="shared" si="67"/>
        <v/>
      </c>
      <c r="AM98" s="7" t="str">
        <f t="shared" si="68"/>
        <v/>
      </c>
      <c r="AQ98" s="8" t="str">
        <f t="shared" si="69"/>
        <v/>
      </c>
      <c r="AW98" s="25" t="str">
        <f t="shared" si="70"/>
        <v/>
      </c>
      <c r="AZ98" s="12" t="str">
        <f t="shared" si="71"/>
        <v/>
      </c>
      <c r="BI98" s="17" t="str">
        <f t="shared" si="72"/>
        <v/>
      </c>
      <c r="BM98" t="str">
        <f t="shared" si="73"/>
        <v>SPT Relationship</v>
      </c>
      <c r="BN98">
        <f t="shared" ref="BN98:BN109" si="91">IFERROR(IF(M98=0,95,ROUND(95*M98^0.095,0)),"")</f>
        <v>136</v>
      </c>
      <c r="BO98" t="str">
        <f t="shared" si="74"/>
        <v>Wolff, 1989</v>
      </c>
      <c r="BP98">
        <f t="shared" ref="BP98:BP109" si="92">ROUNDDOWN(27.1+0.3*AC98-0.00054*AC98^2,0)</f>
        <v>32</v>
      </c>
      <c r="BQ98" t="str">
        <f t="shared" si="75"/>
        <v/>
      </c>
      <c r="BR98" t="str">
        <f t="shared" si="76"/>
        <v/>
      </c>
      <c r="BS98" t="str">
        <f t="shared" si="77"/>
        <v/>
      </c>
      <c r="BT98" t="str">
        <f t="shared" ref="BT98:BT109" si="93">IF(S98="Clay",ROUND((3.5*AB98)*20.885434273039,0),"")</f>
        <v/>
      </c>
      <c r="BU98" t="str">
        <f t="shared" si="78"/>
        <v/>
      </c>
      <c r="BV98" t="str">
        <f t="shared" si="79"/>
        <v/>
      </c>
      <c r="BW98" t="str">
        <f t="shared" si="80"/>
        <v/>
      </c>
      <c r="BX98" t="str">
        <f t="shared" si="81"/>
        <v/>
      </c>
      <c r="BY98" t="str">
        <f t="shared" si="82"/>
        <v/>
      </c>
      <c r="BZ98" t="str">
        <f t="shared" si="83"/>
        <v/>
      </c>
      <c r="CA98" t="str">
        <f t="shared" si="84"/>
        <v/>
      </c>
      <c r="CB98" t="str">
        <f t="shared" ref="CB98:CB109" si="94">IF(P98="","",-0.0000000002*P98^5+0.00000009*P98^4-0.00002*P98^3+0.0019*P98^2-0.0999*P98+2.2178)</f>
        <v/>
      </c>
      <c r="CC98" t="str">
        <f t="shared" si="85"/>
        <v/>
      </c>
      <c r="CD98" t="str">
        <f t="shared" ref="CD98:CD109" si="95">IF(AD98="","",(10^(1.11-1.62*AD98)*100)*20.885434273039)</f>
        <v/>
      </c>
      <c r="CE98" t="str">
        <f t="shared" si="86"/>
        <v>Bowles 5th edition</v>
      </c>
      <c r="CF98">
        <f t="shared" ref="CF98:CF109" si="96">IF(S98="Clay","",IF(AB98="","",ROUND((AB98+15)*6.4,0)))</f>
        <v>461</v>
      </c>
      <c r="CG98" t="str">
        <f t="shared" si="87"/>
        <v/>
      </c>
      <c r="CH98" t="str">
        <f t="shared" ref="CH98:CH109" si="97">IF(N98="","",ROUND(N98/100*2.67,2))</f>
        <v/>
      </c>
      <c r="CI98" t="str">
        <f t="shared" si="88"/>
        <v/>
      </c>
      <c r="CJ98" t="str">
        <f t="shared" si="89"/>
        <v/>
      </c>
    </row>
    <row r="99" spans="2:88" x14ac:dyDescent="0.3">
      <c r="B99" t="str">
        <f t="shared" si="57"/>
        <v>36.831347-76.119652</v>
      </c>
      <c r="C99" t="s">
        <v>12</v>
      </c>
      <c r="D99">
        <v>36.831347000000001</v>
      </c>
      <c r="E99">
        <v>-76.119652000000002</v>
      </c>
      <c r="F99">
        <v>5</v>
      </c>
      <c r="G99" t="str">
        <f t="shared" si="58"/>
        <v>-138-14036.831347-76.119652</v>
      </c>
      <c r="H99">
        <f t="shared" si="59"/>
        <v>-138</v>
      </c>
      <c r="I99">
        <v>-140</v>
      </c>
      <c r="J99" t="s">
        <v>21</v>
      </c>
      <c r="L99" t="s">
        <v>16</v>
      </c>
      <c r="M99">
        <v>44</v>
      </c>
      <c r="Q99" s="1" t="str">
        <f t="shared" si="60"/>
        <v/>
      </c>
      <c r="S99" t="str">
        <f t="shared" si="90"/>
        <v>Sand</v>
      </c>
      <c r="T99">
        <f t="shared" si="61"/>
        <v>1</v>
      </c>
      <c r="AA99">
        <v>80</v>
      </c>
      <c r="AB99" s="1">
        <f t="shared" si="62"/>
        <v>59</v>
      </c>
      <c r="AC99">
        <f t="shared" si="63"/>
        <v>21</v>
      </c>
      <c r="AD99" t="str">
        <f t="shared" si="64"/>
        <v/>
      </c>
      <c r="AE99" t="str">
        <f t="shared" si="65"/>
        <v/>
      </c>
      <c r="AG99" s="21" t="str">
        <f t="shared" si="66"/>
        <v/>
      </c>
      <c r="AI99" s="6" t="str">
        <f t="shared" si="67"/>
        <v/>
      </c>
      <c r="AM99" s="7" t="str">
        <f t="shared" si="68"/>
        <v/>
      </c>
      <c r="AQ99" s="8" t="str">
        <f t="shared" si="69"/>
        <v/>
      </c>
      <c r="AW99" s="25" t="str">
        <f t="shared" si="70"/>
        <v/>
      </c>
      <c r="AZ99" s="12" t="str">
        <f t="shared" si="71"/>
        <v/>
      </c>
      <c r="BI99" s="17" t="str">
        <f t="shared" si="72"/>
        <v/>
      </c>
      <c r="BM99" t="str">
        <f t="shared" si="73"/>
        <v>SPT Relationship</v>
      </c>
      <c r="BN99">
        <f t="shared" si="91"/>
        <v>136</v>
      </c>
      <c r="BO99" t="str">
        <f t="shared" si="74"/>
        <v>Wolff, 1989</v>
      </c>
      <c r="BP99">
        <f t="shared" si="92"/>
        <v>33</v>
      </c>
      <c r="BQ99" t="str">
        <f t="shared" si="75"/>
        <v/>
      </c>
      <c r="BR99" t="str">
        <f t="shared" si="76"/>
        <v/>
      </c>
      <c r="BS99" t="str">
        <f t="shared" si="77"/>
        <v/>
      </c>
      <c r="BT99" t="str">
        <f t="shared" si="93"/>
        <v/>
      </c>
      <c r="BU99" t="str">
        <f t="shared" si="78"/>
        <v/>
      </c>
      <c r="BV99" t="str">
        <f t="shared" si="79"/>
        <v/>
      </c>
      <c r="BW99" t="str">
        <f t="shared" si="80"/>
        <v/>
      </c>
      <c r="BX99" t="str">
        <f t="shared" si="81"/>
        <v/>
      </c>
      <c r="BY99" t="str">
        <f t="shared" si="82"/>
        <v/>
      </c>
      <c r="BZ99" t="str">
        <f t="shared" si="83"/>
        <v/>
      </c>
      <c r="CA99" t="str">
        <f t="shared" si="84"/>
        <v/>
      </c>
      <c r="CB99" t="str">
        <f t="shared" si="94"/>
        <v/>
      </c>
      <c r="CC99" t="str">
        <f t="shared" si="85"/>
        <v/>
      </c>
      <c r="CD99" t="str">
        <f t="shared" si="95"/>
        <v/>
      </c>
      <c r="CE99" t="str">
        <f t="shared" si="86"/>
        <v>Bowles 5th edition</v>
      </c>
      <c r="CF99">
        <f t="shared" si="96"/>
        <v>474</v>
      </c>
      <c r="CG99" t="str">
        <f t="shared" si="87"/>
        <v/>
      </c>
      <c r="CH99" t="str">
        <f t="shared" si="97"/>
        <v/>
      </c>
      <c r="CI99" t="str">
        <f t="shared" si="88"/>
        <v/>
      </c>
      <c r="CJ99" t="str">
        <f t="shared" si="89"/>
        <v/>
      </c>
    </row>
    <row r="100" spans="2:88" x14ac:dyDescent="0.3">
      <c r="B100" t="str">
        <f t="shared" si="57"/>
        <v>36.831347-76.119652</v>
      </c>
      <c r="C100" t="s">
        <v>12</v>
      </c>
      <c r="D100">
        <v>36.831347000000001</v>
      </c>
      <c r="E100">
        <v>-76.119652000000002</v>
      </c>
      <c r="F100">
        <v>5</v>
      </c>
      <c r="G100" t="str">
        <f t="shared" si="58"/>
        <v>-143-14536.831347-76.119652</v>
      </c>
      <c r="H100">
        <f t="shared" si="59"/>
        <v>-143</v>
      </c>
      <c r="I100">
        <v>-145</v>
      </c>
      <c r="J100" t="s">
        <v>21</v>
      </c>
      <c r="L100" t="s">
        <v>17</v>
      </c>
      <c r="M100">
        <v>50</v>
      </c>
      <c r="Q100" s="1" t="str">
        <f t="shared" si="60"/>
        <v/>
      </c>
      <c r="S100" t="str">
        <f t="shared" si="90"/>
        <v>Sand</v>
      </c>
      <c r="T100">
        <f t="shared" si="61"/>
        <v>1</v>
      </c>
      <c r="AA100">
        <v>80</v>
      </c>
      <c r="AB100" s="1">
        <f t="shared" si="62"/>
        <v>67</v>
      </c>
      <c r="AC100">
        <f t="shared" si="63"/>
        <v>23</v>
      </c>
      <c r="AD100" t="str">
        <f t="shared" si="64"/>
        <v/>
      </c>
      <c r="AE100" t="str">
        <f t="shared" si="65"/>
        <v/>
      </c>
      <c r="AG100" s="21" t="str">
        <f t="shared" si="66"/>
        <v/>
      </c>
      <c r="AI100" s="6" t="str">
        <f t="shared" si="67"/>
        <v/>
      </c>
      <c r="AM100" s="7" t="str">
        <f t="shared" si="68"/>
        <v/>
      </c>
      <c r="AQ100" s="8" t="str">
        <f t="shared" si="69"/>
        <v/>
      </c>
      <c r="AW100" s="25" t="str">
        <f t="shared" si="70"/>
        <v/>
      </c>
      <c r="AZ100" s="12" t="str">
        <f t="shared" si="71"/>
        <v/>
      </c>
      <c r="BI100" s="17" t="str">
        <f t="shared" si="72"/>
        <v/>
      </c>
      <c r="BM100" t="str">
        <f t="shared" si="73"/>
        <v>SPT Relationship</v>
      </c>
      <c r="BN100">
        <f t="shared" si="91"/>
        <v>138</v>
      </c>
      <c r="BO100" t="str">
        <f t="shared" si="74"/>
        <v>Wolff, 1989</v>
      </c>
      <c r="BP100">
        <f t="shared" si="92"/>
        <v>33</v>
      </c>
      <c r="BQ100" t="str">
        <f t="shared" si="75"/>
        <v/>
      </c>
      <c r="BR100" t="str">
        <f t="shared" si="76"/>
        <v/>
      </c>
      <c r="BS100" t="str">
        <f t="shared" si="77"/>
        <v/>
      </c>
      <c r="BT100" t="str">
        <f t="shared" si="93"/>
        <v/>
      </c>
      <c r="BU100" t="str">
        <f t="shared" si="78"/>
        <v/>
      </c>
      <c r="BV100" t="str">
        <f t="shared" si="79"/>
        <v/>
      </c>
      <c r="BW100" t="str">
        <f t="shared" si="80"/>
        <v/>
      </c>
      <c r="BX100" t="str">
        <f t="shared" si="81"/>
        <v/>
      </c>
      <c r="BY100" t="str">
        <f t="shared" si="82"/>
        <v/>
      </c>
      <c r="BZ100" t="str">
        <f t="shared" si="83"/>
        <v/>
      </c>
      <c r="CA100" t="str">
        <f t="shared" si="84"/>
        <v/>
      </c>
      <c r="CB100" t="str">
        <f t="shared" si="94"/>
        <v/>
      </c>
      <c r="CC100" t="str">
        <f t="shared" si="85"/>
        <v/>
      </c>
      <c r="CD100" t="str">
        <f t="shared" si="95"/>
        <v/>
      </c>
      <c r="CE100" t="str">
        <f t="shared" si="86"/>
        <v>Bowles 5th edition</v>
      </c>
      <c r="CF100">
        <f t="shared" si="96"/>
        <v>525</v>
      </c>
      <c r="CG100" t="str">
        <f t="shared" si="87"/>
        <v/>
      </c>
      <c r="CH100" t="str">
        <f t="shared" si="97"/>
        <v/>
      </c>
      <c r="CI100" t="str">
        <f t="shared" si="88"/>
        <v/>
      </c>
      <c r="CJ100" t="str">
        <f t="shared" si="89"/>
        <v/>
      </c>
    </row>
    <row r="101" spans="2:88" x14ac:dyDescent="0.3">
      <c r="B101" t="str">
        <f t="shared" si="57"/>
        <v>36.830969-76.119704</v>
      </c>
      <c r="C101" t="s">
        <v>13</v>
      </c>
      <c r="D101">
        <v>36.830969000000003</v>
      </c>
      <c r="E101">
        <v>-76.119703999999999</v>
      </c>
      <c r="F101">
        <v>8.5</v>
      </c>
      <c r="G101" t="str">
        <f t="shared" si="58"/>
        <v>8.56.536.830969-76.119704</v>
      </c>
      <c r="H101">
        <f t="shared" si="59"/>
        <v>8.5</v>
      </c>
      <c r="I101">
        <v>6.5</v>
      </c>
      <c r="J101" t="s">
        <v>21</v>
      </c>
      <c r="L101" t="s">
        <v>11</v>
      </c>
      <c r="M101">
        <v>9</v>
      </c>
      <c r="Q101" s="1" t="str">
        <f t="shared" si="60"/>
        <v/>
      </c>
      <c r="S101" t="str">
        <f t="shared" si="90"/>
        <v>Clay</v>
      </c>
      <c r="T101">
        <f t="shared" si="61"/>
        <v>1</v>
      </c>
      <c r="AA101">
        <v>80</v>
      </c>
      <c r="AB101" s="1">
        <f t="shared" si="62"/>
        <v>12</v>
      </c>
      <c r="AC101">
        <f t="shared" si="63"/>
        <v>36</v>
      </c>
      <c r="AD101" t="str">
        <f t="shared" si="64"/>
        <v/>
      </c>
      <c r="AE101" t="str">
        <f t="shared" si="65"/>
        <v/>
      </c>
      <c r="AG101" s="21" t="str">
        <f t="shared" si="66"/>
        <v/>
      </c>
      <c r="AI101" s="6" t="str">
        <f t="shared" si="67"/>
        <v/>
      </c>
      <c r="AM101" s="7" t="str">
        <f t="shared" si="68"/>
        <v/>
      </c>
      <c r="AQ101" s="8" t="str">
        <f t="shared" si="69"/>
        <v/>
      </c>
      <c r="AW101" s="25" t="str">
        <f t="shared" si="70"/>
        <v/>
      </c>
      <c r="AZ101" s="12" t="str">
        <f t="shared" si="71"/>
        <v/>
      </c>
      <c r="BI101" s="17" t="str">
        <f t="shared" si="72"/>
        <v/>
      </c>
      <c r="BM101" t="str">
        <f t="shared" si="73"/>
        <v>SPT Relationship</v>
      </c>
      <c r="BN101">
        <f t="shared" si="91"/>
        <v>117</v>
      </c>
      <c r="BO101" t="str">
        <f t="shared" si="74"/>
        <v>Wolff, 1989</v>
      </c>
      <c r="BP101">
        <f t="shared" si="92"/>
        <v>37</v>
      </c>
      <c r="BQ101" t="str">
        <f t="shared" si="75"/>
        <v/>
      </c>
      <c r="BR101" t="str">
        <f t="shared" si="76"/>
        <v/>
      </c>
      <c r="BS101" t="str">
        <f t="shared" si="77"/>
        <v>Stroud 1974 (K=3.5)</v>
      </c>
      <c r="BT101">
        <f t="shared" si="93"/>
        <v>877</v>
      </c>
      <c r="BU101" t="str">
        <f t="shared" si="78"/>
        <v/>
      </c>
      <c r="BV101" t="str">
        <f t="shared" si="79"/>
        <v/>
      </c>
      <c r="BW101" t="str">
        <f t="shared" si="80"/>
        <v/>
      </c>
      <c r="BX101" t="str">
        <f t="shared" si="81"/>
        <v/>
      </c>
      <c r="BY101" t="str">
        <f t="shared" si="82"/>
        <v/>
      </c>
      <c r="BZ101" t="str">
        <f t="shared" si="83"/>
        <v/>
      </c>
      <c r="CA101" t="str">
        <f t="shared" si="84"/>
        <v/>
      </c>
      <c r="CB101" t="str">
        <f t="shared" si="94"/>
        <v/>
      </c>
      <c r="CC101" t="str">
        <f t="shared" si="85"/>
        <v/>
      </c>
      <c r="CD101" t="str">
        <f t="shared" si="95"/>
        <v/>
      </c>
      <c r="CE101" t="str">
        <f t="shared" si="86"/>
        <v/>
      </c>
      <c r="CF101" t="str">
        <f t="shared" si="96"/>
        <v/>
      </c>
      <c r="CG101" t="str">
        <f t="shared" si="87"/>
        <v/>
      </c>
      <c r="CH101" t="str">
        <f t="shared" si="97"/>
        <v/>
      </c>
      <c r="CI101" t="str">
        <f t="shared" si="88"/>
        <v/>
      </c>
      <c r="CJ101" t="str">
        <f t="shared" si="89"/>
        <v/>
      </c>
    </row>
    <row r="102" spans="2:88" x14ac:dyDescent="0.3">
      <c r="B102" t="str">
        <f t="shared" si="57"/>
        <v>36.830969-76.119704</v>
      </c>
      <c r="C102" t="s">
        <v>13</v>
      </c>
      <c r="D102">
        <v>36.830969000000003</v>
      </c>
      <c r="E102">
        <v>-76.119703999999999</v>
      </c>
      <c r="F102">
        <v>8.5</v>
      </c>
      <c r="G102" t="str">
        <f t="shared" si="58"/>
        <v>6.54.536.830969-76.119704</v>
      </c>
      <c r="H102">
        <f t="shared" si="59"/>
        <v>6.5</v>
      </c>
      <c r="I102">
        <v>4.5</v>
      </c>
      <c r="J102" t="s">
        <v>21</v>
      </c>
      <c r="L102" t="s">
        <v>11</v>
      </c>
      <c r="M102">
        <v>7</v>
      </c>
      <c r="Q102" s="1" t="str">
        <f t="shared" si="60"/>
        <v/>
      </c>
      <c r="S102" t="str">
        <f t="shared" si="90"/>
        <v>Clay</v>
      </c>
      <c r="T102">
        <f t="shared" si="61"/>
        <v>1</v>
      </c>
      <c r="AA102">
        <v>80</v>
      </c>
      <c r="AB102" s="1">
        <f t="shared" si="62"/>
        <v>9</v>
      </c>
      <c r="AC102">
        <f t="shared" si="63"/>
        <v>19</v>
      </c>
      <c r="AD102" t="str">
        <f t="shared" si="64"/>
        <v/>
      </c>
      <c r="AE102" t="str">
        <f t="shared" si="65"/>
        <v/>
      </c>
      <c r="AG102" s="21" t="str">
        <f t="shared" si="66"/>
        <v/>
      </c>
      <c r="AI102" s="6" t="str">
        <f t="shared" si="67"/>
        <v/>
      </c>
      <c r="AM102" s="7" t="str">
        <f t="shared" si="68"/>
        <v/>
      </c>
      <c r="AQ102" s="8" t="str">
        <f t="shared" si="69"/>
        <v/>
      </c>
      <c r="AW102" s="25" t="str">
        <f t="shared" si="70"/>
        <v/>
      </c>
      <c r="AZ102" s="12" t="str">
        <f t="shared" si="71"/>
        <v/>
      </c>
      <c r="BI102" s="17" t="str">
        <f t="shared" si="72"/>
        <v/>
      </c>
      <c r="BM102" t="str">
        <f t="shared" si="73"/>
        <v>SPT Relationship</v>
      </c>
      <c r="BN102">
        <f t="shared" si="91"/>
        <v>114</v>
      </c>
      <c r="BO102" t="str">
        <f t="shared" si="74"/>
        <v>Wolff, 1989</v>
      </c>
      <c r="BP102">
        <f t="shared" si="92"/>
        <v>32</v>
      </c>
      <c r="BQ102" t="str">
        <f t="shared" si="75"/>
        <v/>
      </c>
      <c r="BR102" t="str">
        <f t="shared" si="76"/>
        <v/>
      </c>
      <c r="BS102" t="str">
        <f t="shared" si="77"/>
        <v>Stroud 1974 (K=3.5)</v>
      </c>
      <c r="BT102">
        <f t="shared" si="93"/>
        <v>658</v>
      </c>
      <c r="BU102" t="str">
        <f t="shared" si="78"/>
        <v/>
      </c>
      <c r="BV102" t="str">
        <f t="shared" si="79"/>
        <v/>
      </c>
      <c r="BW102" t="str">
        <f t="shared" si="80"/>
        <v/>
      </c>
      <c r="BX102" t="str">
        <f t="shared" si="81"/>
        <v/>
      </c>
      <c r="BY102" t="str">
        <f t="shared" si="82"/>
        <v/>
      </c>
      <c r="BZ102" t="str">
        <f t="shared" si="83"/>
        <v/>
      </c>
      <c r="CA102" t="str">
        <f t="shared" si="84"/>
        <v/>
      </c>
      <c r="CB102" t="str">
        <f t="shared" si="94"/>
        <v/>
      </c>
      <c r="CC102" t="str">
        <f t="shared" si="85"/>
        <v/>
      </c>
      <c r="CD102" t="str">
        <f t="shared" si="95"/>
        <v/>
      </c>
      <c r="CE102" t="str">
        <f t="shared" si="86"/>
        <v/>
      </c>
      <c r="CF102" t="str">
        <f t="shared" si="96"/>
        <v/>
      </c>
      <c r="CG102" t="str">
        <f t="shared" si="87"/>
        <v/>
      </c>
      <c r="CH102" t="str">
        <f t="shared" si="97"/>
        <v/>
      </c>
      <c r="CI102" t="str">
        <f t="shared" si="88"/>
        <v/>
      </c>
      <c r="CJ102" t="str">
        <f t="shared" si="89"/>
        <v/>
      </c>
    </row>
    <row r="103" spans="2:88" x14ac:dyDescent="0.3">
      <c r="B103" t="str">
        <f t="shared" si="57"/>
        <v>36.830969-76.119704</v>
      </c>
      <c r="C103" t="s">
        <v>13</v>
      </c>
      <c r="D103">
        <v>36.830969000000003</v>
      </c>
      <c r="E103">
        <v>-76.119703999999999</v>
      </c>
      <c r="F103">
        <v>8.5</v>
      </c>
      <c r="G103" t="str">
        <f t="shared" si="58"/>
        <v>4.52.536.830969-76.119704</v>
      </c>
      <c r="H103">
        <f t="shared" si="59"/>
        <v>4.5</v>
      </c>
      <c r="I103">
        <v>2.5</v>
      </c>
      <c r="J103" t="s">
        <v>21</v>
      </c>
      <c r="L103" t="s">
        <v>11</v>
      </c>
      <c r="M103">
        <v>4</v>
      </c>
      <c r="Q103" s="1" t="str">
        <f t="shared" si="60"/>
        <v/>
      </c>
      <c r="S103" t="str">
        <f t="shared" si="90"/>
        <v>Clay</v>
      </c>
      <c r="T103">
        <f t="shared" si="61"/>
        <v>1</v>
      </c>
      <c r="AA103">
        <v>80</v>
      </c>
      <c r="AB103" s="1">
        <f t="shared" si="62"/>
        <v>5</v>
      </c>
      <c r="AC103">
        <f t="shared" si="63"/>
        <v>8</v>
      </c>
      <c r="AD103" t="str">
        <f t="shared" si="64"/>
        <v/>
      </c>
      <c r="AE103" t="str">
        <f t="shared" si="65"/>
        <v/>
      </c>
      <c r="AG103" s="21" t="str">
        <f t="shared" si="66"/>
        <v/>
      </c>
      <c r="AI103" s="6" t="str">
        <f t="shared" si="67"/>
        <v/>
      </c>
      <c r="AM103" s="7" t="str">
        <f t="shared" si="68"/>
        <v/>
      </c>
      <c r="AQ103" s="8" t="str">
        <f t="shared" si="69"/>
        <v/>
      </c>
      <c r="AW103" s="25" t="str">
        <f t="shared" si="70"/>
        <v/>
      </c>
      <c r="AZ103" s="12" t="str">
        <f t="shared" si="71"/>
        <v/>
      </c>
      <c r="BI103" s="17" t="str">
        <f t="shared" si="72"/>
        <v/>
      </c>
      <c r="BM103" t="str">
        <f t="shared" si="73"/>
        <v>SPT Relationship</v>
      </c>
      <c r="BN103">
        <f t="shared" si="91"/>
        <v>108</v>
      </c>
      <c r="BO103" t="str">
        <f t="shared" si="74"/>
        <v>Wolff, 1989</v>
      </c>
      <c r="BP103">
        <f t="shared" si="92"/>
        <v>29</v>
      </c>
      <c r="BQ103" t="str">
        <f t="shared" si="75"/>
        <v/>
      </c>
      <c r="BR103" t="str">
        <f t="shared" si="76"/>
        <v/>
      </c>
      <c r="BS103" t="str">
        <f t="shared" si="77"/>
        <v>Stroud 1974 (K=3.5)</v>
      </c>
      <c r="BT103">
        <f t="shared" si="93"/>
        <v>365</v>
      </c>
      <c r="BU103" t="str">
        <f t="shared" si="78"/>
        <v/>
      </c>
      <c r="BV103" t="str">
        <f t="shared" si="79"/>
        <v/>
      </c>
      <c r="BW103" t="str">
        <f t="shared" si="80"/>
        <v/>
      </c>
      <c r="BX103" t="str">
        <f t="shared" si="81"/>
        <v/>
      </c>
      <c r="BY103" t="str">
        <f t="shared" si="82"/>
        <v/>
      </c>
      <c r="BZ103" t="str">
        <f t="shared" si="83"/>
        <v/>
      </c>
      <c r="CA103" t="str">
        <f t="shared" si="84"/>
        <v/>
      </c>
      <c r="CB103" t="str">
        <f t="shared" si="94"/>
        <v/>
      </c>
      <c r="CC103" t="str">
        <f t="shared" si="85"/>
        <v/>
      </c>
      <c r="CD103" t="str">
        <f t="shared" si="95"/>
        <v/>
      </c>
      <c r="CE103" t="str">
        <f t="shared" si="86"/>
        <v/>
      </c>
      <c r="CF103" t="str">
        <f t="shared" si="96"/>
        <v/>
      </c>
      <c r="CG103" t="str">
        <f t="shared" si="87"/>
        <v/>
      </c>
      <c r="CH103" t="str">
        <f t="shared" si="97"/>
        <v/>
      </c>
      <c r="CI103" t="str">
        <f t="shared" si="88"/>
        <v/>
      </c>
      <c r="CJ103" t="str">
        <f t="shared" si="89"/>
        <v/>
      </c>
    </row>
    <row r="104" spans="2:88" x14ac:dyDescent="0.3">
      <c r="B104" t="str">
        <f t="shared" si="57"/>
        <v>36.830969-76.119704</v>
      </c>
      <c r="C104" t="s">
        <v>13</v>
      </c>
      <c r="D104">
        <v>36.830969000000003</v>
      </c>
      <c r="E104">
        <v>-76.119703999999999</v>
      </c>
      <c r="F104">
        <v>8.5</v>
      </c>
      <c r="G104" t="str">
        <f t="shared" si="58"/>
        <v>2.50.536.830969-76.119704</v>
      </c>
      <c r="H104">
        <f t="shared" si="59"/>
        <v>2.5</v>
      </c>
      <c r="I104">
        <v>0.5</v>
      </c>
      <c r="J104" t="s">
        <v>21</v>
      </c>
      <c r="L104" t="s">
        <v>11</v>
      </c>
      <c r="M104">
        <v>4</v>
      </c>
      <c r="N104">
        <v>20</v>
      </c>
      <c r="O104">
        <v>15</v>
      </c>
      <c r="P104">
        <v>24</v>
      </c>
      <c r="Q104" s="1">
        <f t="shared" si="60"/>
        <v>9</v>
      </c>
      <c r="R104">
        <v>58</v>
      </c>
      <c r="S104" t="str">
        <f t="shared" si="90"/>
        <v>Clay</v>
      </c>
      <c r="T104">
        <f t="shared" si="61"/>
        <v>2</v>
      </c>
      <c r="AA104">
        <v>80</v>
      </c>
      <c r="AB104" s="1">
        <f t="shared" si="62"/>
        <v>5</v>
      </c>
      <c r="AC104">
        <f t="shared" si="63"/>
        <v>7</v>
      </c>
      <c r="AD104">
        <f t="shared" si="64"/>
        <v>0.55555555555555558</v>
      </c>
      <c r="AE104" t="str">
        <f t="shared" si="65"/>
        <v/>
      </c>
      <c r="AG104" s="21" t="str">
        <f t="shared" si="66"/>
        <v/>
      </c>
      <c r="AI104" s="6" t="str">
        <f t="shared" si="67"/>
        <v/>
      </c>
      <c r="AM104" s="7" t="str">
        <f t="shared" si="68"/>
        <v/>
      </c>
      <c r="AQ104" s="8" t="str">
        <f t="shared" si="69"/>
        <v/>
      </c>
      <c r="AW104" s="25" t="str">
        <f t="shared" si="70"/>
        <v/>
      </c>
      <c r="AZ104" s="12" t="str">
        <f t="shared" si="71"/>
        <v/>
      </c>
      <c r="BI104" s="17" t="str">
        <f t="shared" si="72"/>
        <v/>
      </c>
      <c r="BM104" t="str">
        <f t="shared" si="73"/>
        <v>SPT Relationship</v>
      </c>
      <c r="BN104">
        <f t="shared" si="91"/>
        <v>108</v>
      </c>
      <c r="BO104" t="str">
        <f t="shared" si="74"/>
        <v>Wolff, 1989</v>
      </c>
      <c r="BP104">
        <f t="shared" si="92"/>
        <v>29</v>
      </c>
      <c r="BQ104" t="str">
        <f t="shared" si="75"/>
        <v>GTENG-2476</v>
      </c>
      <c r="BR104">
        <f t="shared" si="76"/>
        <v>24</v>
      </c>
      <c r="BS104" t="str">
        <f t="shared" si="77"/>
        <v>Stroud 1974 (K=3.5)</v>
      </c>
      <c r="BT104">
        <f t="shared" si="93"/>
        <v>365</v>
      </c>
      <c r="BU104" t="str">
        <f t="shared" si="78"/>
        <v>Kulhawy and Mayne 1990</v>
      </c>
      <c r="BV104">
        <f t="shared" si="79"/>
        <v>0.122</v>
      </c>
      <c r="BW104" t="str">
        <f t="shared" si="80"/>
        <v>Kulhawy and Mayne 1990</v>
      </c>
      <c r="BX104">
        <f t="shared" si="81"/>
        <v>2.4E-2</v>
      </c>
      <c r="BY104" t="str">
        <f t="shared" si="82"/>
        <v>Mesri 1990</v>
      </c>
      <c r="BZ104">
        <f t="shared" si="83"/>
        <v>3.7000000000000002E-3</v>
      </c>
      <c r="CA104" t="str">
        <f t="shared" si="84"/>
        <v>NAVFAC Vol. 7.1 Figure 4</v>
      </c>
      <c r="CB104">
        <f t="shared" si="94"/>
        <v>0.66638731519999972</v>
      </c>
      <c r="CC104" t="str">
        <f t="shared" si="85"/>
        <v>Stas and Kulhawy 1984</v>
      </c>
      <c r="CD104">
        <f t="shared" si="95"/>
        <v>3387.220819174091</v>
      </c>
      <c r="CE104" t="str">
        <f t="shared" si="86"/>
        <v/>
      </c>
      <c r="CF104" t="str">
        <f t="shared" si="96"/>
        <v/>
      </c>
      <c r="CG104" t="str">
        <f t="shared" si="87"/>
        <v>Relationship (Gs=2.67)</v>
      </c>
      <c r="CH104">
        <f t="shared" si="97"/>
        <v>0.53</v>
      </c>
      <c r="CI104" t="str">
        <f t="shared" si="88"/>
        <v/>
      </c>
      <c r="CJ104" t="str">
        <f t="shared" si="89"/>
        <v/>
      </c>
    </row>
    <row r="105" spans="2:88" x14ac:dyDescent="0.3">
      <c r="B105" t="str">
        <f t="shared" si="57"/>
        <v>36.830969-76.119704</v>
      </c>
      <c r="C105" t="s">
        <v>13</v>
      </c>
      <c r="D105">
        <v>36.830969000000003</v>
      </c>
      <c r="E105">
        <v>-76.119703999999999</v>
      </c>
      <c r="F105">
        <v>8.5</v>
      </c>
      <c r="G105" t="str">
        <f t="shared" si="58"/>
        <v>0.5-1.536.830969-76.119704</v>
      </c>
      <c r="H105">
        <f t="shared" si="59"/>
        <v>0.5</v>
      </c>
      <c r="I105">
        <v>-1.5</v>
      </c>
      <c r="J105" t="s">
        <v>21</v>
      </c>
      <c r="L105" t="s">
        <v>11</v>
      </c>
      <c r="M105">
        <v>4</v>
      </c>
      <c r="Q105" s="1" t="str">
        <f t="shared" si="60"/>
        <v/>
      </c>
      <c r="S105" t="str">
        <f t="shared" si="90"/>
        <v>Clay</v>
      </c>
      <c r="T105">
        <f t="shared" si="61"/>
        <v>1</v>
      </c>
      <c r="AA105">
        <v>80</v>
      </c>
      <c r="AB105" s="1">
        <f t="shared" si="62"/>
        <v>5</v>
      </c>
      <c r="AC105">
        <f t="shared" si="63"/>
        <v>6</v>
      </c>
      <c r="AD105" t="str">
        <f t="shared" si="64"/>
        <v/>
      </c>
      <c r="AE105" t="str">
        <f t="shared" si="65"/>
        <v/>
      </c>
      <c r="AG105" s="21" t="str">
        <f t="shared" si="66"/>
        <v/>
      </c>
      <c r="AI105" s="6" t="str">
        <f t="shared" si="67"/>
        <v/>
      </c>
      <c r="AM105" s="7" t="str">
        <f t="shared" si="68"/>
        <v/>
      </c>
      <c r="AQ105" s="8" t="str">
        <f t="shared" si="69"/>
        <v/>
      </c>
      <c r="AW105" s="25" t="str">
        <f t="shared" si="70"/>
        <v/>
      </c>
      <c r="AZ105" s="12" t="str">
        <f t="shared" si="71"/>
        <v/>
      </c>
      <c r="BI105" s="17" t="str">
        <f t="shared" si="72"/>
        <v/>
      </c>
      <c r="BM105" t="str">
        <f t="shared" si="73"/>
        <v>SPT Relationship</v>
      </c>
      <c r="BN105">
        <f t="shared" si="91"/>
        <v>108</v>
      </c>
      <c r="BO105" t="str">
        <f t="shared" si="74"/>
        <v>Wolff, 1989</v>
      </c>
      <c r="BP105">
        <f t="shared" si="92"/>
        <v>28</v>
      </c>
      <c r="BQ105" t="str">
        <f t="shared" si="75"/>
        <v/>
      </c>
      <c r="BR105" t="str">
        <f t="shared" si="76"/>
        <v/>
      </c>
      <c r="BS105" t="str">
        <f t="shared" si="77"/>
        <v>Stroud 1974 (K=3.5)</v>
      </c>
      <c r="BT105">
        <f t="shared" si="93"/>
        <v>365</v>
      </c>
      <c r="BU105" t="str">
        <f t="shared" si="78"/>
        <v/>
      </c>
      <c r="BV105" t="str">
        <f t="shared" si="79"/>
        <v/>
      </c>
      <c r="BW105" t="str">
        <f t="shared" si="80"/>
        <v/>
      </c>
      <c r="BX105" t="str">
        <f t="shared" si="81"/>
        <v/>
      </c>
      <c r="BY105" t="str">
        <f t="shared" si="82"/>
        <v/>
      </c>
      <c r="BZ105" t="str">
        <f t="shared" si="83"/>
        <v/>
      </c>
      <c r="CA105" t="str">
        <f t="shared" si="84"/>
        <v/>
      </c>
      <c r="CB105" t="str">
        <f t="shared" si="94"/>
        <v/>
      </c>
      <c r="CC105" t="str">
        <f t="shared" si="85"/>
        <v/>
      </c>
      <c r="CD105" t="str">
        <f t="shared" si="95"/>
        <v/>
      </c>
      <c r="CE105" t="str">
        <f t="shared" si="86"/>
        <v/>
      </c>
      <c r="CF105" t="str">
        <f t="shared" si="96"/>
        <v/>
      </c>
      <c r="CG105" t="str">
        <f t="shared" si="87"/>
        <v/>
      </c>
      <c r="CH105" t="str">
        <f t="shared" si="97"/>
        <v/>
      </c>
      <c r="CI105" t="str">
        <f t="shared" si="88"/>
        <v/>
      </c>
      <c r="CJ105" t="str">
        <f t="shared" si="89"/>
        <v/>
      </c>
    </row>
    <row r="106" spans="2:88" x14ac:dyDescent="0.3">
      <c r="B106" t="str">
        <f t="shared" si="57"/>
        <v>36.830969-76.119704</v>
      </c>
      <c r="C106" t="s">
        <v>13</v>
      </c>
      <c r="D106">
        <v>36.830969000000003</v>
      </c>
      <c r="E106">
        <v>-76.119703999999999</v>
      </c>
      <c r="F106">
        <v>8.5</v>
      </c>
      <c r="G106" t="str">
        <f t="shared" si="58"/>
        <v>-1.5-3.536.830969-76.119704</v>
      </c>
      <c r="H106">
        <f t="shared" si="59"/>
        <v>-1.5</v>
      </c>
      <c r="I106">
        <v>-3.5</v>
      </c>
      <c r="J106" t="s">
        <v>21</v>
      </c>
      <c r="L106" t="s">
        <v>16</v>
      </c>
      <c r="M106">
        <v>32</v>
      </c>
      <c r="N106">
        <v>12</v>
      </c>
      <c r="Q106" s="1" t="str">
        <f t="shared" si="60"/>
        <v/>
      </c>
      <c r="R106">
        <v>5</v>
      </c>
      <c r="S106" t="str">
        <f t="shared" si="90"/>
        <v>Sand</v>
      </c>
      <c r="T106">
        <f t="shared" si="61"/>
        <v>2</v>
      </c>
      <c r="U106">
        <v>19</v>
      </c>
      <c r="V106">
        <v>1.2889999999999999</v>
      </c>
      <c r="W106">
        <v>0.433</v>
      </c>
      <c r="X106">
        <v>0.19700000000000001</v>
      </c>
      <c r="Y106">
        <v>13</v>
      </c>
      <c r="Z106">
        <v>81.900000000000006</v>
      </c>
      <c r="AA106">
        <v>80</v>
      </c>
      <c r="AB106" s="1">
        <f t="shared" si="62"/>
        <v>43</v>
      </c>
      <c r="AC106">
        <f t="shared" si="63"/>
        <v>54</v>
      </c>
      <c r="AD106" t="str">
        <f t="shared" si="64"/>
        <v/>
      </c>
      <c r="AE106" t="str">
        <f t="shared" si="65"/>
        <v/>
      </c>
      <c r="AG106" s="21" t="str">
        <f t="shared" si="66"/>
        <v/>
      </c>
      <c r="AI106" s="6" t="str">
        <f t="shared" si="67"/>
        <v/>
      </c>
      <c r="AM106" s="7" t="str">
        <f t="shared" si="68"/>
        <v/>
      </c>
      <c r="AQ106" s="8" t="str">
        <f t="shared" si="69"/>
        <v/>
      </c>
      <c r="AW106" s="25" t="str">
        <f t="shared" si="70"/>
        <v/>
      </c>
      <c r="AZ106" s="12" t="str">
        <f t="shared" si="71"/>
        <v/>
      </c>
      <c r="BI106" s="17" t="str">
        <f t="shared" si="72"/>
        <v/>
      </c>
      <c r="BM106" t="str">
        <f t="shared" si="73"/>
        <v>SPT Relationship</v>
      </c>
      <c r="BN106">
        <f t="shared" si="91"/>
        <v>132</v>
      </c>
      <c r="BO106" t="str">
        <f t="shared" si="74"/>
        <v>Wolff, 1989</v>
      </c>
      <c r="BP106">
        <f t="shared" si="92"/>
        <v>41</v>
      </c>
      <c r="BQ106" t="str">
        <f t="shared" si="75"/>
        <v/>
      </c>
      <c r="BR106" t="str">
        <f t="shared" si="76"/>
        <v/>
      </c>
      <c r="BS106" t="str">
        <f t="shared" si="77"/>
        <v/>
      </c>
      <c r="BT106" t="str">
        <f t="shared" si="93"/>
        <v/>
      </c>
      <c r="BU106" t="str">
        <f t="shared" si="78"/>
        <v/>
      </c>
      <c r="BV106" t="str">
        <f t="shared" si="79"/>
        <v/>
      </c>
      <c r="BW106" t="str">
        <f t="shared" si="80"/>
        <v/>
      </c>
      <c r="BX106" t="str">
        <f t="shared" si="81"/>
        <v/>
      </c>
      <c r="BY106" t="str">
        <f t="shared" si="82"/>
        <v/>
      </c>
      <c r="BZ106" t="str">
        <f t="shared" si="83"/>
        <v/>
      </c>
      <c r="CA106" t="str">
        <f t="shared" si="84"/>
        <v/>
      </c>
      <c r="CB106" t="str">
        <f t="shared" si="94"/>
        <v/>
      </c>
      <c r="CC106" t="str">
        <f t="shared" si="85"/>
        <v/>
      </c>
      <c r="CD106" t="str">
        <f t="shared" si="95"/>
        <v/>
      </c>
      <c r="CE106" t="str">
        <f t="shared" si="86"/>
        <v>Bowles 5th edition</v>
      </c>
      <c r="CF106">
        <f t="shared" si="96"/>
        <v>371</v>
      </c>
      <c r="CG106" t="str">
        <f t="shared" si="87"/>
        <v>Relationship (Gs=2.67)</v>
      </c>
      <c r="CH106">
        <f t="shared" si="97"/>
        <v>0.32</v>
      </c>
      <c r="CI106" t="str">
        <f t="shared" si="88"/>
        <v>Hazen, 1911 (c=1.5)</v>
      </c>
      <c r="CJ106">
        <f t="shared" si="89"/>
        <v>5.8213500000000001E-2</v>
      </c>
    </row>
    <row r="107" spans="2:88" x14ac:dyDescent="0.3">
      <c r="B107" t="str">
        <f t="shared" si="57"/>
        <v>36.830969-76.119704</v>
      </c>
      <c r="C107" t="s">
        <v>13</v>
      </c>
      <c r="D107">
        <v>36.830969000000003</v>
      </c>
      <c r="E107">
        <v>-76.119703999999999</v>
      </c>
      <c r="F107">
        <v>8.5</v>
      </c>
      <c r="G107" t="str">
        <f t="shared" si="58"/>
        <v>-4.5-6.536.830969-76.119704</v>
      </c>
      <c r="H107">
        <f t="shared" si="59"/>
        <v>-4.5</v>
      </c>
      <c r="I107">
        <v>-6.5</v>
      </c>
      <c r="J107" t="s">
        <v>21</v>
      </c>
      <c r="L107" t="s">
        <v>19</v>
      </c>
      <c r="M107">
        <v>53</v>
      </c>
      <c r="N107">
        <v>11</v>
      </c>
      <c r="Q107" s="1" t="str">
        <f t="shared" si="60"/>
        <v/>
      </c>
      <c r="R107">
        <v>8</v>
      </c>
      <c r="S107" t="str">
        <f t="shared" si="90"/>
        <v>Sand</v>
      </c>
      <c r="T107">
        <f t="shared" si="61"/>
        <v>2</v>
      </c>
      <c r="U107">
        <v>9.5</v>
      </c>
      <c r="V107">
        <v>1.321</v>
      </c>
      <c r="W107">
        <v>0.51</v>
      </c>
      <c r="X107">
        <v>0.153</v>
      </c>
      <c r="Y107">
        <v>10.7</v>
      </c>
      <c r="Z107">
        <v>81.599999999999994</v>
      </c>
      <c r="AA107">
        <v>80</v>
      </c>
      <c r="AB107" s="1">
        <f t="shared" si="62"/>
        <v>71</v>
      </c>
      <c r="AC107">
        <f t="shared" si="63"/>
        <v>79</v>
      </c>
      <c r="AD107" t="str">
        <f t="shared" si="64"/>
        <v/>
      </c>
      <c r="AE107" t="str">
        <f t="shared" si="65"/>
        <v/>
      </c>
      <c r="AG107" s="21" t="str">
        <f t="shared" si="66"/>
        <v/>
      </c>
      <c r="AI107" s="6" t="str">
        <f t="shared" si="67"/>
        <v/>
      </c>
      <c r="AM107" s="7" t="str">
        <f t="shared" si="68"/>
        <v/>
      </c>
      <c r="AQ107" s="8" t="str">
        <f t="shared" si="69"/>
        <v/>
      </c>
      <c r="AW107" s="25" t="str">
        <f t="shared" si="70"/>
        <v/>
      </c>
      <c r="AZ107" s="12" t="str">
        <f t="shared" si="71"/>
        <v/>
      </c>
      <c r="BI107" s="17" t="str">
        <f t="shared" si="72"/>
        <v/>
      </c>
      <c r="BM107" t="str">
        <f t="shared" si="73"/>
        <v>SPT Relationship</v>
      </c>
      <c r="BN107">
        <f t="shared" si="91"/>
        <v>139</v>
      </c>
      <c r="BO107" t="str">
        <f t="shared" si="74"/>
        <v>Wolff, 1989</v>
      </c>
      <c r="BP107">
        <f t="shared" si="92"/>
        <v>47</v>
      </c>
      <c r="BQ107" t="str">
        <f t="shared" si="75"/>
        <v/>
      </c>
      <c r="BR107" t="str">
        <f t="shared" si="76"/>
        <v/>
      </c>
      <c r="BS107" t="str">
        <f t="shared" si="77"/>
        <v/>
      </c>
      <c r="BT107" t="str">
        <f t="shared" si="93"/>
        <v/>
      </c>
      <c r="BU107" t="str">
        <f t="shared" si="78"/>
        <v/>
      </c>
      <c r="BV107" t="str">
        <f t="shared" si="79"/>
        <v/>
      </c>
      <c r="BW107" t="str">
        <f t="shared" si="80"/>
        <v/>
      </c>
      <c r="BX107" t="str">
        <f t="shared" si="81"/>
        <v/>
      </c>
      <c r="BY107" t="str">
        <f t="shared" si="82"/>
        <v/>
      </c>
      <c r="BZ107" t="str">
        <f t="shared" si="83"/>
        <v/>
      </c>
      <c r="CA107" t="str">
        <f t="shared" si="84"/>
        <v/>
      </c>
      <c r="CB107" t="str">
        <f t="shared" si="94"/>
        <v/>
      </c>
      <c r="CC107" t="str">
        <f t="shared" si="85"/>
        <v/>
      </c>
      <c r="CD107" t="str">
        <f t="shared" si="95"/>
        <v/>
      </c>
      <c r="CE107" t="str">
        <f t="shared" si="86"/>
        <v>Bowles 5th edition</v>
      </c>
      <c r="CF107">
        <f t="shared" si="96"/>
        <v>550</v>
      </c>
      <c r="CG107" t="str">
        <f t="shared" si="87"/>
        <v>Relationship (Gs=2.67)</v>
      </c>
      <c r="CH107">
        <f t="shared" si="97"/>
        <v>0.28999999999999998</v>
      </c>
      <c r="CI107" t="str">
        <f t="shared" si="88"/>
        <v>Hazen, 1911 (c=1.5)</v>
      </c>
      <c r="CJ107">
        <f t="shared" si="89"/>
        <v>3.5113499999999999E-2</v>
      </c>
    </row>
    <row r="108" spans="2:88" x14ac:dyDescent="0.3">
      <c r="B108" t="str">
        <f t="shared" si="57"/>
        <v>36.830969-76.119704</v>
      </c>
      <c r="C108" t="s">
        <v>13</v>
      </c>
      <c r="D108">
        <v>36.830969000000003</v>
      </c>
      <c r="E108">
        <v>-76.119703999999999</v>
      </c>
      <c r="F108">
        <v>8.5</v>
      </c>
      <c r="G108" t="str">
        <f t="shared" si="58"/>
        <v>-9.5-11.536.830969-76.119704</v>
      </c>
      <c r="H108">
        <f t="shared" si="59"/>
        <v>-9.5</v>
      </c>
      <c r="I108">
        <v>-11.5</v>
      </c>
      <c r="J108" t="s">
        <v>21</v>
      </c>
      <c r="L108" t="s">
        <v>16</v>
      </c>
      <c r="M108">
        <v>4</v>
      </c>
      <c r="N108">
        <v>22</v>
      </c>
      <c r="Q108" s="1" t="str">
        <f t="shared" si="60"/>
        <v/>
      </c>
      <c r="R108">
        <v>12</v>
      </c>
      <c r="S108" t="str">
        <f t="shared" si="90"/>
        <v>Sand</v>
      </c>
      <c r="T108">
        <f t="shared" si="61"/>
        <v>2</v>
      </c>
      <c r="U108">
        <v>4.75</v>
      </c>
      <c r="V108">
        <v>0.28499999999999998</v>
      </c>
      <c r="W108">
        <v>0.17499999999999999</v>
      </c>
      <c r="Y108">
        <v>0</v>
      </c>
      <c r="AA108">
        <v>80</v>
      </c>
      <c r="AB108" s="1">
        <f t="shared" si="62"/>
        <v>5</v>
      </c>
      <c r="AC108">
        <f t="shared" si="63"/>
        <v>4</v>
      </c>
      <c r="AD108" t="str">
        <f t="shared" si="64"/>
        <v/>
      </c>
      <c r="AE108" t="str">
        <f t="shared" si="65"/>
        <v/>
      </c>
      <c r="AG108" s="21" t="str">
        <f t="shared" si="66"/>
        <v/>
      </c>
      <c r="AI108" s="6" t="str">
        <f t="shared" si="67"/>
        <v/>
      </c>
      <c r="AM108" s="7" t="str">
        <f t="shared" si="68"/>
        <v/>
      </c>
      <c r="AQ108" s="8" t="str">
        <f t="shared" si="69"/>
        <v/>
      </c>
      <c r="AW108" s="25" t="str">
        <f t="shared" si="70"/>
        <v/>
      </c>
      <c r="AZ108" s="12" t="str">
        <f t="shared" si="71"/>
        <v/>
      </c>
      <c r="BI108" s="17" t="str">
        <f t="shared" si="72"/>
        <v/>
      </c>
      <c r="BM108" t="str">
        <f t="shared" si="73"/>
        <v>SPT Relationship</v>
      </c>
      <c r="BN108">
        <f t="shared" si="91"/>
        <v>108</v>
      </c>
      <c r="BO108" t="str">
        <f t="shared" si="74"/>
        <v>Wolff, 1989</v>
      </c>
      <c r="BP108">
        <f t="shared" si="92"/>
        <v>28</v>
      </c>
      <c r="BQ108" t="str">
        <f t="shared" si="75"/>
        <v/>
      </c>
      <c r="BR108" t="str">
        <f t="shared" si="76"/>
        <v/>
      </c>
      <c r="BS108" t="str">
        <f t="shared" si="77"/>
        <v/>
      </c>
      <c r="BT108" t="str">
        <f t="shared" si="93"/>
        <v/>
      </c>
      <c r="BU108" t="str">
        <f t="shared" si="78"/>
        <v/>
      </c>
      <c r="BV108" t="str">
        <f t="shared" si="79"/>
        <v/>
      </c>
      <c r="BW108" t="str">
        <f t="shared" si="80"/>
        <v/>
      </c>
      <c r="BX108" t="str">
        <f t="shared" si="81"/>
        <v/>
      </c>
      <c r="BY108" t="str">
        <f t="shared" si="82"/>
        <v/>
      </c>
      <c r="BZ108" t="str">
        <f t="shared" si="83"/>
        <v/>
      </c>
      <c r="CA108" t="str">
        <f t="shared" si="84"/>
        <v/>
      </c>
      <c r="CB108" t="str">
        <f t="shared" si="94"/>
        <v/>
      </c>
      <c r="CC108" t="str">
        <f t="shared" si="85"/>
        <v/>
      </c>
      <c r="CD108" t="str">
        <f t="shared" si="95"/>
        <v/>
      </c>
      <c r="CE108" t="str">
        <f t="shared" si="86"/>
        <v>Bowles 5th edition</v>
      </c>
      <c r="CF108">
        <f t="shared" si="96"/>
        <v>128</v>
      </c>
      <c r="CG108" t="str">
        <f t="shared" si="87"/>
        <v>Relationship (Gs=2.67)</v>
      </c>
      <c r="CH108">
        <f t="shared" si="97"/>
        <v>0.59</v>
      </c>
      <c r="CI108" t="str">
        <f t="shared" si="88"/>
        <v/>
      </c>
      <c r="CJ108" t="str">
        <f t="shared" si="89"/>
        <v/>
      </c>
    </row>
    <row r="109" spans="2:88" x14ac:dyDescent="0.3">
      <c r="B109" t="str">
        <f t="shared" si="57"/>
        <v>36.830969-76.119704</v>
      </c>
      <c r="C109" t="s">
        <v>13</v>
      </c>
      <c r="D109">
        <v>36.830969000000003</v>
      </c>
      <c r="E109">
        <v>-76.119703999999999</v>
      </c>
      <c r="F109">
        <v>8.5</v>
      </c>
      <c r="G109" t="str">
        <f t="shared" si="58"/>
        <v>-14.5-16.536.830969-76.119704</v>
      </c>
      <c r="H109">
        <f t="shared" si="59"/>
        <v>-14.5</v>
      </c>
      <c r="I109">
        <v>-16.5</v>
      </c>
      <c r="J109" t="s">
        <v>21</v>
      </c>
      <c r="L109" t="s">
        <v>17</v>
      </c>
      <c r="M109">
        <v>4</v>
      </c>
      <c r="Q109" s="1" t="str">
        <f t="shared" si="60"/>
        <v/>
      </c>
      <c r="S109" t="str">
        <f t="shared" si="90"/>
        <v>Sand</v>
      </c>
      <c r="T109">
        <f t="shared" si="61"/>
        <v>1</v>
      </c>
      <c r="AA109">
        <v>80</v>
      </c>
      <c r="AB109" s="1">
        <f t="shared" si="62"/>
        <v>5</v>
      </c>
      <c r="AC109">
        <f t="shared" si="63"/>
        <v>4</v>
      </c>
      <c r="AD109" t="str">
        <f t="shared" si="64"/>
        <v/>
      </c>
      <c r="AE109" t="str">
        <f t="shared" si="65"/>
        <v/>
      </c>
      <c r="AG109" s="21" t="str">
        <f t="shared" si="66"/>
        <v/>
      </c>
      <c r="AI109" s="6" t="str">
        <f t="shared" si="67"/>
        <v/>
      </c>
      <c r="AM109" s="7" t="str">
        <f t="shared" si="68"/>
        <v/>
      </c>
      <c r="AQ109" s="8" t="str">
        <f t="shared" si="69"/>
        <v/>
      </c>
      <c r="AW109" s="25" t="str">
        <f t="shared" si="70"/>
        <v/>
      </c>
      <c r="AZ109" s="12" t="str">
        <f t="shared" si="71"/>
        <v/>
      </c>
      <c r="BI109" s="17" t="str">
        <f t="shared" si="72"/>
        <v/>
      </c>
      <c r="BM109" t="str">
        <f t="shared" si="73"/>
        <v>SPT Relationship</v>
      </c>
      <c r="BN109">
        <f t="shared" si="91"/>
        <v>108</v>
      </c>
      <c r="BO109" t="str">
        <f t="shared" si="74"/>
        <v>Wolff, 1989</v>
      </c>
      <c r="BP109">
        <f t="shared" si="92"/>
        <v>28</v>
      </c>
      <c r="BQ109" t="str">
        <f t="shared" si="75"/>
        <v/>
      </c>
      <c r="BR109" t="str">
        <f t="shared" si="76"/>
        <v/>
      </c>
      <c r="BS109" t="str">
        <f t="shared" si="77"/>
        <v/>
      </c>
      <c r="BT109" t="str">
        <f t="shared" si="93"/>
        <v/>
      </c>
      <c r="BU109" t="str">
        <f t="shared" si="78"/>
        <v/>
      </c>
      <c r="BV109" t="str">
        <f t="shared" si="79"/>
        <v/>
      </c>
      <c r="BW109" t="str">
        <f t="shared" si="80"/>
        <v/>
      </c>
      <c r="BX109" t="str">
        <f t="shared" si="81"/>
        <v/>
      </c>
      <c r="BY109" t="str">
        <f t="shared" si="82"/>
        <v/>
      </c>
      <c r="BZ109" t="str">
        <f t="shared" si="83"/>
        <v/>
      </c>
      <c r="CA109" t="str">
        <f t="shared" si="84"/>
        <v/>
      </c>
      <c r="CB109" t="str">
        <f t="shared" si="94"/>
        <v/>
      </c>
      <c r="CC109" t="str">
        <f t="shared" si="85"/>
        <v/>
      </c>
      <c r="CD109" t="str">
        <f t="shared" si="95"/>
        <v/>
      </c>
      <c r="CE109" t="str">
        <f t="shared" si="86"/>
        <v>Bowles 5th edition</v>
      </c>
      <c r="CF109">
        <f t="shared" si="96"/>
        <v>128</v>
      </c>
      <c r="CG109" t="str">
        <f t="shared" si="87"/>
        <v/>
      </c>
      <c r="CH109" t="str">
        <f t="shared" si="97"/>
        <v/>
      </c>
      <c r="CI109" t="str">
        <f t="shared" si="88"/>
        <v/>
      </c>
      <c r="CJ109" t="str">
        <f t="shared" si="89"/>
        <v/>
      </c>
    </row>
    <row r="110" spans="2:88" x14ac:dyDescent="0.3">
      <c r="B110" t="str">
        <f t="shared" si="57"/>
        <v>36.830969-76.119704</v>
      </c>
      <c r="C110" t="s">
        <v>13</v>
      </c>
      <c r="D110">
        <v>36.830969000000003</v>
      </c>
      <c r="E110">
        <v>-76.119703999999999</v>
      </c>
      <c r="F110">
        <v>8.5</v>
      </c>
      <c r="G110" t="str">
        <f t="shared" si="58"/>
        <v>-11.5-13.536.830969-76.119704</v>
      </c>
      <c r="H110">
        <f>F110-20</f>
        <v>-11.5</v>
      </c>
      <c r="I110">
        <v>-13.5</v>
      </c>
      <c r="J110" t="s">
        <v>49</v>
      </c>
      <c r="L110" t="s">
        <v>17</v>
      </c>
      <c r="Q110" s="1"/>
      <c r="S110" t="str">
        <f t="shared" si="90"/>
        <v>Sand</v>
      </c>
      <c r="AB110" s="1"/>
      <c r="AE110" t="str">
        <f t="shared" si="65"/>
        <v/>
      </c>
      <c r="AG110" s="21" t="str">
        <f t="shared" si="66"/>
        <v/>
      </c>
      <c r="AI110" s="6" t="str">
        <f t="shared" si="67"/>
        <v/>
      </c>
      <c r="AM110" s="7" t="str">
        <f t="shared" si="68"/>
        <v/>
      </c>
      <c r="AQ110" s="8" t="str">
        <f t="shared" si="69"/>
        <v/>
      </c>
      <c r="AW110" s="25" t="str">
        <f t="shared" si="70"/>
        <v>Direct Shear</v>
      </c>
      <c r="AX110" s="25">
        <v>35.5</v>
      </c>
      <c r="AY110" s="25">
        <v>0</v>
      </c>
      <c r="AZ110" s="12" t="str">
        <f t="shared" si="71"/>
        <v/>
      </c>
      <c r="BI110" s="17" t="str">
        <f t="shared" si="72"/>
        <v>Permeability Test</v>
      </c>
      <c r="BJ110" s="28">
        <v>7.43E-6</v>
      </c>
      <c r="BM110" t="str">
        <f t="shared" si="73"/>
        <v/>
      </c>
      <c r="BO110" t="str">
        <f t="shared" si="74"/>
        <v/>
      </c>
      <c r="BQ110" t="str">
        <f t="shared" si="75"/>
        <v/>
      </c>
      <c r="BS110" t="str">
        <f t="shared" si="77"/>
        <v/>
      </c>
      <c r="BU110" t="str">
        <f t="shared" si="78"/>
        <v/>
      </c>
      <c r="BW110" t="str">
        <f t="shared" si="80"/>
        <v/>
      </c>
      <c r="BY110" t="str">
        <f t="shared" si="82"/>
        <v/>
      </c>
      <c r="CA110" t="str">
        <f t="shared" si="84"/>
        <v/>
      </c>
      <c r="CC110" t="str">
        <f t="shared" si="85"/>
        <v/>
      </c>
      <c r="CE110" t="str">
        <f t="shared" si="86"/>
        <v/>
      </c>
      <c r="CG110" t="str">
        <f t="shared" si="87"/>
        <v/>
      </c>
      <c r="CI110" t="str">
        <f t="shared" si="88"/>
        <v/>
      </c>
      <c r="CJ110" t="str">
        <f t="shared" si="89"/>
        <v/>
      </c>
    </row>
    <row r="111" spans="2:88" x14ac:dyDescent="0.3">
      <c r="B111" t="str">
        <f t="shared" si="57"/>
        <v>36.830969-76.119704</v>
      </c>
      <c r="C111" t="s">
        <v>13</v>
      </c>
      <c r="D111">
        <v>36.830969000000003</v>
      </c>
      <c r="E111">
        <v>-76.119703999999999</v>
      </c>
      <c r="F111">
        <v>8.5</v>
      </c>
      <c r="G111" t="str">
        <f t="shared" si="58"/>
        <v>-19.5-21.536.830969-76.119704</v>
      </c>
      <c r="H111">
        <f t="shared" si="59"/>
        <v>-19.5</v>
      </c>
      <c r="I111">
        <v>-21.5</v>
      </c>
      <c r="J111" t="s">
        <v>21</v>
      </c>
      <c r="L111" t="s">
        <v>17</v>
      </c>
      <c r="M111">
        <v>3</v>
      </c>
      <c r="N111">
        <v>29</v>
      </c>
      <c r="O111">
        <v>20</v>
      </c>
      <c r="P111">
        <v>30</v>
      </c>
      <c r="Q111" s="1">
        <f t="shared" si="60"/>
        <v>10</v>
      </c>
      <c r="R111">
        <v>39</v>
      </c>
      <c r="S111" t="str">
        <f t="shared" si="90"/>
        <v>Sand</v>
      </c>
      <c r="T111">
        <f t="shared" si="61"/>
        <v>2</v>
      </c>
      <c r="AA111">
        <v>80</v>
      </c>
      <c r="AB111" s="1">
        <f t="shared" si="62"/>
        <v>4</v>
      </c>
      <c r="AC111">
        <f t="shared" si="63"/>
        <v>3</v>
      </c>
      <c r="AD111">
        <f t="shared" si="64"/>
        <v>0.9</v>
      </c>
      <c r="AE111" t="str">
        <f t="shared" si="65"/>
        <v/>
      </c>
      <c r="AG111" s="21" t="str">
        <f t="shared" si="66"/>
        <v/>
      </c>
      <c r="AI111" s="6" t="str">
        <f t="shared" si="67"/>
        <v/>
      </c>
      <c r="AM111" s="7" t="str">
        <f t="shared" si="68"/>
        <v/>
      </c>
      <c r="AQ111" s="8" t="str">
        <f t="shared" si="69"/>
        <v/>
      </c>
      <c r="AW111" s="25" t="str">
        <f t="shared" si="70"/>
        <v/>
      </c>
      <c r="AZ111" s="12" t="str">
        <f t="shared" si="71"/>
        <v/>
      </c>
      <c r="BI111" s="17" t="str">
        <f t="shared" si="72"/>
        <v/>
      </c>
      <c r="BM111" t="str">
        <f t="shared" si="73"/>
        <v>SPT Relationship</v>
      </c>
      <c r="BN111">
        <f>IFERROR(IF(M111=0,95,ROUND(95*M111^0.095,0)),"")</f>
        <v>105</v>
      </c>
      <c r="BO111" t="str">
        <f t="shared" si="74"/>
        <v>Wolff, 1989</v>
      </c>
      <c r="BP111">
        <f>ROUNDDOWN(27.1+0.3*AC111-0.00054*AC111^2,0)</f>
        <v>27</v>
      </c>
      <c r="BQ111" t="str">
        <f t="shared" si="75"/>
        <v>GTENG-2476</v>
      </c>
      <c r="BR111">
        <f t="shared" si="76"/>
        <v>23</v>
      </c>
      <c r="BS111" t="str">
        <f t="shared" si="77"/>
        <v/>
      </c>
      <c r="BT111" t="str">
        <f>IF(S111="Clay",ROUND((3.5*AB111)*20.885434273039,0),"")</f>
        <v/>
      </c>
      <c r="BU111" t="str">
        <f t="shared" si="78"/>
        <v>Kulhawy and Mayne 1990</v>
      </c>
      <c r="BV111">
        <f t="shared" si="79"/>
        <v>0.13500000000000001</v>
      </c>
      <c r="BW111" t="str">
        <f t="shared" si="80"/>
        <v>Kulhawy and Mayne 1990</v>
      </c>
      <c r="BX111">
        <f t="shared" si="81"/>
        <v>2.7E-2</v>
      </c>
      <c r="BY111" t="str">
        <f t="shared" si="82"/>
        <v>Mesri 1990</v>
      </c>
      <c r="BZ111">
        <f t="shared" si="83"/>
        <v>4.1000000000000003E-3</v>
      </c>
      <c r="CA111" t="str">
        <f t="shared" si="84"/>
        <v>NAVFAC Vol. 7.1 Figure 4</v>
      </c>
      <c r="CB111">
        <f>IF(P111="","",-0.0000000002*P111^5+0.00000009*P111^4-0.00002*P111^3+0.0019*P111^2-0.0999*P111+2.2178)</f>
        <v>0.45883999999999991</v>
      </c>
      <c r="CC111" t="str">
        <f t="shared" si="85"/>
        <v>Stas and Kulhawy 1984</v>
      </c>
      <c r="CD111">
        <f>IF(AD111="","",(10^(1.11-1.62*AD111)*100)*20.885434273039)</f>
        <v>937.22423467776866</v>
      </c>
      <c r="CE111" t="str">
        <f t="shared" si="86"/>
        <v>Bowles 5th edition</v>
      </c>
      <c r="CF111">
        <f>IF(S111="Clay","",IF(AB111="","",ROUND((AB111+15)*6.4,0)))</f>
        <v>122</v>
      </c>
      <c r="CG111" t="str">
        <f t="shared" si="87"/>
        <v>Relationship (Gs=2.67)</v>
      </c>
      <c r="CH111">
        <f>IF(N111="","",ROUND(N111/100*2.67,2))</f>
        <v>0.77</v>
      </c>
      <c r="CI111" t="str">
        <f t="shared" si="88"/>
        <v/>
      </c>
      <c r="CJ111" t="str">
        <f t="shared" si="89"/>
        <v/>
      </c>
    </row>
    <row r="112" spans="2:88" x14ac:dyDescent="0.3">
      <c r="B112" t="str">
        <f t="shared" si="57"/>
        <v>36.830969-76.119704</v>
      </c>
      <c r="C112" t="s">
        <v>13</v>
      </c>
      <c r="D112">
        <v>36.830969000000003</v>
      </c>
      <c r="E112">
        <v>-76.119703999999999</v>
      </c>
      <c r="F112">
        <v>8.5</v>
      </c>
      <c r="G112" t="str">
        <f t="shared" si="58"/>
        <v>-24.5-26.536.830969-76.119704</v>
      </c>
      <c r="H112">
        <f t="shared" si="59"/>
        <v>-24.5</v>
      </c>
      <c r="I112">
        <v>-26.5</v>
      </c>
      <c r="J112" t="s">
        <v>21</v>
      </c>
      <c r="L112" t="s">
        <v>17</v>
      </c>
      <c r="M112">
        <v>4</v>
      </c>
      <c r="Q112" s="1" t="str">
        <f t="shared" si="60"/>
        <v/>
      </c>
      <c r="S112" t="str">
        <f t="shared" si="90"/>
        <v>Sand</v>
      </c>
      <c r="T112">
        <f t="shared" si="61"/>
        <v>1</v>
      </c>
      <c r="AA112">
        <v>80</v>
      </c>
      <c r="AB112" s="1">
        <f t="shared" si="62"/>
        <v>5</v>
      </c>
      <c r="AC112">
        <f t="shared" si="63"/>
        <v>3</v>
      </c>
      <c r="AD112" t="str">
        <f t="shared" si="64"/>
        <v/>
      </c>
      <c r="AE112" t="str">
        <f t="shared" si="65"/>
        <v/>
      </c>
      <c r="AG112" s="21" t="str">
        <f t="shared" si="66"/>
        <v/>
      </c>
      <c r="AI112" s="6" t="str">
        <f t="shared" si="67"/>
        <v/>
      </c>
      <c r="AM112" s="7" t="str">
        <f t="shared" si="68"/>
        <v/>
      </c>
      <c r="AQ112" s="8" t="str">
        <f t="shared" si="69"/>
        <v/>
      </c>
      <c r="AW112" s="25" t="str">
        <f t="shared" si="70"/>
        <v/>
      </c>
      <c r="AZ112" s="12" t="str">
        <f t="shared" si="71"/>
        <v/>
      </c>
      <c r="BI112" s="17" t="str">
        <f t="shared" si="72"/>
        <v/>
      </c>
      <c r="BM112" t="str">
        <f t="shared" si="73"/>
        <v>SPT Relationship</v>
      </c>
      <c r="BN112">
        <f>IFERROR(IF(M112=0,95,ROUND(95*M112^0.095,0)),"")</f>
        <v>108</v>
      </c>
      <c r="BO112" t="str">
        <f t="shared" si="74"/>
        <v>Wolff, 1989</v>
      </c>
      <c r="BP112">
        <f>ROUNDDOWN(27.1+0.3*AC112-0.00054*AC112^2,0)</f>
        <v>27</v>
      </c>
      <c r="BQ112" t="str">
        <f t="shared" si="75"/>
        <v/>
      </c>
      <c r="BR112" t="str">
        <f t="shared" si="76"/>
        <v/>
      </c>
      <c r="BS112" t="str">
        <f t="shared" si="77"/>
        <v/>
      </c>
      <c r="BT112" t="str">
        <f>IF(S112="Clay",ROUND((3.5*AB112)*20.885434273039,0),"")</f>
        <v/>
      </c>
      <c r="BU112" t="str">
        <f t="shared" si="78"/>
        <v/>
      </c>
      <c r="BV112" t="str">
        <f t="shared" si="79"/>
        <v/>
      </c>
      <c r="BW112" t="str">
        <f t="shared" si="80"/>
        <v/>
      </c>
      <c r="BX112" t="str">
        <f t="shared" si="81"/>
        <v/>
      </c>
      <c r="BY112" t="str">
        <f t="shared" si="82"/>
        <v/>
      </c>
      <c r="BZ112" t="str">
        <f t="shared" si="83"/>
        <v/>
      </c>
      <c r="CA112" t="str">
        <f t="shared" si="84"/>
        <v/>
      </c>
      <c r="CB112" t="str">
        <f>IF(P112="","",-0.0000000002*P112^5+0.00000009*P112^4-0.00002*P112^3+0.0019*P112^2-0.0999*P112+2.2178)</f>
        <v/>
      </c>
      <c r="CC112" t="str">
        <f t="shared" si="85"/>
        <v/>
      </c>
      <c r="CD112" t="str">
        <f>IF(AD112="","",(10^(1.11-1.62*AD112)*100)*20.885434273039)</f>
        <v/>
      </c>
      <c r="CE112" t="str">
        <f t="shared" si="86"/>
        <v>Bowles 5th edition</v>
      </c>
      <c r="CF112">
        <f>IF(S112="Clay","",IF(AB112="","",ROUND((AB112+15)*6.4,0)))</f>
        <v>128</v>
      </c>
      <c r="CG112" t="str">
        <f t="shared" si="87"/>
        <v/>
      </c>
      <c r="CH112" t="str">
        <f>IF(N112="","",ROUND(N112/100*2.67,2))</f>
        <v/>
      </c>
      <c r="CI112" t="str">
        <f t="shared" si="88"/>
        <v/>
      </c>
      <c r="CJ112" t="str">
        <f t="shared" si="89"/>
        <v/>
      </c>
    </row>
    <row r="113" spans="2:88" x14ac:dyDescent="0.3">
      <c r="B113" t="str">
        <f t="shared" si="57"/>
        <v>36.830969-76.119704</v>
      </c>
      <c r="C113" t="s">
        <v>13</v>
      </c>
      <c r="D113">
        <v>36.830969000000003</v>
      </c>
      <c r="E113">
        <v>-76.119703999999999</v>
      </c>
      <c r="F113">
        <v>8.5</v>
      </c>
      <c r="G113" t="str">
        <f t="shared" si="58"/>
        <v>-21.5-23.536.830969-76.119704</v>
      </c>
      <c r="H113">
        <f>F113-30</f>
        <v>-21.5</v>
      </c>
      <c r="I113">
        <v>-23.5</v>
      </c>
      <c r="J113" t="s">
        <v>49</v>
      </c>
      <c r="L113" t="s">
        <v>17</v>
      </c>
      <c r="Q113" s="1"/>
      <c r="S113" t="str">
        <f t="shared" si="90"/>
        <v>Sand</v>
      </c>
      <c r="AB113" s="1"/>
      <c r="AE113" t="str">
        <f t="shared" si="65"/>
        <v/>
      </c>
      <c r="AG113" s="21" t="str">
        <f t="shared" si="66"/>
        <v/>
      </c>
      <c r="AI113" s="6" t="str">
        <f t="shared" si="67"/>
        <v/>
      </c>
      <c r="AM113" s="7" t="str">
        <f t="shared" si="68"/>
        <v/>
      </c>
      <c r="AQ113" s="8" t="str">
        <f t="shared" si="69"/>
        <v/>
      </c>
      <c r="AW113" s="25" t="str">
        <f t="shared" si="70"/>
        <v>Direct Shear</v>
      </c>
      <c r="AX113" s="25">
        <v>39</v>
      </c>
      <c r="AY113" s="25">
        <v>0</v>
      </c>
      <c r="AZ113" s="12" t="str">
        <f t="shared" si="71"/>
        <v/>
      </c>
      <c r="BI113" s="17" t="str">
        <f t="shared" si="72"/>
        <v>Permeability Test</v>
      </c>
      <c r="BJ113" s="28">
        <v>6.81E-6</v>
      </c>
      <c r="BM113" t="str">
        <f t="shared" si="73"/>
        <v/>
      </c>
      <c r="BO113" t="str">
        <f t="shared" si="74"/>
        <v/>
      </c>
      <c r="BQ113" t="str">
        <f t="shared" si="75"/>
        <v/>
      </c>
      <c r="BS113" t="str">
        <f t="shared" si="77"/>
        <v/>
      </c>
      <c r="BU113" t="str">
        <f t="shared" si="78"/>
        <v/>
      </c>
      <c r="BW113" t="str">
        <f t="shared" si="80"/>
        <v/>
      </c>
      <c r="BY113" t="str">
        <f t="shared" si="82"/>
        <v/>
      </c>
      <c r="CA113" t="str">
        <f t="shared" si="84"/>
        <v/>
      </c>
      <c r="CC113" t="str">
        <f t="shared" si="85"/>
        <v/>
      </c>
      <c r="CE113" t="str">
        <f t="shared" si="86"/>
        <v/>
      </c>
      <c r="CG113" t="str">
        <f t="shared" si="87"/>
        <v/>
      </c>
      <c r="CI113" t="str">
        <f t="shared" si="88"/>
        <v/>
      </c>
      <c r="CJ113" t="str">
        <f t="shared" si="89"/>
        <v/>
      </c>
    </row>
    <row r="114" spans="2:88" x14ac:dyDescent="0.3">
      <c r="B114" t="str">
        <f t="shared" si="57"/>
        <v>36.830969-76.119704</v>
      </c>
      <c r="C114" t="s">
        <v>13</v>
      </c>
      <c r="D114">
        <v>36.830969000000003</v>
      </c>
      <c r="E114">
        <v>-76.119703999999999</v>
      </c>
      <c r="F114">
        <v>8.5</v>
      </c>
      <c r="G114" t="str">
        <f t="shared" si="58"/>
        <v>-29.5-31.536.830969-76.119704</v>
      </c>
      <c r="H114">
        <f t="shared" si="59"/>
        <v>-29.5</v>
      </c>
      <c r="I114">
        <v>-31.5</v>
      </c>
      <c r="J114" t="s">
        <v>21</v>
      </c>
      <c r="L114" t="s">
        <v>17</v>
      </c>
      <c r="M114">
        <v>2</v>
      </c>
      <c r="O114">
        <v>15</v>
      </c>
      <c r="P114">
        <v>28</v>
      </c>
      <c r="Q114" s="1">
        <f t="shared" si="60"/>
        <v>13</v>
      </c>
      <c r="R114">
        <v>26</v>
      </c>
      <c r="S114" t="str">
        <f t="shared" si="90"/>
        <v>Sand</v>
      </c>
      <c r="T114">
        <f t="shared" si="61"/>
        <v>2</v>
      </c>
      <c r="AA114">
        <v>80</v>
      </c>
      <c r="AB114" s="1">
        <f t="shared" si="62"/>
        <v>3</v>
      </c>
      <c r="AC114">
        <f t="shared" si="63"/>
        <v>2</v>
      </c>
      <c r="AD114" t="str">
        <f t="shared" si="64"/>
        <v/>
      </c>
      <c r="AE114" t="str">
        <f t="shared" si="65"/>
        <v/>
      </c>
      <c r="AG114" s="21" t="str">
        <f t="shared" si="66"/>
        <v/>
      </c>
      <c r="AI114" s="6" t="str">
        <f t="shared" si="67"/>
        <v/>
      </c>
      <c r="AM114" s="7" t="str">
        <f t="shared" si="68"/>
        <v/>
      </c>
      <c r="AQ114" s="8" t="str">
        <f t="shared" si="69"/>
        <v/>
      </c>
      <c r="AW114" s="25" t="str">
        <f t="shared" si="70"/>
        <v/>
      </c>
      <c r="AZ114" s="12" t="str">
        <f t="shared" si="71"/>
        <v/>
      </c>
      <c r="BI114" s="17" t="str">
        <f t="shared" si="72"/>
        <v/>
      </c>
      <c r="BM114" t="str">
        <f t="shared" si="73"/>
        <v>SPT Relationship</v>
      </c>
      <c r="BN114">
        <f>IFERROR(IF(M114=0,95,ROUND(95*M114^0.095,0)),"")</f>
        <v>101</v>
      </c>
      <c r="BO114" t="str">
        <f t="shared" si="74"/>
        <v>Wolff, 1989</v>
      </c>
      <c r="BP114">
        <f>ROUNDDOWN(27.1+0.3*AC114-0.00054*AC114^2,0)</f>
        <v>27</v>
      </c>
      <c r="BQ114" t="str">
        <f t="shared" si="75"/>
        <v>GTENG-2476</v>
      </c>
      <c r="BR114">
        <f t="shared" si="76"/>
        <v>24</v>
      </c>
      <c r="BS114" t="str">
        <f t="shared" si="77"/>
        <v/>
      </c>
      <c r="BT114" t="str">
        <f>IF(S114="Clay",ROUND((3.5*AB114)*20.885434273039,0),"")</f>
        <v/>
      </c>
      <c r="BU114" t="str">
        <f t="shared" si="78"/>
        <v>Kulhawy and Mayne 1990</v>
      </c>
      <c r="BV114">
        <f t="shared" si="79"/>
        <v>0.17599999999999999</v>
      </c>
      <c r="BW114" t="str">
        <f t="shared" si="80"/>
        <v>Kulhawy and Mayne 1990</v>
      </c>
      <c r="BX114">
        <f t="shared" si="81"/>
        <v>3.5000000000000003E-2</v>
      </c>
      <c r="BY114" t="str">
        <f t="shared" si="82"/>
        <v>Mesri 1990</v>
      </c>
      <c r="BZ114">
        <f t="shared" si="83"/>
        <v>5.3E-3</v>
      </c>
      <c r="CA114" t="str">
        <f t="shared" si="84"/>
        <v>NAVFAC Vol. 7.1 Figure 4</v>
      </c>
      <c r="CB114">
        <f>IF(P114="","",-0.0000000002*P114^5+0.00000009*P114^4-0.00002*P114^3+0.0019*P114^2-0.0999*P114+2.2178)</f>
        <v>0.52303696639999986</v>
      </c>
      <c r="CC114" t="str">
        <f t="shared" si="85"/>
        <v/>
      </c>
      <c r="CD114" t="str">
        <f>IF(AD114="","",(10^(1.11-1.62*AD114)*100)*20.885434273039)</f>
        <v/>
      </c>
      <c r="CE114" t="str">
        <f t="shared" si="86"/>
        <v>Bowles 5th edition</v>
      </c>
      <c r="CF114">
        <f>IF(S114="Clay","",IF(AB114="","",ROUND((AB114+15)*6.4,0)))</f>
        <v>115</v>
      </c>
      <c r="CG114" t="str">
        <f t="shared" si="87"/>
        <v/>
      </c>
      <c r="CH114" t="str">
        <f>IF(N114="","",ROUND(N114/100*2.67,2))</f>
        <v/>
      </c>
      <c r="CI114" t="str">
        <f t="shared" si="88"/>
        <v/>
      </c>
      <c r="CJ114" t="str">
        <f t="shared" si="89"/>
        <v/>
      </c>
    </row>
    <row r="115" spans="2:88" x14ac:dyDescent="0.3">
      <c r="B115" t="str">
        <f t="shared" si="57"/>
        <v>36.830969-76.119704</v>
      </c>
      <c r="C115" t="s">
        <v>13</v>
      </c>
      <c r="D115">
        <v>36.830969000000003</v>
      </c>
      <c r="E115">
        <v>-76.119703999999999</v>
      </c>
      <c r="F115">
        <v>8.5</v>
      </c>
      <c r="G115" t="str">
        <f t="shared" si="58"/>
        <v>-34.5-36.536.830969-76.119704</v>
      </c>
      <c r="H115">
        <f t="shared" si="59"/>
        <v>-34.5</v>
      </c>
      <c r="I115">
        <v>-36.5</v>
      </c>
      <c r="J115" t="s">
        <v>21</v>
      </c>
      <c r="L115" t="s">
        <v>11</v>
      </c>
      <c r="M115">
        <v>1</v>
      </c>
      <c r="N115">
        <v>32</v>
      </c>
      <c r="O115">
        <v>18</v>
      </c>
      <c r="P115">
        <v>30</v>
      </c>
      <c r="Q115" s="1">
        <f t="shared" si="60"/>
        <v>12</v>
      </c>
      <c r="R115">
        <v>50</v>
      </c>
      <c r="S115" t="str">
        <f t="shared" si="90"/>
        <v>Clay</v>
      </c>
      <c r="T115">
        <f t="shared" si="61"/>
        <v>2</v>
      </c>
      <c r="AA115">
        <v>80</v>
      </c>
      <c r="AB115" s="1">
        <f t="shared" si="62"/>
        <v>1</v>
      </c>
      <c r="AC115">
        <f t="shared" si="63"/>
        <v>0</v>
      </c>
      <c r="AD115">
        <f t="shared" si="64"/>
        <v>1.1666666666666667</v>
      </c>
      <c r="AE115" t="str">
        <f t="shared" si="65"/>
        <v/>
      </c>
      <c r="AG115" s="21" t="str">
        <f t="shared" si="66"/>
        <v/>
      </c>
      <c r="AI115" s="6" t="str">
        <f t="shared" si="67"/>
        <v/>
      </c>
      <c r="AM115" s="7" t="str">
        <f t="shared" si="68"/>
        <v/>
      </c>
      <c r="AQ115" s="8" t="str">
        <f t="shared" si="69"/>
        <v/>
      </c>
      <c r="AW115" s="25" t="str">
        <f t="shared" si="70"/>
        <v/>
      </c>
      <c r="AZ115" s="12" t="str">
        <f t="shared" si="71"/>
        <v/>
      </c>
      <c r="BI115" s="17" t="str">
        <f t="shared" si="72"/>
        <v/>
      </c>
      <c r="BM115" t="str">
        <f t="shared" si="73"/>
        <v>SPT Relationship</v>
      </c>
      <c r="BN115">
        <f>IFERROR(IF(M115=0,95,ROUND(95*M115^0.095,0)),"")</f>
        <v>95</v>
      </c>
      <c r="BO115" t="str">
        <f t="shared" si="74"/>
        <v>Wolff, 1989</v>
      </c>
      <c r="BP115">
        <f>ROUNDDOWN(27.1+0.3*AC115-0.00054*AC115^2,0)</f>
        <v>27</v>
      </c>
      <c r="BQ115" t="str">
        <f t="shared" si="75"/>
        <v>GTENG-2476</v>
      </c>
      <c r="BR115">
        <f t="shared" si="76"/>
        <v>23</v>
      </c>
      <c r="BS115" t="str">
        <f t="shared" si="77"/>
        <v>Stroud 1974 (K=3.5)</v>
      </c>
      <c r="BT115">
        <f>IF(S115="Clay",ROUND((3.5*AB115)*20.885434273039,0),"")</f>
        <v>73</v>
      </c>
      <c r="BU115" t="str">
        <f t="shared" si="78"/>
        <v>Kulhawy and Mayne 1990</v>
      </c>
      <c r="BV115">
        <f t="shared" si="79"/>
        <v>0.16200000000000001</v>
      </c>
      <c r="BW115" t="str">
        <f t="shared" si="80"/>
        <v>Kulhawy and Mayne 1990</v>
      </c>
      <c r="BX115">
        <f t="shared" si="81"/>
        <v>3.2000000000000001E-2</v>
      </c>
      <c r="BY115" t="str">
        <f t="shared" si="82"/>
        <v>Mesri 1990</v>
      </c>
      <c r="BZ115">
        <f t="shared" si="83"/>
        <v>4.8999999999999998E-3</v>
      </c>
      <c r="CA115" t="str">
        <f t="shared" si="84"/>
        <v>NAVFAC Vol. 7.1 Figure 4</v>
      </c>
      <c r="CB115">
        <f>IF(P115="","",-0.0000000002*P115^5+0.00000009*P115^4-0.00002*P115^3+0.0019*P115^2-0.0999*P115+2.2178)</f>
        <v>0.45883999999999991</v>
      </c>
      <c r="CC115" t="str">
        <f t="shared" si="85"/>
        <v>Stas and Kulhawy 1984</v>
      </c>
      <c r="CD115">
        <f>IF(AD115="","",(10^(1.11-1.62*AD115)*100)*20.885434273039)</f>
        <v>346.611932756832</v>
      </c>
      <c r="CE115" t="str">
        <f t="shared" si="86"/>
        <v/>
      </c>
      <c r="CF115" t="str">
        <f>IF(S115="Clay","",IF(AB115="","",ROUND((AB115+15)*6.4,0)))</f>
        <v/>
      </c>
      <c r="CG115" t="str">
        <f t="shared" si="87"/>
        <v>Relationship (Gs=2.67)</v>
      </c>
      <c r="CH115">
        <f>IF(N115="","",ROUND(N115/100*2.67,2))</f>
        <v>0.85</v>
      </c>
      <c r="CI115" t="str">
        <f t="shared" si="88"/>
        <v/>
      </c>
      <c r="CJ115" t="str">
        <f t="shared" si="89"/>
        <v/>
      </c>
    </row>
    <row r="116" spans="2:88" x14ac:dyDescent="0.3">
      <c r="B116" t="str">
        <f t="shared" si="57"/>
        <v>36.830969-76.119704</v>
      </c>
      <c r="C116" t="s">
        <v>13</v>
      </c>
      <c r="D116">
        <v>36.830969000000003</v>
      </c>
      <c r="E116">
        <v>-76.119703999999999</v>
      </c>
      <c r="F116">
        <v>8.5</v>
      </c>
      <c r="G116" t="str">
        <f t="shared" si="58"/>
        <v>-39.5-41.536.830969-76.119704</v>
      </c>
      <c r="H116">
        <f t="shared" si="59"/>
        <v>-39.5</v>
      </c>
      <c r="I116">
        <v>-41.5</v>
      </c>
      <c r="J116" t="s">
        <v>21</v>
      </c>
      <c r="L116" t="s">
        <v>11</v>
      </c>
      <c r="M116">
        <v>1</v>
      </c>
      <c r="Q116" s="1" t="str">
        <f t="shared" si="60"/>
        <v/>
      </c>
      <c r="S116" t="str">
        <f t="shared" si="90"/>
        <v>Clay</v>
      </c>
      <c r="T116">
        <f t="shared" si="61"/>
        <v>1</v>
      </c>
      <c r="AA116">
        <v>80</v>
      </c>
      <c r="AB116" s="1">
        <f t="shared" si="62"/>
        <v>1</v>
      </c>
      <c r="AC116">
        <f t="shared" si="63"/>
        <v>0</v>
      </c>
      <c r="AD116" t="str">
        <f t="shared" si="64"/>
        <v/>
      </c>
      <c r="AE116" t="str">
        <f t="shared" si="65"/>
        <v/>
      </c>
      <c r="AG116" s="21" t="str">
        <f t="shared" si="66"/>
        <v/>
      </c>
      <c r="AI116" s="6" t="str">
        <f t="shared" si="67"/>
        <v/>
      </c>
      <c r="AM116" s="7" t="str">
        <f t="shared" si="68"/>
        <v/>
      </c>
      <c r="AQ116" s="8" t="str">
        <f t="shared" si="69"/>
        <v/>
      </c>
      <c r="AW116" s="25" t="str">
        <f t="shared" si="70"/>
        <v/>
      </c>
      <c r="AZ116" s="12" t="str">
        <f t="shared" si="71"/>
        <v/>
      </c>
      <c r="BI116" s="17" t="str">
        <f t="shared" si="72"/>
        <v/>
      </c>
      <c r="BM116" t="str">
        <f t="shared" si="73"/>
        <v>SPT Relationship</v>
      </c>
      <c r="BN116">
        <f>IFERROR(IF(M116=0,95,ROUND(95*M116^0.095,0)),"")</f>
        <v>95</v>
      </c>
      <c r="BO116" t="str">
        <f t="shared" si="74"/>
        <v>Wolff, 1989</v>
      </c>
      <c r="BP116">
        <f>ROUNDDOWN(27.1+0.3*AC116-0.00054*AC116^2,0)</f>
        <v>27</v>
      </c>
      <c r="BQ116" t="str">
        <f t="shared" si="75"/>
        <v/>
      </c>
      <c r="BR116" t="str">
        <f t="shared" si="76"/>
        <v/>
      </c>
      <c r="BS116" t="str">
        <f t="shared" si="77"/>
        <v>Stroud 1974 (K=3.5)</v>
      </c>
      <c r="BT116">
        <f>IF(S116="Clay",ROUND((3.5*AB116)*20.885434273039,0),"")</f>
        <v>73</v>
      </c>
      <c r="BU116" t="str">
        <f t="shared" si="78"/>
        <v/>
      </c>
      <c r="BV116" t="str">
        <f t="shared" si="79"/>
        <v/>
      </c>
      <c r="BW116" t="str">
        <f t="shared" si="80"/>
        <v/>
      </c>
      <c r="BX116" t="str">
        <f t="shared" si="81"/>
        <v/>
      </c>
      <c r="BY116" t="str">
        <f t="shared" si="82"/>
        <v/>
      </c>
      <c r="BZ116" t="str">
        <f t="shared" si="83"/>
        <v/>
      </c>
      <c r="CA116" t="str">
        <f t="shared" si="84"/>
        <v/>
      </c>
      <c r="CB116" t="str">
        <f>IF(P116="","",-0.0000000002*P116^5+0.00000009*P116^4-0.00002*P116^3+0.0019*P116^2-0.0999*P116+2.2178)</f>
        <v/>
      </c>
      <c r="CC116" t="str">
        <f t="shared" si="85"/>
        <v/>
      </c>
      <c r="CD116" t="str">
        <f>IF(AD116="","",(10^(1.11-1.62*AD116)*100)*20.885434273039)</f>
        <v/>
      </c>
      <c r="CE116" t="str">
        <f t="shared" si="86"/>
        <v/>
      </c>
      <c r="CF116" t="str">
        <f>IF(S116="Clay","",IF(AB116="","",ROUND((AB116+15)*6.4,0)))</f>
        <v/>
      </c>
      <c r="CG116" t="str">
        <f t="shared" si="87"/>
        <v/>
      </c>
      <c r="CH116" t="str">
        <f>IF(N116="","",ROUND(N116/100*2.67,2))</f>
        <v/>
      </c>
      <c r="CI116" t="str">
        <f t="shared" si="88"/>
        <v/>
      </c>
      <c r="CJ116" t="str">
        <f t="shared" si="89"/>
        <v/>
      </c>
    </row>
    <row r="117" spans="2:88" x14ac:dyDescent="0.3">
      <c r="B117" t="str">
        <f t="shared" si="57"/>
        <v>36.830969-76.119704</v>
      </c>
      <c r="C117" t="s">
        <v>13</v>
      </c>
      <c r="D117">
        <v>36.830969000000003</v>
      </c>
      <c r="E117">
        <v>-76.119703999999999</v>
      </c>
      <c r="F117">
        <v>8.5</v>
      </c>
      <c r="G117" t="str">
        <f t="shared" si="58"/>
        <v>-36.5-38.536.830969-76.119704</v>
      </c>
      <c r="H117">
        <f>F117-45</f>
        <v>-36.5</v>
      </c>
      <c r="I117">
        <v>-38.5</v>
      </c>
      <c r="J117" t="s">
        <v>49</v>
      </c>
      <c r="L117" t="s">
        <v>11</v>
      </c>
      <c r="Q117" s="1"/>
      <c r="S117" t="str">
        <f t="shared" si="90"/>
        <v>Clay</v>
      </c>
      <c r="AB117" s="1"/>
      <c r="AE117" t="str">
        <f t="shared" si="65"/>
        <v/>
      </c>
      <c r="AG117" s="21" t="str">
        <f t="shared" si="66"/>
        <v/>
      </c>
      <c r="AI117" s="6" t="str">
        <f t="shared" si="67"/>
        <v/>
      </c>
      <c r="AM117" s="7" t="str">
        <f t="shared" si="68"/>
        <v/>
      </c>
      <c r="AQ117" s="8" t="str">
        <f t="shared" si="69"/>
        <v>Consolidated Undrained Triaxial</v>
      </c>
      <c r="AR117" s="8">
        <f>0.448*2000</f>
        <v>896</v>
      </c>
      <c r="AS117" s="8">
        <v>0</v>
      </c>
      <c r="AV117" s="8">
        <v>0.79920000000000002</v>
      </c>
      <c r="AW117" s="25" t="str">
        <f t="shared" si="70"/>
        <v/>
      </c>
      <c r="AZ117" s="12" t="str">
        <f t="shared" si="71"/>
        <v/>
      </c>
      <c r="BI117" s="17" t="str">
        <f t="shared" si="72"/>
        <v>Permeability Test</v>
      </c>
      <c r="BJ117" s="28">
        <v>3.3990000000000002E-7</v>
      </c>
      <c r="BM117" t="str">
        <f t="shared" si="73"/>
        <v/>
      </c>
      <c r="BO117" t="str">
        <f t="shared" si="74"/>
        <v/>
      </c>
      <c r="BQ117" t="str">
        <f t="shared" si="75"/>
        <v/>
      </c>
      <c r="BS117" t="str">
        <f t="shared" si="77"/>
        <v/>
      </c>
      <c r="BU117" t="str">
        <f t="shared" si="78"/>
        <v/>
      </c>
      <c r="BW117" t="str">
        <f t="shared" si="80"/>
        <v/>
      </c>
      <c r="BY117" t="str">
        <f t="shared" si="82"/>
        <v/>
      </c>
      <c r="CA117" t="str">
        <f t="shared" si="84"/>
        <v/>
      </c>
      <c r="CC117" t="str">
        <f t="shared" si="85"/>
        <v/>
      </c>
      <c r="CE117" t="str">
        <f t="shared" si="86"/>
        <v/>
      </c>
      <c r="CG117" t="str">
        <f t="shared" si="87"/>
        <v/>
      </c>
      <c r="CI117" t="str">
        <f t="shared" si="88"/>
        <v/>
      </c>
      <c r="CJ117" t="str">
        <f t="shared" si="89"/>
        <v/>
      </c>
    </row>
    <row r="118" spans="2:88" x14ac:dyDescent="0.3">
      <c r="B118" t="str">
        <f t="shared" si="57"/>
        <v>36.830969-76.119704</v>
      </c>
      <c r="C118" t="s">
        <v>13</v>
      </c>
      <c r="D118">
        <v>36.830969000000003</v>
      </c>
      <c r="E118">
        <v>-76.119703999999999</v>
      </c>
      <c r="F118">
        <v>8.5</v>
      </c>
      <c r="G118" t="str">
        <f t="shared" si="58"/>
        <v>-44.5-46.536.830969-76.119704</v>
      </c>
      <c r="H118">
        <f t="shared" si="59"/>
        <v>-44.5</v>
      </c>
      <c r="I118">
        <v>-46.5</v>
      </c>
      <c r="J118" t="s">
        <v>21</v>
      </c>
      <c r="L118" t="s">
        <v>11</v>
      </c>
      <c r="M118">
        <v>3</v>
      </c>
      <c r="N118">
        <v>27</v>
      </c>
      <c r="O118">
        <v>15</v>
      </c>
      <c r="P118">
        <v>37</v>
      </c>
      <c r="Q118" s="1">
        <f t="shared" si="60"/>
        <v>22</v>
      </c>
      <c r="R118">
        <v>62</v>
      </c>
      <c r="S118" t="str">
        <f t="shared" si="90"/>
        <v>Clay</v>
      </c>
      <c r="T118">
        <f t="shared" si="61"/>
        <v>2</v>
      </c>
      <c r="AA118">
        <v>80</v>
      </c>
      <c r="AB118" s="1">
        <f t="shared" si="62"/>
        <v>4</v>
      </c>
      <c r="AC118">
        <f t="shared" si="63"/>
        <v>2</v>
      </c>
      <c r="AD118">
        <f t="shared" si="64"/>
        <v>0.54545454545454541</v>
      </c>
      <c r="AE118" t="str">
        <f t="shared" si="65"/>
        <v/>
      </c>
      <c r="AG118" s="21" t="str">
        <f t="shared" si="66"/>
        <v/>
      </c>
      <c r="AI118" s="6" t="str">
        <f t="shared" si="67"/>
        <v/>
      </c>
      <c r="AM118" s="7" t="str">
        <f t="shared" si="68"/>
        <v/>
      </c>
      <c r="AQ118" s="8" t="str">
        <f t="shared" si="69"/>
        <v/>
      </c>
      <c r="AW118" s="25" t="str">
        <f t="shared" si="70"/>
        <v/>
      </c>
      <c r="AZ118" s="12" t="str">
        <f t="shared" si="71"/>
        <v/>
      </c>
      <c r="BI118" s="17" t="str">
        <f t="shared" si="72"/>
        <v/>
      </c>
      <c r="BM118" t="str">
        <f t="shared" si="73"/>
        <v>SPT Relationship</v>
      </c>
      <c r="BN118">
        <f>IFERROR(IF(M118=0,95,ROUND(95*M118^0.095,0)),"")</f>
        <v>105</v>
      </c>
      <c r="BO118" t="str">
        <f t="shared" si="74"/>
        <v>Wolff, 1989</v>
      </c>
      <c r="BP118">
        <f>ROUNDDOWN(27.1+0.3*AC118-0.00054*AC118^2,0)</f>
        <v>27</v>
      </c>
      <c r="BQ118" t="str">
        <f t="shared" si="75"/>
        <v>GTENG-2476</v>
      </c>
      <c r="BR118">
        <f t="shared" si="76"/>
        <v>23</v>
      </c>
      <c r="BS118" t="str">
        <f t="shared" si="77"/>
        <v>Stroud 1974 (K=3.5)</v>
      </c>
      <c r="BT118">
        <f>IF(S118="Clay",ROUND((3.5*AB118)*20.885434273039,0),"")</f>
        <v>292</v>
      </c>
      <c r="BU118" t="str">
        <f t="shared" si="78"/>
        <v>Kulhawy and Mayne 1990</v>
      </c>
      <c r="BV118">
        <f t="shared" si="79"/>
        <v>0.29699999999999999</v>
      </c>
      <c r="BW118" t="str">
        <f t="shared" si="80"/>
        <v>Kulhawy and Mayne 1990</v>
      </c>
      <c r="BX118">
        <f t="shared" si="81"/>
        <v>5.8999999999999997E-2</v>
      </c>
      <c r="BY118" t="str">
        <f t="shared" si="82"/>
        <v>Mesri 1990</v>
      </c>
      <c r="BZ118">
        <f t="shared" si="83"/>
        <v>8.8999999999999999E-3</v>
      </c>
      <c r="CA118" t="str">
        <f t="shared" si="84"/>
        <v>NAVFAC Vol. 7.1 Figure 4</v>
      </c>
      <c r="CB118">
        <f>IF(P118="","",-0.0000000002*P118^5+0.00000009*P118^4-0.00002*P118^3+0.0019*P118^2-0.0999*P118+2.2178)</f>
        <v>0.26434569860000012</v>
      </c>
      <c r="CC118" t="str">
        <f t="shared" si="85"/>
        <v>Stas and Kulhawy 1984</v>
      </c>
      <c r="CD118">
        <f>IF(AD118="","",(10^(1.11-1.62*AD118)*100)*20.885434273039)</f>
        <v>3517.2816507793827</v>
      </c>
      <c r="CE118" t="str">
        <f t="shared" si="86"/>
        <v/>
      </c>
      <c r="CF118" t="str">
        <f>IF(S118="Clay","",IF(AB118="","",ROUND((AB118+15)*6.4,0)))</f>
        <v/>
      </c>
      <c r="CG118" t="str">
        <f t="shared" si="87"/>
        <v>Relationship (Gs=2.67)</v>
      </c>
      <c r="CH118">
        <f>IF(N118="","",ROUND(N118/100*2.67,2))</f>
        <v>0.72</v>
      </c>
      <c r="CI118" t="str">
        <f t="shared" si="88"/>
        <v/>
      </c>
      <c r="CJ118" t="str">
        <f t="shared" si="89"/>
        <v/>
      </c>
    </row>
    <row r="119" spans="2:88" x14ac:dyDescent="0.3">
      <c r="B119" t="str">
        <f t="shared" si="57"/>
        <v>36.830969-76.119704</v>
      </c>
      <c r="C119" t="s">
        <v>13</v>
      </c>
      <c r="D119">
        <v>36.830969000000003</v>
      </c>
      <c r="E119">
        <v>-76.119703999999999</v>
      </c>
      <c r="F119">
        <v>8.5</v>
      </c>
      <c r="G119" t="str">
        <f t="shared" si="58"/>
        <v>-41.5-43.536.830969-76.119704</v>
      </c>
      <c r="H119">
        <f>F119-50</f>
        <v>-41.5</v>
      </c>
      <c r="I119">
        <v>-43.5</v>
      </c>
      <c r="J119" t="s">
        <v>49</v>
      </c>
      <c r="L119" t="s">
        <v>11</v>
      </c>
      <c r="Q119" s="1"/>
      <c r="S119" t="str">
        <f t="shared" si="90"/>
        <v>Clay</v>
      </c>
      <c r="AB119" s="1"/>
      <c r="AE119" t="str">
        <f t="shared" si="65"/>
        <v/>
      </c>
      <c r="AG119" s="21" t="str">
        <f t="shared" si="66"/>
        <v/>
      </c>
      <c r="AI119" s="6" t="str">
        <f t="shared" si="67"/>
        <v/>
      </c>
      <c r="AM119" s="7" t="str">
        <f t="shared" si="68"/>
        <v/>
      </c>
      <c r="AQ119" s="8" t="str">
        <f t="shared" si="69"/>
        <v>Consolidated Undrained Triaxial</v>
      </c>
      <c r="AR119" s="8">
        <f>0.631*2000</f>
        <v>1262</v>
      </c>
      <c r="AS119" s="8">
        <v>0</v>
      </c>
      <c r="AV119" s="8">
        <v>0.84230000000000005</v>
      </c>
      <c r="AW119" s="25" t="str">
        <f t="shared" si="70"/>
        <v/>
      </c>
      <c r="AZ119" s="12" t="str">
        <f t="shared" si="71"/>
        <v/>
      </c>
      <c r="BI119" s="17" t="str">
        <f t="shared" si="72"/>
        <v/>
      </c>
      <c r="BM119" t="str">
        <f t="shared" si="73"/>
        <v/>
      </c>
      <c r="BO119" t="str">
        <f t="shared" si="74"/>
        <v/>
      </c>
      <c r="BQ119" t="str">
        <f t="shared" si="75"/>
        <v/>
      </c>
      <c r="BS119" t="str">
        <f t="shared" si="77"/>
        <v/>
      </c>
      <c r="BU119" t="str">
        <f t="shared" si="78"/>
        <v/>
      </c>
      <c r="BW119" t="str">
        <f t="shared" si="80"/>
        <v/>
      </c>
      <c r="BY119" t="str">
        <f t="shared" si="82"/>
        <v/>
      </c>
      <c r="CA119" t="str">
        <f t="shared" si="84"/>
        <v/>
      </c>
      <c r="CC119" t="str">
        <f t="shared" si="85"/>
        <v/>
      </c>
      <c r="CE119" t="str">
        <f t="shared" si="86"/>
        <v/>
      </c>
      <c r="CG119" t="str">
        <f t="shared" si="87"/>
        <v/>
      </c>
      <c r="CI119" t="str">
        <f t="shared" si="88"/>
        <v/>
      </c>
      <c r="CJ119" t="str">
        <f t="shared" si="89"/>
        <v/>
      </c>
    </row>
    <row r="120" spans="2:88" x14ac:dyDescent="0.3">
      <c r="B120" t="str">
        <f t="shared" si="57"/>
        <v>36.830969-76.119704</v>
      </c>
      <c r="C120" t="s">
        <v>13</v>
      </c>
      <c r="D120">
        <v>36.830969000000003</v>
      </c>
      <c r="E120">
        <v>-76.119703999999999</v>
      </c>
      <c r="F120">
        <v>8.5</v>
      </c>
      <c r="G120" t="str">
        <f t="shared" si="58"/>
        <v>-49.5-51.536.830969-76.119704</v>
      </c>
      <c r="H120">
        <f t="shared" si="59"/>
        <v>-49.5</v>
      </c>
      <c r="I120">
        <v>-51.5</v>
      </c>
      <c r="J120" t="s">
        <v>21</v>
      </c>
      <c r="L120" t="s">
        <v>17</v>
      </c>
      <c r="M120">
        <v>5</v>
      </c>
      <c r="Q120" s="1" t="str">
        <f t="shared" si="60"/>
        <v/>
      </c>
      <c r="S120" t="str">
        <f t="shared" si="90"/>
        <v>Sand</v>
      </c>
      <c r="T120">
        <f t="shared" si="61"/>
        <v>1</v>
      </c>
      <c r="AA120">
        <v>80</v>
      </c>
      <c r="AB120" s="1">
        <f t="shared" si="62"/>
        <v>7</v>
      </c>
      <c r="AC120">
        <f t="shared" si="63"/>
        <v>3</v>
      </c>
      <c r="AD120" t="str">
        <f t="shared" si="64"/>
        <v/>
      </c>
      <c r="AE120" t="str">
        <f t="shared" si="65"/>
        <v/>
      </c>
      <c r="AG120" s="21" t="str">
        <f t="shared" si="66"/>
        <v/>
      </c>
      <c r="AI120" s="6" t="str">
        <f t="shared" si="67"/>
        <v/>
      </c>
      <c r="AM120" s="7" t="str">
        <f t="shared" si="68"/>
        <v/>
      </c>
      <c r="AQ120" s="8" t="str">
        <f t="shared" si="69"/>
        <v/>
      </c>
      <c r="AW120" s="25" t="str">
        <f t="shared" si="70"/>
        <v/>
      </c>
      <c r="AZ120" s="12" t="str">
        <f t="shared" si="71"/>
        <v/>
      </c>
      <c r="BI120" s="17" t="str">
        <f t="shared" si="72"/>
        <v/>
      </c>
      <c r="BM120" t="str">
        <f t="shared" si="73"/>
        <v>SPT Relationship</v>
      </c>
      <c r="BN120">
        <f>IFERROR(IF(M120=0,95,ROUND(95*M120^0.095,0)),"")</f>
        <v>111</v>
      </c>
      <c r="BO120" t="str">
        <f t="shared" si="74"/>
        <v>Wolff, 1989</v>
      </c>
      <c r="BP120">
        <f>ROUNDDOWN(27.1+0.3*AC120-0.00054*AC120^2,0)</f>
        <v>27</v>
      </c>
      <c r="BQ120" t="str">
        <f t="shared" si="75"/>
        <v/>
      </c>
      <c r="BR120" t="str">
        <f t="shared" si="76"/>
        <v/>
      </c>
      <c r="BS120" t="str">
        <f t="shared" si="77"/>
        <v/>
      </c>
      <c r="BT120" t="str">
        <f>IF(S120="Clay",ROUND((3.5*AB120)*20.885434273039,0),"")</f>
        <v/>
      </c>
      <c r="BU120" t="str">
        <f t="shared" si="78"/>
        <v/>
      </c>
      <c r="BV120" t="str">
        <f t="shared" si="79"/>
        <v/>
      </c>
      <c r="BW120" t="str">
        <f t="shared" si="80"/>
        <v/>
      </c>
      <c r="BX120" t="str">
        <f t="shared" si="81"/>
        <v/>
      </c>
      <c r="BY120" t="str">
        <f t="shared" si="82"/>
        <v/>
      </c>
      <c r="BZ120" t="str">
        <f t="shared" si="83"/>
        <v/>
      </c>
      <c r="CA120" t="str">
        <f t="shared" si="84"/>
        <v/>
      </c>
      <c r="CB120" t="str">
        <f>IF(P120="","",-0.0000000002*P120^5+0.00000009*P120^4-0.00002*P120^3+0.0019*P120^2-0.0999*P120+2.2178)</f>
        <v/>
      </c>
      <c r="CC120" t="str">
        <f t="shared" si="85"/>
        <v/>
      </c>
      <c r="CD120" t="str">
        <f>IF(AD120="","",(10^(1.11-1.62*AD120)*100)*20.885434273039)</f>
        <v/>
      </c>
      <c r="CE120" t="str">
        <f t="shared" si="86"/>
        <v>Bowles 5th edition</v>
      </c>
      <c r="CF120">
        <f>IF(S120="Clay","",IF(AB120="","",ROUND((AB120+15)*6.4,0)))</f>
        <v>141</v>
      </c>
      <c r="CG120" t="str">
        <f t="shared" si="87"/>
        <v/>
      </c>
      <c r="CH120" t="str">
        <f>IF(N120="","",ROUND(N120/100*2.67,2))</f>
        <v/>
      </c>
      <c r="CI120" t="str">
        <f t="shared" si="88"/>
        <v/>
      </c>
      <c r="CJ120" t="str">
        <f t="shared" si="89"/>
        <v/>
      </c>
    </row>
    <row r="121" spans="2:88" x14ac:dyDescent="0.3">
      <c r="B121" t="str">
        <f t="shared" si="57"/>
        <v>36.830969-76.119704</v>
      </c>
      <c r="C121" t="s">
        <v>13</v>
      </c>
      <c r="D121">
        <v>36.830969000000003</v>
      </c>
      <c r="E121">
        <v>-76.119703999999999</v>
      </c>
      <c r="F121">
        <v>8.5</v>
      </c>
      <c r="G121" t="str">
        <f t="shared" si="58"/>
        <v>-54.5-56.536.830969-76.119704</v>
      </c>
      <c r="H121">
        <f t="shared" si="59"/>
        <v>-54.5</v>
      </c>
      <c r="I121">
        <v>-56.5</v>
      </c>
      <c r="J121" t="s">
        <v>21</v>
      </c>
      <c r="L121" t="s">
        <v>17</v>
      </c>
      <c r="M121">
        <v>7</v>
      </c>
      <c r="N121">
        <v>30</v>
      </c>
      <c r="O121">
        <v>14</v>
      </c>
      <c r="P121">
        <v>27</v>
      </c>
      <c r="Q121" s="1">
        <f t="shared" si="60"/>
        <v>13</v>
      </c>
      <c r="R121">
        <v>28</v>
      </c>
      <c r="S121" t="str">
        <f t="shared" si="90"/>
        <v>Sand</v>
      </c>
      <c r="T121">
        <f t="shared" si="61"/>
        <v>2</v>
      </c>
      <c r="AA121">
        <v>80</v>
      </c>
      <c r="AB121" s="1">
        <f t="shared" si="62"/>
        <v>9</v>
      </c>
      <c r="AC121">
        <f t="shared" si="63"/>
        <v>4</v>
      </c>
      <c r="AD121">
        <f t="shared" si="64"/>
        <v>1.2307692307692308</v>
      </c>
      <c r="AE121" t="str">
        <f t="shared" si="65"/>
        <v/>
      </c>
      <c r="AG121" s="21" t="str">
        <f t="shared" si="66"/>
        <v/>
      </c>
      <c r="AI121" s="6" t="str">
        <f t="shared" si="67"/>
        <v/>
      </c>
      <c r="AM121" s="7" t="str">
        <f t="shared" si="68"/>
        <v/>
      </c>
      <c r="AQ121" s="8" t="str">
        <f t="shared" si="69"/>
        <v/>
      </c>
      <c r="AW121" s="25" t="str">
        <f t="shared" si="70"/>
        <v/>
      </c>
      <c r="AZ121" s="12" t="str">
        <f t="shared" si="71"/>
        <v/>
      </c>
      <c r="BI121" s="17" t="str">
        <f t="shared" si="72"/>
        <v/>
      </c>
      <c r="BM121" t="str">
        <f t="shared" si="73"/>
        <v>SPT Relationship</v>
      </c>
      <c r="BN121">
        <f>IFERROR(IF(M121=0,95,ROUND(95*M121^0.095,0)),"")</f>
        <v>114</v>
      </c>
      <c r="BO121" t="str">
        <f t="shared" si="74"/>
        <v>Wolff, 1989</v>
      </c>
      <c r="BP121">
        <f>ROUNDDOWN(27.1+0.3*AC121-0.00054*AC121^2,0)</f>
        <v>28</v>
      </c>
      <c r="BQ121" t="str">
        <f t="shared" si="75"/>
        <v>GTENG-2476</v>
      </c>
      <c r="BR121">
        <f t="shared" si="76"/>
        <v>24</v>
      </c>
      <c r="BS121" t="str">
        <f t="shared" si="77"/>
        <v/>
      </c>
      <c r="BT121" t="str">
        <f>IF(S121="Clay",ROUND((3.5*AB121)*20.885434273039,0),"")</f>
        <v/>
      </c>
      <c r="BU121" t="str">
        <f t="shared" si="78"/>
        <v>Kulhawy and Mayne 1990</v>
      </c>
      <c r="BV121">
        <f t="shared" si="79"/>
        <v>0.17599999999999999</v>
      </c>
      <c r="BW121" t="str">
        <f t="shared" si="80"/>
        <v>Kulhawy and Mayne 1990</v>
      </c>
      <c r="BX121">
        <f t="shared" si="81"/>
        <v>3.5000000000000003E-2</v>
      </c>
      <c r="BY121" t="str">
        <f t="shared" si="82"/>
        <v>Mesri 1990</v>
      </c>
      <c r="BZ121">
        <f t="shared" si="83"/>
        <v>5.3E-3</v>
      </c>
      <c r="CA121" t="str">
        <f t="shared" si="84"/>
        <v>NAVFAC Vol. 7.1 Figure 4</v>
      </c>
      <c r="CB121">
        <f>IF(P121="","",-0.0000000002*P121^5+0.00000009*P121^4-0.00002*P121^3+0.0019*P121^2-0.0999*P121+2.2178)</f>
        <v>0.55689990859999972</v>
      </c>
      <c r="CC121" t="str">
        <f t="shared" si="85"/>
        <v>Stas and Kulhawy 1984</v>
      </c>
      <c r="CD121">
        <f>IF(AD121="","",(10^(1.11-1.62*AD121)*100)*20.885434273039)</f>
        <v>272.89611698766231</v>
      </c>
      <c r="CE121" t="str">
        <f t="shared" si="86"/>
        <v>Bowles 5th edition</v>
      </c>
      <c r="CF121">
        <f>IF(S121="Clay","",IF(AB121="","",ROUND((AB121+15)*6.4,0)))</f>
        <v>154</v>
      </c>
      <c r="CG121" t="str">
        <f t="shared" si="87"/>
        <v>Relationship (Gs=2.67)</v>
      </c>
      <c r="CH121">
        <f>IF(N121="","",ROUND(N121/100*2.67,2))</f>
        <v>0.8</v>
      </c>
      <c r="CI121" t="str">
        <f t="shared" si="88"/>
        <v/>
      </c>
      <c r="CJ121" t="str">
        <f t="shared" si="89"/>
        <v/>
      </c>
    </row>
    <row r="122" spans="2:88" x14ac:dyDescent="0.3">
      <c r="B122" t="str">
        <f t="shared" si="57"/>
        <v>36.830969-76.119704</v>
      </c>
      <c r="C122" t="s">
        <v>13</v>
      </c>
      <c r="D122">
        <v>36.830969000000003</v>
      </c>
      <c r="E122">
        <v>-76.119703999999999</v>
      </c>
      <c r="F122">
        <v>8.5</v>
      </c>
      <c r="G122" t="str">
        <f t="shared" si="58"/>
        <v>-59.5-61.536.830969-76.119704</v>
      </c>
      <c r="H122">
        <f t="shared" si="59"/>
        <v>-59.5</v>
      </c>
      <c r="I122">
        <v>-61.5</v>
      </c>
      <c r="J122" t="s">
        <v>21</v>
      </c>
      <c r="L122" t="s">
        <v>16</v>
      </c>
      <c r="M122">
        <v>16</v>
      </c>
      <c r="N122">
        <v>20</v>
      </c>
      <c r="Q122" s="1" t="str">
        <f t="shared" si="60"/>
        <v/>
      </c>
      <c r="R122">
        <v>7</v>
      </c>
      <c r="S122" t="str">
        <f t="shared" si="90"/>
        <v>Sand</v>
      </c>
      <c r="T122">
        <f t="shared" si="61"/>
        <v>2</v>
      </c>
      <c r="AA122">
        <v>80</v>
      </c>
      <c r="AB122" s="1">
        <f t="shared" si="62"/>
        <v>21</v>
      </c>
      <c r="AC122">
        <f t="shared" si="63"/>
        <v>10</v>
      </c>
      <c r="AD122" t="str">
        <f t="shared" si="64"/>
        <v/>
      </c>
      <c r="AE122" t="str">
        <f t="shared" si="65"/>
        <v/>
      </c>
      <c r="AG122" s="21" t="str">
        <f t="shared" si="66"/>
        <v/>
      </c>
      <c r="AI122" s="6" t="str">
        <f t="shared" si="67"/>
        <v/>
      </c>
      <c r="AM122" s="7" t="str">
        <f t="shared" si="68"/>
        <v/>
      </c>
      <c r="AQ122" s="8" t="str">
        <f t="shared" si="69"/>
        <v/>
      </c>
      <c r="AW122" s="25" t="str">
        <f t="shared" si="70"/>
        <v/>
      </c>
      <c r="AZ122" s="12" t="str">
        <f t="shared" si="71"/>
        <v/>
      </c>
      <c r="BI122" s="17" t="str">
        <f t="shared" si="72"/>
        <v/>
      </c>
      <c r="BM122" t="str">
        <f t="shared" si="73"/>
        <v>SPT Relationship</v>
      </c>
      <c r="BN122">
        <f>IFERROR(IF(M122=0,95,ROUND(95*M122^0.095,0)),"")</f>
        <v>124</v>
      </c>
      <c r="BO122" t="str">
        <f t="shared" si="74"/>
        <v>Wolff, 1989</v>
      </c>
      <c r="BP122">
        <f>ROUNDDOWN(27.1+0.3*AC122-0.00054*AC122^2,0)</f>
        <v>30</v>
      </c>
      <c r="BQ122" t="str">
        <f t="shared" si="75"/>
        <v/>
      </c>
      <c r="BR122" t="str">
        <f t="shared" si="76"/>
        <v/>
      </c>
      <c r="BS122" t="str">
        <f t="shared" si="77"/>
        <v/>
      </c>
      <c r="BT122" t="str">
        <f>IF(S122="Clay",ROUND((3.5*AB122)*20.885434273039,0),"")</f>
        <v/>
      </c>
      <c r="BU122" t="str">
        <f t="shared" si="78"/>
        <v/>
      </c>
      <c r="BV122" t="str">
        <f t="shared" si="79"/>
        <v/>
      </c>
      <c r="BW122" t="str">
        <f t="shared" si="80"/>
        <v/>
      </c>
      <c r="BX122" t="str">
        <f t="shared" si="81"/>
        <v/>
      </c>
      <c r="BY122" t="str">
        <f t="shared" si="82"/>
        <v/>
      </c>
      <c r="BZ122" t="str">
        <f t="shared" si="83"/>
        <v/>
      </c>
      <c r="CA122" t="str">
        <f t="shared" si="84"/>
        <v/>
      </c>
      <c r="CB122" t="str">
        <f>IF(P122="","",-0.0000000002*P122^5+0.00000009*P122^4-0.00002*P122^3+0.0019*P122^2-0.0999*P122+2.2178)</f>
        <v/>
      </c>
      <c r="CC122" t="str">
        <f t="shared" si="85"/>
        <v/>
      </c>
      <c r="CD122" t="str">
        <f>IF(AD122="","",(10^(1.11-1.62*AD122)*100)*20.885434273039)</f>
        <v/>
      </c>
      <c r="CE122" t="str">
        <f t="shared" si="86"/>
        <v>Bowles 5th edition</v>
      </c>
      <c r="CF122">
        <f>IF(S122="Clay","",IF(AB122="","",ROUND((AB122+15)*6.4,0)))</f>
        <v>230</v>
      </c>
      <c r="CG122" t="str">
        <f t="shared" si="87"/>
        <v>Relationship (Gs=2.67)</v>
      </c>
      <c r="CH122">
        <f>IF(N122="","",ROUND(N122/100*2.67,2))</f>
        <v>0.53</v>
      </c>
      <c r="CI122" t="str">
        <f t="shared" si="88"/>
        <v/>
      </c>
      <c r="CJ122" t="str">
        <f t="shared" si="89"/>
        <v/>
      </c>
    </row>
    <row r="123" spans="2:88" x14ac:dyDescent="0.3">
      <c r="B123" t="str">
        <f t="shared" si="57"/>
        <v>36.830969-76.119704</v>
      </c>
      <c r="C123" t="s">
        <v>13</v>
      </c>
      <c r="D123">
        <v>36.830969000000003</v>
      </c>
      <c r="E123">
        <v>-76.119703999999999</v>
      </c>
      <c r="F123">
        <v>8.5</v>
      </c>
      <c r="G123" t="str">
        <f t="shared" si="58"/>
        <v>-51.5-53.536.830969-76.119704</v>
      </c>
      <c r="H123">
        <f>F123-60</f>
        <v>-51.5</v>
      </c>
      <c r="I123">
        <v>-53.5</v>
      </c>
      <c r="J123" t="s">
        <v>49</v>
      </c>
      <c r="L123" t="s">
        <v>8</v>
      </c>
      <c r="Q123" s="1"/>
      <c r="S123" t="str">
        <f t="shared" si="90"/>
        <v>Sand</v>
      </c>
      <c r="AB123" s="1"/>
      <c r="AE123" t="str">
        <f t="shared" si="65"/>
        <v/>
      </c>
      <c r="AG123" s="21" t="str">
        <f t="shared" si="66"/>
        <v/>
      </c>
      <c r="AI123" s="6" t="str">
        <f t="shared" si="67"/>
        <v/>
      </c>
      <c r="AM123" s="7" t="str">
        <f t="shared" si="68"/>
        <v/>
      </c>
      <c r="AQ123" s="8" t="str">
        <f t="shared" si="69"/>
        <v/>
      </c>
      <c r="AW123" s="25" t="str">
        <f t="shared" si="70"/>
        <v>Direct Shear</v>
      </c>
      <c r="AX123" s="25">
        <v>35</v>
      </c>
      <c r="AY123" s="25">
        <v>0</v>
      </c>
      <c r="AZ123" s="12" t="str">
        <f t="shared" si="71"/>
        <v/>
      </c>
      <c r="BI123" s="17" t="str">
        <f t="shared" si="72"/>
        <v/>
      </c>
      <c r="BM123" t="str">
        <f t="shared" si="73"/>
        <v/>
      </c>
      <c r="BO123" t="str">
        <f t="shared" si="74"/>
        <v/>
      </c>
      <c r="BQ123" t="str">
        <f t="shared" si="75"/>
        <v/>
      </c>
      <c r="BS123" t="str">
        <f t="shared" si="77"/>
        <v/>
      </c>
      <c r="BU123" t="str">
        <f t="shared" si="78"/>
        <v/>
      </c>
      <c r="BW123" t="str">
        <f t="shared" si="80"/>
        <v/>
      </c>
      <c r="BY123" t="str">
        <f t="shared" si="82"/>
        <v/>
      </c>
      <c r="CA123" t="str">
        <f t="shared" si="84"/>
        <v/>
      </c>
      <c r="CC123" t="str">
        <f t="shared" si="85"/>
        <v/>
      </c>
      <c r="CE123" t="str">
        <f t="shared" si="86"/>
        <v/>
      </c>
      <c r="CG123" t="str">
        <f t="shared" si="87"/>
        <v/>
      </c>
      <c r="CI123" t="str">
        <f t="shared" si="88"/>
        <v/>
      </c>
      <c r="CJ123" t="str">
        <f t="shared" si="89"/>
        <v/>
      </c>
    </row>
    <row r="124" spans="2:88" x14ac:dyDescent="0.3">
      <c r="B124" t="str">
        <f t="shared" si="57"/>
        <v>36.830969-76.119704</v>
      </c>
      <c r="C124" t="s">
        <v>13</v>
      </c>
      <c r="D124">
        <v>36.830969000000003</v>
      </c>
      <c r="E124">
        <v>-76.119703999999999</v>
      </c>
      <c r="F124">
        <v>8.5</v>
      </c>
      <c r="G124" t="str">
        <f t="shared" si="58"/>
        <v>-64.5-66.536.830969-76.119704</v>
      </c>
      <c r="H124">
        <f t="shared" si="59"/>
        <v>-64.5</v>
      </c>
      <c r="I124">
        <v>-66.5</v>
      </c>
      <c r="J124" t="s">
        <v>21</v>
      </c>
      <c r="L124" t="s">
        <v>11</v>
      </c>
      <c r="M124">
        <v>16</v>
      </c>
      <c r="N124">
        <v>30</v>
      </c>
      <c r="O124">
        <v>23</v>
      </c>
      <c r="P124">
        <v>42</v>
      </c>
      <c r="Q124" s="1">
        <f t="shared" si="60"/>
        <v>19</v>
      </c>
      <c r="R124">
        <v>80</v>
      </c>
      <c r="S124" t="str">
        <f t="shared" si="90"/>
        <v>Clay</v>
      </c>
      <c r="T124">
        <f t="shared" si="61"/>
        <v>2</v>
      </c>
      <c r="AA124">
        <v>80</v>
      </c>
      <c r="AB124" s="1">
        <f t="shared" si="62"/>
        <v>21</v>
      </c>
      <c r="AC124">
        <f t="shared" si="63"/>
        <v>10</v>
      </c>
      <c r="AD124">
        <f t="shared" si="64"/>
        <v>0.36842105263157893</v>
      </c>
      <c r="AE124" t="str">
        <f t="shared" si="65"/>
        <v/>
      </c>
      <c r="AG124" s="21" t="str">
        <f t="shared" si="66"/>
        <v/>
      </c>
      <c r="AI124" s="6" t="str">
        <f t="shared" si="67"/>
        <v/>
      </c>
      <c r="AM124" s="7" t="str">
        <f t="shared" si="68"/>
        <v/>
      </c>
      <c r="AQ124" s="8" t="str">
        <f t="shared" si="69"/>
        <v/>
      </c>
      <c r="AW124" s="25" t="str">
        <f t="shared" si="70"/>
        <v/>
      </c>
      <c r="AZ124" s="12" t="str">
        <f t="shared" si="71"/>
        <v/>
      </c>
      <c r="BI124" s="17" t="str">
        <f t="shared" si="72"/>
        <v/>
      </c>
      <c r="BM124" t="str">
        <f t="shared" si="73"/>
        <v>SPT Relationship</v>
      </c>
      <c r="BN124">
        <f>IFERROR(IF(M124=0,95,ROUND(95*M124^0.095,0)),"")</f>
        <v>124</v>
      </c>
      <c r="BO124" t="str">
        <f t="shared" si="74"/>
        <v>Wolff, 1989</v>
      </c>
      <c r="BP124">
        <f>ROUNDDOWN(27.1+0.3*AC124-0.00054*AC124^2,0)</f>
        <v>30</v>
      </c>
      <c r="BQ124" t="str">
        <f t="shared" si="75"/>
        <v>GTENG-2476</v>
      </c>
      <c r="BR124">
        <f t="shared" si="76"/>
        <v>22</v>
      </c>
      <c r="BS124" t="str">
        <f t="shared" si="77"/>
        <v>Stroud 1974 (K=3.5)</v>
      </c>
      <c r="BT124">
        <f>IF(S124="Clay",ROUND((3.5*AB124)*20.885434273039,0),"")</f>
        <v>1535</v>
      </c>
      <c r="BU124" t="str">
        <f t="shared" si="78"/>
        <v>Kulhawy and Mayne 1990</v>
      </c>
      <c r="BV124">
        <f t="shared" si="79"/>
        <v>0.25700000000000001</v>
      </c>
      <c r="BW124" t="str">
        <f t="shared" si="80"/>
        <v>Kulhawy and Mayne 1990</v>
      </c>
      <c r="BX124">
        <f t="shared" si="81"/>
        <v>5.0999999999999997E-2</v>
      </c>
      <c r="BY124" t="str">
        <f t="shared" si="82"/>
        <v>Mesri 1990</v>
      </c>
      <c r="BZ124">
        <f t="shared" si="83"/>
        <v>7.7000000000000002E-3</v>
      </c>
      <c r="CA124" t="str">
        <f t="shared" si="84"/>
        <v>NAVFAC Vol. 7.1 Figure 4</v>
      </c>
      <c r="CB124">
        <f>IF(P124="","",-0.0000000002*P124^5+0.00000009*P124^4-0.00002*P124^3+0.0019*P124^2-0.0999*P124+2.2178)</f>
        <v>0.14575439359999942</v>
      </c>
      <c r="CC124" t="str">
        <f t="shared" si="85"/>
        <v>Stas and Kulhawy 1984</v>
      </c>
      <c r="CD124">
        <f>IF(AD124="","",(10^(1.11-1.62*AD124)*100)*20.885434273039)</f>
        <v>6807.7156070435913</v>
      </c>
      <c r="CE124" t="str">
        <f t="shared" si="86"/>
        <v/>
      </c>
      <c r="CF124" t="str">
        <f>IF(S124="Clay","",IF(AB124="","",ROUND((AB124+15)*6.4,0)))</f>
        <v/>
      </c>
      <c r="CG124" t="str">
        <f t="shared" si="87"/>
        <v>Relationship (Gs=2.67)</v>
      </c>
      <c r="CH124">
        <f>IF(N124="","",ROUND(N124/100*2.67,2))</f>
        <v>0.8</v>
      </c>
      <c r="CI124" t="str">
        <f t="shared" si="88"/>
        <v/>
      </c>
      <c r="CJ124" t="str">
        <f t="shared" si="89"/>
        <v/>
      </c>
    </row>
    <row r="125" spans="2:88" x14ac:dyDescent="0.3">
      <c r="B125" t="str">
        <f t="shared" si="57"/>
        <v>36.830969-76.119704</v>
      </c>
      <c r="C125" t="s">
        <v>13</v>
      </c>
      <c r="D125">
        <v>36.830969000000003</v>
      </c>
      <c r="E125">
        <v>-76.119703999999999</v>
      </c>
      <c r="F125">
        <v>8.5</v>
      </c>
      <c r="G125" t="str">
        <f t="shared" si="58"/>
        <v>-69.5-71.536.830969-76.119704</v>
      </c>
      <c r="H125">
        <f t="shared" si="59"/>
        <v>-69.5</v>
      </c>
      <c r="I125">
        <v>-71.5</v>
      </c>
      <c r="J125" t="s">
        <v>21</v>
      </c>
      <c r="L125" t="s">
        <v>11</v>
      </c>
      <c r="M125">
        <v>12</v>
      </c>
      <c r="Q125" s="1" t="str">
        <f t="shared" si="60"/>
        <v/>
      </c>
      <c r="S125" t="str">
        <f t="shared" si="90"/>
        <v>Clay</v>
      </c>
      <c r="T125">
        <f t="shared" si="61"/>
        <v>1</v>
      </c>
      <c r="AA125">
        <v>80</v>
      </c>
      <c r="AB125" s="1">
        <f t="shared" si="62"/>
        <v>16</v>
      </c>
      <c r="AC125">
        <f t="shared" si="63"/>
        <v>7</v>
      </c>
      <c r="AD125" t="str">
        <f t="shared" si="64"/>
        <v/>
      </c>
      <c r="AE125" t="str">
        <f t="shared" si="65"/>
        <v/>
      </c>
      <c r="AG125" s="21" t="str">
        <f t="shared" si="66"/>
        <v/>
      </c>
      <c r="AI125" s="6" t="str">
        <f t="shared" si="67"/>
        <v/>
      </c>
      <c r="AM125" s="7" t="str">
        <f t="shared" si="68"/>
        <v/>
      </c>
      <c r="AQ125" s="8" t="str">
        <f t="shared" si="69"/>
        <v/>
      </c>
      <c r="AW125" s="25" t="str">
        <f t="shared" si="70"/>
        <v/>
      </c>
      <c r="AZ125" s="12" t="str">
        <f t="shared" si="71"/>
        <v/>
      </c>
      <c r="BI125" s="17" t="str">
        <f t="shared" si="72"/>
        <v/>
      </c>
      <c r="BM125" t="str">
        <f t="shared" si="73"/>
        <v>SPT Relationship</v>
      </c>
      <c r="BN125">
        <f>IFERROR(IF(M125=0,95,ROUND(95*M125^0.095,0)),"")</f>
        <v>120</v>
      </c>
      <c r="BO125" t="str">
        <f t="shared" si="74"/>
        <v>Wolff, 1989</v>
      </c>
      <c r="BP125">
        <f>ROUNDDOWN(27.1+0.3*AC125-0.00054*AC125^2,0)</f>
        <v>29</v>
      </c>
      <c r="BQ125" t="str">
        <f t="shared" si="75"/>
        <v/>
      </c>
      <c r="BR125" t="str">
        <f t="shared" si="76"/>
        <v/>
      </c>
      <c r="BS125" t="str">
        <f t="shared" si="77"/>
        <v>Stroud 1974 (K=3.5)</v>
      </c>
      <c r="BT125">
        <f>IF(S125="Clay",ROUND((3.5*AB125)*20.885434273039,0),"")</f>
        <v>1170</v>
      </c>
      <c r="BU125" t="str">
        <f t="shared" si="78"/>
        <v/>
      </c>
      <c r="BV125" t="str">
        <f t="shared" si="79"/>
        <v/>
      </c>
      <c r="BW125" t="str">
        <f t="shared" si="80"/>
        <v/>
      </c>
      <c r="BX125" t="str">
        <f t="shared" si="81"/>
        <v/>
      </c>
      <c r="BY125" t="str">
        <f t="shared" si="82"/>
        <v/>
      </c>
      <c r="BZ125" t="str">
        <f t="shared" si="83"/>
        <v/>
      </c>
      <c r="CA125" t="str">
        <f t="shared" si="84"/>
        <v/>
      </c>
      <c r="CB125" t="str">
        <f>IF(P125="","",-0.0000000002*P125^5+0.00000009*P125^4-0.00002*P125^3+0.0019*P125^2-0.0999*P125+2.2178)</f>
        <v/>
      </c>
      <c r="CC125" t="str">
        <f t="shared" si="85"/>
        <v/>
      </c>
      <c r="CD125" t="str">
        <f>IF(AD125="","",(10^(1.11-1.62*AD125)*100)*20.885434273039)</f>
        <v/>
      </c>
      <c r="CE125" t="str">
        <f t="shared" si="86"/>
        <v/>
      </c>
      <c r="CF125" t="str">
        <f>IF(S125="Clay","",IF(AB125="","",ROUND((AB125+15)*6.4,0)))</f>
        <v/>
      </c>
      <c r="CG125" t="str">
        <f t="shared" si="87"/>
        <v/>
      </c>
      <c r="CH125" t="str">
        <f>IF(N125="","",ROUND(N125/100*2.67,2))</f>
        <v/>
      </c>
      <c r="CI125" t="str">
        <f t="shared" si="88"/>
        <v/>
      </c>
      <c r="CJ125" t="str">
        <f t="shared" si="89"/>
        <v/>
      </c>
    </row>
    <row r="126" spans="2:88" x14ac:dyDescent="0.3">
      <c r="B126" t="str">
        <f t="shared" si="57"/>
        <v>36.830969-76.119704</v>
      </c>
      <c r="C126" t="s">
        <v>13</v>
      </c>
      <c r="D126">
        <v>36.830969000000003</v>
      </c>
      <c r="E126">
        <v>-76.119703999999999</v>
      </c>
      <c r="F126">
        <v>8.5</v>
      </c>
      <c r="G126" t="str">
        <f t="shared" si="58"/>
        <v>-74.5-76.536.830969-76.119704</v>
      </c>
      <c r="H126">
        <f t="shared" si="59"/>
        <v>-74.5</v>
      </c>
      <c r="I126">
        <v>-76.5</v>
      </c>
      <c r="J126" t="s">
        <v>21</v>
      </c>
      <c r="L126" t="s">
        <v>11</v>
      </c>
      <c r="M126">
        <v>10</v>
      </c>
      <c r="N126">
        <v>28</v>
      </c>
      <c r="O126">
        <v>20</v>
      </c>
      <c r="P126">
        <v>42</v>
      </c>
      <c r="Q126" s="1">
        <f t="shared" si="60"/>
        <v>22</v>
      </c>
      <c r="R126">
        <v>74</v>
      </c>
      <c r="S126" t="str">
        <f t="shared" si="90"/>
        <v>Clay</v>
      </c>
      <c r="T126">
        <f t="shared" si="61"/>
        <v>2</v>
      </c>
      <c r="AA126">
        <v>80</v>
      </c>
      <c r="AB126" s="1">
        <f t="shared" si="62"/>
        <v>13</v>
      </c>
      <c r="AC126">
        <f t="shared" si="63"/>
        <v>6</v>
      </c>
      <c r="AD126">
        <f t="shared" si="64"/>
        <v>0.36363636363636365</v>
      </c>
      <c r="AE126" t="str">
        <f t="shared" si="65"/>
        <v/>
      </c>
      <c r="AG126" s="21" t="str">
        <f t="shared" si="66"/>
        <v/>
      </c>
      <c r="AI126" s="6" t="str">
        <f t="shared" si="67"/>
        <v/>
      </c>
      <c r="AM126" s="7" t="str">
        <f t="shared" si="68"/>
        <v/>
      </c>
      <c r="AQ126" s="8" t="str">
        <f t="shared" si="69"/>
        <v/>
      </c>
      <c r="AW126" s="25" t="str">
        <f t="shared" si="70"/>
        <v/>
      </c>
      <c r="AZ126" s="12" t="str">
        <f t="shared" si="71"/>
        <v/>
      </c>
      <c r="BI126" s="17" t="str">
        <f t="shared" si="72"/>
        <v/>
      </c>
      <c r="BM126" t="str">
        <f t="shared" si="73"/>
        <v>SPT Relationship</v>
      </c>
      <c r="BN126">
        <f>IFERROR(IF(M126=0,95,ROUND(95*M126^0.095,0)),"")</f>
        <v>118</v>
      </c>
      <c r="BO126" t="str">
        <f t="shared" si="74"/>
        <v>Wolff, 1989</v>
      </c>
      <c r="BP126">
        <f>ROUNDDOWN(27.1+0.3*AC126-0.00054*AC126^2,0)</f>
        <v>28</v>
      </c>
      <c r="BQ126" t="str">
        <f t="shared" si="75"/>
        <v>GTENG-2476</v>
      </c>
      <c r="BR126">
        <f t="shared" si="76"/>
        <v>22</v>
      </c>
      <c r="BS126" t="str">
        <f t="shared" si="77"/>
        <v>Stroud 1974 (K=3.5)</v>
      </c>
      <c r="BT126">
        <f>IF(S126="Clay",ROUND((3.5*AB126)*20.885434273039,0),"")</f>
        <v>950</v>
      </c>
      <c r="BU126" t="str">
        <f t="shared" si="78"/>
        <v>Kulhawy and Mayne 1990</v>
      </c>
      <c r="BV126">
        <f t="shared" si="79"/>
        <v>0.29699999999999999</v>
      </c>
      <c r="BW126" t="str">
        <f t="shared" si="80"/>
        <v>Kulhawy and Mayne 1990</v>
      </c>
      <c r="BX126">
        <f t="shared" si="81"/>
        <v>5.8999999999999997E-2</v>
      </c>
      <c r="BY126" t="str">
        <f t="shared" si="82"/>
        <v>Mesri 1990</v>
      </c>
      <c r="BZ126">
        <f t="shared" si="83"/>
        <v>8.8999999999999999E-3</v>
      </c>
      <c r="CA126" t="str">
        <f t="shared" si="84"/>
        <v>NAVFAC Vol. 7.1 Figure 4</v>
      </c>
      <c r="CB126">
        <f>IF(P126="","",-0.0000000002*P126^5+0.00000009*P126^4-0.00002*P126^3+0.0019*P126^2-0.0999*P126+2.2178)</f>
        <v>0.14575439359999942</v>
      </c>
      <c r="CC126" t="str">
        <f t="shared" si="85"/>
        <v>Stas and Kulhawy 1984</v>
      </c>
      <c r="CD126">
        <f>IF(AD126="","",(10^(1.11-1.62*AD126)*100)*20.885434273039)</f>
        <v>6930.3090336591904</v>
      </c>
      <c r="CE126" t="str">
        <f t="shared" si="86"/>
        <v/>
      </c>
      <c r="CF126" t="str">
        <f>IF(S126="Clay","",IF(AB126="","",ROUND((AB126+15)*6.4,0)))</f>
        <v/>
      </c>
      <c r="CG126" t="str">
        <f t="shared" si="87"/>
        <v>Relationship (Gs=2.67)</v>
      </c>
      <c r="CH126">
        <f>IF(N126="","",ROUND(N126/100*2.67,2))</f>
        <v>0.75</v>
      </c>
      <c r="CI126" t="str">
        <f t="shared" si="88"/>
        <v/>
      </c>
      <c r="CJ126" t="str">
        <f t="shared" si="89"/>
        <v/>
      </c>
    </row>
    <row r="127" spans="2:88" x14ac:dyDescent="0.3">
      <c r="B127" t="str">
        <f t="shared" si="57"/>
        <v>36.830969-76.119704</v>
      </c>
      <c r="C127" t="s">
        <v>13</v>
      </c>
      <c r="D127">
        <v>36.830969000000003</v>
      </c>
      <c r="E127">
        <v>-76.119703999999999</v>
      </c>
      <c r="F127">
        <v>8.5</v>
      </c>
      <c r="G127" t="str">
        <f t="shared" si="58"/>
        <v>-66.5-68.536.830969-76.119704</v>
      </c>
      <c r="H127">
        <f>F127-75</f>
        <v>-66.5</v>
      </c>
      <c r="I127">
        <v>-68.5</v>
      </c>
      <c r="J127" t="s">
        <v>49</v>
      </c>
      <c r="L127" t="s">
        <v>11</v>
      </c>
      <c r="Q127" s="1"/>
      <c r="S127" t="str">
        <f t="shared" si="90"/>
        <v>Clay</v>
      </c>
      <c r="AB127" s="1"/>
      <c r="AE127" t="str">
        <f t="shared" si="65"/>
        <v/>
      </c>
      <c r="AG127" s="21" t="str">
        <f t="shared" si="66"/>
        <v/>
      </c>
      <c r="AI127" s="6" t="str">
        <f t="shared" si="67"/>
        <v/>
      </c>
      <c r="AM127" s="7" t="str">
        <f t="shared" si="68"/>
        <v/>
      </c>
      <c r="AQ127" s="8" t="str">
        <f t="shared" si="69"/>
        <v>Consolidated Undrained Triaxial</v>
      </c>
      <c r="AR127" s="8">
        <f>2.921*2000</f>
        <v>5842</v>
      </c>
      <c r="AS127" s="8">
        <v>0</v>
      </c>
      <c r="AV127" s="8">
        <v>0.78690000000000004</v>
      </c>
      <c r="AW127" s="25" t="str">
        <f t="shared" si="70"/>
        <v/>
      </c>
      <c r="AZ127" s="12" t="str">
        <f t="shared" si="71"/>
        <v/>
      </c>
      <c r="BI127" s="17" t="str">
        <f t="shared" si="72"/>
        <v/>
      </c>
      <c r="BM127" t="str">
        <f t="shared" si="73"/>
        <v/>
      </c>
      <c r="BO127" t="str">
        <f t="shared" si="74"/>
        <v/>
      </c>
      <c r="BQ127" t="str">
        <f t="shared" si="75"/>
        <v/>
      </c>
      <c r="BS127" t="str">
        <f t="shared" si="77"/>
        <v/>
      </c>
      <c r="BU127" t="str">
        <f t="shared" si="78"/>
        <v/>
      </c>
      <c r="BW127" t="str">
        <f t="shared" si="80"/>
        <v/>
      </c>
      <c r="BY127" t="str">
        <f t="shared" si="82"/>
        <v/>
      </c>
      <c r="CA127" t="str">
        <f t="shared" si="84"/>
        <v/>
      </c>
      <c r="CC127" t="str">
        <f t="shared" si="85"/>
        <v/>
      </c>
      <c r="CE127" t="str">
        <f t="shared" si="86"/>
        <v/>
      </c>
      <c r="CG127" t="str">
        <f t="shared" si="87"/>
        <v/>
      </c>
      <c r="CI127" t="str">
        <f t="shared" si="88"/>
        <v/>
      </c>
      <c r="CJ127" t="str">
        <f t="shared" si="89"/>
        <v/>
      </c>
    </row>
    <row r="128" spans="2:88" x14ac:dyDescent="0.3">
      <c r="B128" t="str">
        <f t="shared" si="57"/>
        <v>36.830969-76.119704</v>
      </c>
      <c r="C128" t="s">
        <v>13</v>
      </c>
      <c r="D128">
        <v>36.830969000000003</v>
      </c>
      <c r="E128">
        <v>-76.119703999999999</v>
      </c>
      <c r="F128">
        <v>8.5</v>
      </c>
      <c r="G128" t="str">
        <f t="shared" si="58"/>
        <v>-79.5-81.536.830969-76.119704</v>
      </c>
      <c r="H128">
        <f t="shared" si="59"/>
        <v>-79.5</v>
      </c>
      <c r="I128">
        <v>-81.5</v>
      </c>
      <c r="J128" t="s">
        <v>21</v>
      </c>
      <c r="L128" t="s">
        <v>17</v>
      </c>
      <c r="M128">
        <v>11</v>
      </c>
      <c r="Q128" s="1" t="str">
        <f t="shared" si="60"/>
        <v/>
      </c>
      <c r="S128" t="str">
        <f t="shared" si="90"/>
        <v>Sand</v>
      </c>
      <c r="T128">
        <f t="shared" si="61"/>
        <v>1</v>
      </c>
      <c r="AA128">
        <v>80</v>
      </c>
      <c r="AB128" s="1">
        <f t="shared" si="62"/>
        <v>15</v>
      </c>
      <c r="AC128">
        <f t="shared" si="63"/>
        <v>6</v>
      </c>
      <c r="AD128" t="str">
        <f t="shared" si="64"/>
        <v/>
      </c>
      <c r="AE128" t="str">
        <f t="shared" si="65"/>
        <v/>
      </c>
      <c r="AG128" s="21" t="str">
        <f t="shared" si="66"/>
        <v/>
      </c>
      <c r="AI128" s="6" t="str">
        <f t="shared" si="67"/>
        <v/>
      </c>
      <c r="AM128" s="7" t="str">
        <f t="shared" si="68"/>
        <v/>
      </c>
      <c r="AQ128" s="8" t="str">
        <f t="shared" si="69"/>
        <v/>
      </c>
      <c r="AW128" s="25" t="str">
        <f t="shared" si="70"/>
        <v/>
      </c>
      <c r="AZ128" s="12" t="str">
        <f t="shared" si="71"/>
        <v/>
      </c>
      <c r="BI128" s="17" t="str">
        <f t="shared" si="72"/>
        <v/>
      </c>
      <c r="BM128" t="str">
        <f t="shared" si="73"/>
        <v>SPT Relationship</v>
      </c>
      <c r="BN128">
        <f t="shared" ref="BN128:BN191" si="98">IFERROR(IF(M128=0,95,ROUND(95*M128^0.095,0)),"")</f>
        <v>119</v>
      </c>
      <c r="BO128" t="str">
        <f t="shared" si="74"/>
        <v>Wolff, 1989</v>
      </c>
      <c r="BP128">
        <f t="shared" ref="BP128:BP191" si="99">ROUNDDOWN(27.1+0.3*AC128-0.00054*AC128^2,0)</f>
        <v>28</v>
      </c>
      <c r="BQ128" t="str">
        <f t="shared" si="75"/>
        <v/>
      </c>
      <c r="BR128" t="str">
        <f t="shared" si="76"/>
        <v/>
      </c>
      <c r="BS128" t="str">
        <f t="shared" si="77"/>
        <v/>
      </c>
      <c r="BT128" t="str">
        <f t="shared" ref="BT128:BT191" si="100">IF(S128="Clay",ROUND((3.5*AB128)*20.885434273039,0),"")</f>
        <v/>
      </c>
      <c r="BU128" t="str">
        <f t="shared" si="78"/>
        <v/>
      </c>
      <c r="BV128" t="str">
        <f t="shared" si="79"/>
        <v/>
      </c>
      <c r="BW128" t="str">
        <f t="shared" si="80"/>
        <v/>
      </c>
      <c r="BX128" t="str">
        <f t="shared" si="81"/>
        <v/>
      </c>
      <c r="BY128" t="str">
        <f t="shared" si="82"/>
        <v/>
      </c>
      <c r="BZ128" t="str">
        <f t="shared" si="83"/>
        <v/>
      </c>
      <c r="CA128" t="str">
        <f t="shared" si="84"/>
        <v/>
      </c>
      <c r="CB128" t="str">
        <f t="shared" ref="CB128:CB191" si="101">IF(P128="","",-0.0000000002*P128^5+0.00000009*P128^4-0.00002*P128^3+0.0019*P128^2-0.0999*P128+2.2178)</f>
        <v/>
      </c>
      <c r="CC128" t="str">
        <f t="shared" si="85"/>
        <v/>
      </c>
      <c r="CD128" t="str">
        <f t="shared" ref="CD128:CD191" si="102">IF(AD128="","",(10^(1.11-1.62*AD128)*100)*20.885434273039)</f>
        <v/>
      </c>
      <c r="CE128" t="str">
        <f t="shared" si="86"/>
        <v>Bowles 5th edition</v>
      </c>
      <c r="CF128">
        <f t="shared" ref="CF128:CF191" si="103">IF(S128="Clay","",IF(AB128="","",ROUND((AB128+15)*6.4,0)))</f>
        <v>192</v>
      </c>
      <c r="CG128" t="str">
        <f t="shared" si="87"/>
        <v/>
      </c>
      <c r="CH128" t="str">
        <f t="shared" ref="CH128:CH191" si="104">IF(N128="","",ROUND(N128/100*2.67,2))</f>
        <v/>
      </c>
      <c r="CI128" t="str">
        <f t="shared" si="88"/>
        <v/>
      </c>
      <c r="CJ128" t="str">
        <f t="shared" si="89"/>
        <v/>
      </c>
    </row>
    <row r="129" spans="2:88" x14ac:dyDescent="0.3">
      <c r="B129" t="str">
        <f t="shared" si="57"/>
        <v>36.830969-76.119704</v>
      </c>
      <c r="C129" t="s">
        <v>13</v>
      </c>
      <c r="D129">
        <v>36.830969000000003</v>
      </c>
      <c r="E129">
        <v>-76.119703999999999</v>
      </c>
      <c r="F129">
        <v>8.5</v>
      </c>
      <c r="G129" t="str">
        <f t="shared" si="58"/>
        <v>-84.5-86.536.830969-76.119704</v>
      </c>
      <c r="H129">
        <f t="shared" si="59"/>
        <v>-84.5</v>
      </c>
      <c r="I129">
        <v>-86.5</v>
      </c>
      <c r="J129" t="s">
        <v>21</v>
      </c>
      <c r="L129" t="s">
        <v>17</v>
      </c>
      <c r="M129">
        <v>11</v>
      </c>
      <c r="Q129" s="1" t="str">
        <f t="shared" si="60"/>
        <v/>
      </c>
      <c r="S129" t="str">
        <f t="shared" si="90"/>
        <v>Sand</v>
      </c>
      <c r="T129">
        <f t="shared" si="61"/>
        <v>1</v>
      </c>
      <c r="AA129">
        <v>80</v>
      </c>
      <c r="AB129" s="1">
        <f t="shared" si="62"/>
        <v>15</v>
      </c>
      <c r="AC129">
        <f t="shared" si="63"/>
        <v>6</v>
      </c>
      <c r="AD129" t="str">
        <f t="shared" si="64"/>
        <v/>
      </c>
      <c r="AE129" t="str">
        <f t="shared" si="65"/>
        <v/>
      </c>
      <c r="AG129" s="21" t="str">
        <f t="shared" si="66"/>
        <v/>
      </c>
      <c r="AI129" s="6" t="str">
        <f t="shared" si="67"/>
        <v/>
      </c>
      <c r="AM129" s="7" t="str">
        <f t="shared" si="68"/>
        <v/>
      </c>
      <c r="AQ129" s="8" t="str">
        <f t="shared" si="69"/>
        <v/>
      </c>
      <c r="AW129" s="25" t="str">
        <f t="shared" si="70"/>
        <v/>
      </c>
      <c r="AZ129" s="12" t="str">
        <f t="shared" si="71"/>
        <v/>
      </c>
      <c r="BI129" s="17" t="str">
        <f t="shared" si="72"/>
        <v/>
      </c>
      <c r="BM129" t="str">
        <f t="shared" si="73"/>
        <v>SPT Relationship</v>
      </c>
      <c r="BN129">
        <f t="shared" si="98"/>
        <v>119</v>
      </c>
      <c r="BO129" t="str">
        <f t="shared" si="74"/>
        <v>Wolff, 1989</v>
      </c>
      <c r="BP129">
        <f t="shared" si="99"/>
        <v>28</v>
      </c>
      <c r="BQ129" t="str">
        <f t="shared" si="75"/>
        <v/>
      </c>
      <c r="BR129" t="str">
        <f t="shared" si="76"/>
        <v/>
      </c>
      <c r="BS129" t="str">
        <f t="shared" si="77"/>
        <v/>
      </c>
      <c r="BT129" t="str">
        <f t="shared" si="100"/>
        <v/>
      </c>
      <c r="BU129" t="str">
        <f t="shared" si="78"/>
        <v/>
      </c>
      <c r="BV129" t="str">
        <f t="shared" si="79"/>
        <v/>
      </c>
      <c r="BW129" t="str">
        <f t="shared" si="80"/>
        <v/>
      </c>
      <c r="BX129" t="str">
        <f t="shared" si="81"/>
        <v/>
      </c>
      <c r="BY129" t="str">
        <f t="shared" si="82"/>
        <v/>
      </c>
      <c r="BZ129" t="str">
        <f t="shared" si="83"/>
        <v/>
      </c>
      <c r="CA129" t="str">
        <f t="shared" si="84"/>
        <v/>
      </c>
      <c r="CB129" t="str">
        <f t="shared" si="101"/>
        <v/>
      </c>
      <c r="CC129" t="str">
        <f t="shared" si="85"/>
        <v/>
      </c>
      <c r="CD129" t="str">
        <f t="shared" si="102"/>
        <v/>
      </c>
      <c r="CE129" t="str">
        <f t="shared" si="86"/>
        <v>Bowles 5th edition</v>
      </c>
      <c r="CF129">
        <f t="shared" si="103"/>
        <v>192</v>
      </c>
      <c r="CG129" t="str">
        <f t="shared" si="87"/>
        <v/>
      </c>
      <c r="CH129" t="str">
        <f t="shared" si="104"/>
        <v/>
      </c>
      <c r="CI129" t="str">
        <f t="shared" si="88"/>
        <v/>
      </c>
      <c r="CJ129" t="str">
        <f t="shared" si="89"/>
        <v/>
      </c>
    </row>
    <row r="130" spans="2:88" x14ac:dyDescent="0.3">
      <c r="B130" t="str">
        <f t="shared" si="57"/>
        <v>36.830969-76.119704</v>
      </c>
      <c r="C130" t="s">
        <v>13</v>
      </c>
      <c r="D130">
        <v>36.830969000000003</v>
      </c>
      <c r="E130">
        <v>-76.119703999999999</v>
      </c>
      <c r="F130">
        <v>8.5</v>
      </c>
      <c r="G130" t="str">
        <f t="shared" si="58"/>
        <v>-89.5-91.536.830969-76.119704</v>
      </c>
      <c r="H130">
        <f t="shared" si="59"/>
        <v>-89.5</v>
      </c>
      <c r="I130">
        <v>-91.5</v>
      </c>
      <c r="J130" t="s">
        <v>21</v>
      </c>
      <c r="L130" t="s">
        <v>18</v>
      </c>
      <c r="M130">
        <v>14</v>
      </c>
      <c r="N130">
        <v>27</v>
      </c>
      <c r="O130">
        <v>18</v>
      </c>
      <c r="P130">
        <v>25</v>
      </c>
      <c r="Q130" s="1">
        <f t="shared" si="60"/>
        <v>7</v>
      </c>
      <c r="R130">
        <v>27</v>
      </c>
      <c r="S130" t="str">
        <f t="shared" si="90"/>
        <v>Sand</v>
      </c>
      <c r="T130">
        <f t="shared" si="61"/>
        <v>2</v>
      </c>
      <c r="AA130">
        <v>80</v>
      </c>
      <c r="AB130" s="1">
        <f t="shared" si="62"/>
        <v>19</v>
      </c>
      <c r="AC130">
        <f t="shared" si="63"/>
        <v>8</v>
      </c>
      <c r="AD130">
        <f t="shared" si="64"/>
        <v>1.2857142857142858</v>
      </c>
      <c r="AE130" t="str">
        <f t="shared" si="65"/>
        <v/>
      </c>
      <c r="AG130" s="21" t="str">
        <f t="shared" si="66"/>
        <v/>
      </c>
      <c r="AI130" s="6" t="str">
        <f t="shared" si="67"/>
        <v/>
      </c>
      <c r="AM130" s="7" t="str">
        <f t="shared" si="68"/>
        <v/>
      </c>
      <c r="AQ130" s="8" t="str">
        <f t="shared" si="69"/>
        <v/>
      </c>
      <c r="AW130" s="25" t="str">
        <f t="shared" si="70"/>
        <v/>
      </c>
      <c r="AZ130" s="12" t="str">
        <f t="shared" si="71"/>
        <v/>
      </c>
      <c r="BI130" s="17" t="str">
        <f t="shared" si="72"/>
        <v/>
      </c>
      <c r="BM130" t="str">
        <f t="shared" si="73"/>
        <v>SPT Relationship</v>
      </c>
      <c r="BN130">
        <f t="shared" si="98"/>
        <v>122</v>
      </c>
      <c r="BO130" t="str">
        <f t="shared" si="74"/>
        <v>Wolff, 1989</v>
      </c>
      <c r="BP130">
        <f t="shared" si="99"/>
        <v>29</v>
      </c>
      <c r="BQ130" t="str">
        <f t="shared" si="75"/>
        <v>GTENG-2476</v>
      </c>
      <c r="BR130">
        <f t="shared" si="76"/>
        <v>24</v>
      </c>
      <c r="BS130" t="str">
        <f t="shared" si="77"/>
        <v/>
      </c>
      <c r="BT130" t="str">
        <f t="shared" si="100"/>
        <v/>
      </c>
      <c r="BU130" t="str">
        <f t="shared" si="78"/>
        <v>Kulhawy and Mayne 1990</v>
      </c>
      <c r="BV130">
        <f t="shared" si="79"/>
        <v>9.5000000000000001E-2</v>
      </c>
      <c r="BW130" t="str">
        <f t="shared" si="80"/>
        <v>Kulhawy and Mayne 1990</v>
      </c>
      <c r="BX130">
        <f t="shared" si="81"/>
        <v>1.9E-2</v>
      </c>
      <c r="BY130" t="str">
        <f t="shared" si="82"/>
        <v>Mesri 1990</v>
      </c>
      <c r="BZ130">
        <f t="shared" si="83"/>
        <v>2.8999999999999998E-3</v>
      </c>
      <c r="CA130" t="str">
        <f t="shared" si="84"/>
        <v>NAVFAC Vol. 7.1 Figure 4</v>
      </c>
      <c r="CB130">
        <f t="shared" si="101"/>
        <v>0.62850312499999994</v>
      </c>
      <c r="CC130" t="str">
        <f t="shared" si="85"/>
        <v>Stas and Kulhawy 1984</v>
      </c>
      <c r="CD130">
        <f t="shared" si="102"/>
        <v>222.32401003735808</v>
      </c>
      <c r="CE130" t="str">
        <f t="shared" si="86"/>
        <v>Bowles 5th edition</v>
      </c>
      <c r="CF130">
        <f t="shared" si="103"/>
        <v>218</v>
      </c>
      <c r="CG130" t="str">
        <f t="shared" si="87"/>
        <v>Relationship (Gs=2.67)</v>
      </c>
      <c r="CH130">
        <f t="shared" si="104"/>
        <v>0.72</v>
      </c>
      <c r="CI130" t="str">
        <f t="shared" si="88"/>
        <v/>
      </c>
      <c r="CJ130" t="str">
        <f t="shared" si="89"/>
        <v/>
      </c>
    </row>
    <row r="131" spans="2:88" x14ac:dyDescent="0.3">
      <c r="B131" t="str">
        <f t="shared" si="57"/>
        <v>36.830969-76.119704</v>
      </c>
      <c r="C131" t="s">
        <v>13</v>
      </c>
      <c r="D131">
        <v>36.830969000000003</v>
      </c>
      <c r="E131">
        <v>-76.119703999999999</v>
      </c>
      <c r="F131">
        <v>8.5</v>
      </c>
      <c r="G131" t="str">
        <f t="shared" si="58"/>
        <v>-94.5-96.536.830969-76.119704</v>
      </c>
      <c r="H131">
        <f t="shared" si="59"/>
        <v>-94.5</v>
      </c>
      <c r="I131">
        <v>-96.5</v>
      </c>
      <c r="J131" t="s">
        <v>21</v>
      </c>
      <c r="L131" t="s">
        <v>17</v>
      </c>
      <c r="M131">
        <v>13</v>
      </c>
      <c r="Q131" s="1" t="str">
        <f t="shared" si="60"/>
        <v/>
      </c>
      <c r="S131" t="str">
        <f t="shared" si="90"/>
        <v>Sand</v>
      </c>
      <c r="T131">
        <f t="shared" si="61"/>
        <v>1</v>
      </c>
      <c r="AA131">
        <v>80</v>
      </c>
      <c r="AB131" s="1">
        <f t="shared" si="62"/>
        <v>17</v>
      </c>
      <c r="AC131">
        <f t="shared" si="63"/>
        <v>7</v>
      </c>
      <c r="AD131" t="str">
        <f t="shared" si="64"/>
        <v/>
      </c>
      <c r="AE131" t="str">
        <f t="shared" ref="AE131:AE174" si="105">IF(AF131="","","Tested")</f>
        <v/>
      </c>
      <c r="AG131" s="21" t="str">
        <f t="shared" ref="AG131:AG194" si="106">IF(AH131="","","Pocket Pentrometer")</f>
        <v/>
      </c>
      <c r="AI131" s="6" t="str">
        <f t="shared" ref="AI131:AI194" si="107">IF(AJ131="","","Unconfined Compression")</f>
        <v/>
      </c>
      <c r="AM131" s="7" t="str">
        <f t="shared" ref="AM131:AM194" si="108">IF(AN131="","","Undrained Unconsolidated Triaxial")</f>
        <v/>
      </c>
      <c r="AQ131" s="8" t="str">
        <f t="shared" ref="AQ131:AQ194" si="109">IF(AR131="","","Consolidated Undrained Triaxial")</f>
        <v/>
      </c>
      <c r="AW131" s="25" t="str">
        <f t="shared" ref="AW131:AW194" si="110">IF(AX131="","","Direct Shear")</f>
        <v/>
      </c>
      <c r="AZ131" s="12" t="str">
        <f t="shared" ref="AZ131:AZ194" si="111">IF(BA131="","","Consolidation Test")</f>
        <v/>
      </c>
      <c r="BI131" s="17" t="str">
        <f t="shared" ref="BI131:BI194" si="112">IF(BJ131="","","Permeability Test")</f>
        <v/>
      </c>
      <c r="BM131" t="str">
        <f t="shared" ref="BM131:BM194" si="113">IF(BN131="","","SPT Relationship")</f>
        <v>SPT Relationship</v>
      </c>
      <c r="BN131">
        <f t="shared" si="98"/>
        <v>121</v>
      </c>
      <c r="BO131" t="str">
        <f t="shared" ref="BO131:BO194" si="114">IF(BP131="","","Wolff, 1989")</f>
        <v>Wolff, 1989</v>
      </c>
      <c r="BP131">
        <f t="shared" si="99"/>
        <v>29</v>
      </c>
      <c r="BQ131" t="str">
        <f t="shared" ref="BQ131:BQ194" si="115">IF(BR131="","","GTENG-2476")</f>
        <v/>
      </c>
      <c r="BR131" t="str">
        <f t="shared" si="76"/>
        <v/>
      </c>
      <c r="BS131" t="str">
        <f t="shared" ref="BS131:BS194" si="116">IF(BT131="","", "Stroud 1974 (K=3.5)")</f>
        <v/>
      </c>
      <c r="BT131" t="str">
        <f t="shared" si="100"/>
        <v/>
      </c>
      <c r="BU131" t="str">
        <f t="shared" ref="BU131:BU194" si="117">IF(BV131="","","Kulhawy and Mayne 1990")</f>
        <v/>
      </c>
      <c r="BV131" t="str">
        <f t="shared" si="79"/>
        <v/>
      </c>
      <c r="BW131" t="str">
        <f t="shared" ref="BW131:BW194" si="118">IF(BX131="","","Kulhawy and Mayne 1990")</f>
        <v/>
      </c>
      <c r="BX131" t="str">
        <f t="shared" si="81"/>
        <v/>
      </c>
      <c r="BY131" t="str">
        <f t="shared" ref="BY131:BY194" si="119">IF(BZ131="","","Mesri 1990")</f>
        <v/>
      </c>
      <c r="BZ131" t="str">
        <f t="shared" si="83"/>
        <v/>
      </c>
      <c r="CA131" t="str">
        <f t="shared" ref="CA131:CA194" si="120">IF(CB131="","","NAVFAC Vol. 7.1 Figure 4")</f>
        <v/>
      </c>
      <c r="CB131" t="str">
        <f t="shared" si="101"/>
        <v/>
      </c>
      <c r="CC131" t="str">
        <f t="shared" ref="CC131:CC194" si="121">IF(CD131="","","Stas and Kulhawy 1984")</f>
        <v/>
      </c>
      <c r="CD131" t="str">
        <f t="shared" si="102"/>
        <v/>
      </c>
      <c r="CE131" t="str">
        <f t="shared" ref="CE131:CE194" si="122">IF(CF131="","","Bowles 5th edition")</f>
        <v>Bowles 5th edition</v>
      </c>
      <c r="CF131">
        <f t="shared" si="103"/>
        <v>205</v>
      </c>
      <c r="CG131" t="str">
        <f t="shared" ref="CG131:CG194" si="123">IF(CH131="","","Relationship (Gs=2.67)")</f>
        <v/>
      </c>
      <c r="CH131" t="str">
        <f t="shared" si="104"/>
        <v/>
      </c>
      <c r="CI131" t="str">
        <f t="shared" ref="CI131:CI194" si="124">IF(CJ131="","","Hazen, 1911 (c=1.5)")</f>
        <v/>
      </c>
      <c r="CJ131" t="str">
        <f t="shared" si="89"/>
        <v/>
      </c>
    </row>
    <row r="132" spans="2:88" x14ac:dyDescent="0.3">
      <c r="B132" t="str">
        <f t="shared" si="57"/>
        <v>36.830969-76.119704</v>
      </c>
      <c r="C132" t="s">
        <v>13</v>
      </c>
      <c r="D132">
        <v>36.830969000000003</v>
      </c>
      <c r="E132">
        <v>-76.119703999999999</v>
      </c>
      <c r="F132">
        <v>8.5</v>
      </c>
      <c r="G132" t="str">
        <f t="shared" si="58"/>
        <v>-99.5-101.536.830969-76.119704</v>
      </c>
      <c r="H132">
        <f t="shared" si="59"/>
        <v>-99.5</v>
      </c>
      <c r="I132">
        <v>-101.5</v>
      </c>
      <c r="J132" t="s">
        <v>21</v>
      </c>
      <c r="L132" t="s">
        <v>17</v>
      </c>
      <c r="M132">
        <v>18</v>
      </c>
      <c r="N132">
        <v>30</v>
      </c>
      <c r="O132">
        <v>18</v>
      </c>
      <c r="P132">
        <v>25</v>
      </c>
      <c r="Q132" s="1">
        <f t="shared" si="60"/>
        <v>7</v>
      </c>
      <c r="R132">
        <v>27</v>
      </c>
      <c r="S132" t="str">
        <f t="shared" si="90"/>
        <v>Sand</v>
      </c>
      <c r="T132">
        <f t="shared" si="61"/>
        <v>2</v>
      </c>
      <c r="AA132">
        <v>80</v>
      </c>
      <c r="AB132" s="1">
        <f t="shared" si="62"/>
        <v>24</v>
      </c>
      <c r="AC132">
        <f t="shared" si="63"/>
        <v>9</v>
      </c>
      <c r="AD132">
        <f t="shared" si="64"/>
        <v>1.7142857142857142</v>
      </c>
      <c r="AE132" t="str">
        <f t="shared" si="105"/>
        <v/>
      </c>
      <c r="AG132" s="21" t="str">
        <f t="shared" si="106"/>
        <v/>
      </c>
      <c r="AI132" s="6" t="str">
        <f t="shared" si="107"/>
        <v/>
      </c>
      <c r="AM132" s="7" t="str">
        <f t="shared" si="108"/>
        <v/>
      </c>
      <c r="AQ132" s="8" t="str">
        <f t="shared" si="109"/>
        <v/>
      </c>
      <c r="AW132" s="25" t="str">
        <f t="shared" si="110"/>
        <v/>
      </c>
      <c r="AZ132" s="12" t="str">
        <f t="shared" si="111"/>
        <v/>
      </c>
      <c r="BI132" s="17" t="str">
        <f t="shared" si="112"/>
        <v/>
      </c>
      <c r="BM132" t="str">
        <f t="shared" si="113"/>
        <v>SPT Relationship</v>
      </c>
      <c r="BN132">
        <f t="shared" si="98"/>
        <v>125</v>
      </c>
      <c r="BO132" t="str">
        <f t="shared" si="114"/>
        <v>Wolff, 1989</v>
      </c>
      <c r="BP132">
        <f t="shared" si="99"/>
        <v>29</v>
      </c>
      <c r="BQ132" t="str">
        <f t="shared" si="115"/>
        <v>GTENG-2476</v>
      </c>
      <c r="BR132">
        <f t="shared" si="76"/>
        <v>24</v>
      </c>
      <c r="BS132" t="str">
        <f t="shared" si="116"/>
        <v/>
      </c>
      <c r="BT132" t="str">
        <f t="shared" si="100"/>
        <v/>
      </c>
      <c r="BU132" t="str">
        <f t="shared" si="117"/>
        <v>Kulhawy and Mayne 1990</v>
      </c>
      <c r="BV132">
        <f t="shared" si="79"/>
        <v>9.5000000000000001E-2</v>
      </c>
      <c r="BW132" t="str">
        <f t="shared" si="118"/>
        <v>Kulhawy and Mayne 1990</v>
      </c>
      <c r="BX132">
        <f t="shared" si="81"/>
        <v>1.9E-2</v>
      </c>
      <c r="BY132" t="str">
        <f t="shared" si="119"/>
        <v>Mesri 1990</v>
      </c>
      <c r="BZ132">
        <f t="shared" si="83"/>
        <v>2.8999999999999998E-3</v>
      </c>
      <c r="CA132" t="str">
        <f t="shared" si="120"/>
        <v>NAVFAC Vol. 7.1 Figure 4</v>
      </c>
      <c r="CB132">
        <f t="shared" si="101"/>
        <v>0.62850312499999994</v>
      </c>
      <c r="CC132" t="str">
        <f t="shared" si="121"/>
        <v>Stas and Kulhawy 1984</v>
      </c>
      <c r="CD132">
        <f t="shared" si="102"/>
        <v>44.946994095900713</v>
      </c>
      <c r="CE132" t="str">
        <f t="shared" si="122"/>
        <v>Bowles 5th edition</v>
      </c>
      <c r="CF132">
        <f t="shared" si="103"/>
        <v>250</v>
      </c>
      <c r="CG132" t="str">
        <f t="shared" si="123"/>
        <v>Relationship (Gs=2.67)</v>
      </c>
      <c r="CH132">
        <f t="shared" si="104"/>
        <v>0.8</v>
      </c>
      <c r="CI132" t="str">
        <f t="shared" si="124"/>
        <v/>
      </c>
      <c r="CJ132" t="str">
        <f t="shared" si="89"/>
        <v/>
      </c>
    </row>
    <row r="133" spans="2:88" x14ac:dyDescent="0.3">
      <c r="B133" t="str">
        <f t="shared" si="57"/>
        <v>36.830969-76.119704</v>
      </c>
      <c r="C133" t="s">
        <v>13</v>
      </c>
      <c r="D133">
        <v>36.830969000000003</v>
      </c>
      <c r="E133">
        <v>-76.119703999999999</v>
      </c>
      <c r="F133">
        <v>8.5</v>
      </c>
      <c r="G133" t="str">
        <f t="shared" si="58"/>
        <v>-104.5-106.536.830969-76.119704</v>
      </c>
      <c r="H133">
        <f t="shared" si="59"/>
        <v>-104.5</v>
      </c>
      <c r="I133">
        <v>-106.5</v>
      </c>
      <c r="J133" t="s">
        <v>21</v>
      </c>
      <c r="L133" t="s">
        <v>8</v>
      </c>
      <c r="M133">
        <v>14</v>
      </c>
      <c r="Q133" s="1" t="str">
        <f t="shared" si="60"/>
        <v/>
      </c>
      <c r="S133" t="str">
        <f t="shared" si="90"/>
        <v>Sand</v>
      </c>
      <c r="T133">
        <f t="shared" si="61"/>
        <v>1</v>
      </c>
      <c r="AA133">
        <v>80</v>
      </c>
      <c r="AB133" s="1">
        <f t="shared" si="62"/>
        <v>19</v>
      </c>
      <c r="AC133">
        <f t="shared" si="63"/>
        <v>7</v>
      </c>
      <c r="AD133" t="str">
        <f t="shared" si="64"/>
        <v/>
      </c>
      <c r="AE133" t="str">
        <f t="shared" si="105"/>
        <v/>
      </c>
      <c r="AG133" s="21" t="str">
        <f t="shared" si="106"/>
        <v/>
      </c>
      <c r="AI133" s="6" t="str">
        <f t="shared" si="107"/>
        <v/>
      </c>
      <c r="AM133" s="7" t="str">
        <f t="shared" si="108"/>
        <v/>
      </c>
      <c r="AQ133" s="8" t="str">
        <f t="shared" si="109"/>
        <v/>
      </c>
      <c r="AW133" s="25" t="str">
        <f t="shared" si="110"/>
        <v/>
      </c>
      <c r="AZ133" s="12" t="str">
        <f t="shared" si="111"/>
        <v/>
      </c>
      <c r="BI133" s="17" t="str">
        <f t="shared" si="112"/>
        <v/>
      </c>
      <c r="BM133" t="str">
        <f t="shared" si="113"/>
        <v>SPT Relationship</v>
      </c>
      <c r="BN133">
        <f t="shared" si="98"/>
        <v>122</v>
      </c>
      <c r="BO133" t="str">
        <f t="shared" si="114"/>
        <v>Wolff, 1989</v>
      </c>
      <c r="BP133">
        <f t="shared" si="99"/>
        <v>29</v>
      </c>
      <c r="BQ133" t="str">
        <f t="shared" si="115"/>
        <v/>
      </c>
      <c r="BR133" t="str">
        <f t="shared" si="76"/>
        <v/>
      </c>
      <c r="BS133" t="str">
        <f t="shared" si="116"/>
        <v/>
      </c>
      <c r="BT133" t="str">
        <f t="shared" si="100"/>
        <v/>
      </c>
      <c r="BU133" t="str">
        <f t="shared" si="117"/>
        <v/>
      </c>
      <c r="BV133" t="str">
        <f t="shared" si="79"/>
        <v/>
      </c>
      <c r="BW133" t="str">
        <f t="shared" si="118"/>
        <v/>
      </c>
      <c r="BX133" t="str">
        <f t="shared" si="81"/>
        <v/>
      </c>
      <c r="BY133" t="str">
        <f t="shared" si="119"/>
        <v/>
      </c>
      <c r="BZ133" t="str">
        <f t="shared" si="83"/>
        <v/>
      </c>
      <c r="CA133" t="str">
        <f t="shared" si="120"/>
        <v/>
      </c>
      <c r="CB133" t="str">
        <f t="shared" si="101"/>
        <v/>
      </c>
      <c r="CC133" t="str">
        <f t="shared" si="121"/>
        <v/>
      </c>
      <c r="CD133" t="str">
        <f t="shared" si="102"/>
        <v/>
      </c>
      <c r="CE133" t="str">
        <f t="shared" si="122"/>
        <v>Bowles 5th edition</v>
      </c>
      <c r="CF133">
        <f t="shared" si="103"/>
        <v>218</v>
      </c>
      <c r="CG133" t="str">
        <f t="shared" si="123"/>
        <v/>
      </c>
      <c r="CH133" t="str">
        <f t="shared" si="104"/>
        <v/>
      </c>
      <c r="CI133" t="str">
        <f t="shared" si="124"/>
        <v/>
      </c>
      <c r="CJ133" t="str">
        <f t="shared" si="89"/>
        <v/>
      </c>
    </row>
    <row r="134" spans="2:88" x14ac:dyDescent="0.3">
      <c r="B134" t="str">
        <f t="shared" si="57"/>
        <v>36.830969-76.119704</v>
      </c>
      <c r="C134" t="s">
        <v>13</v>
      </c>
      <c r="D134">
        <v>36.830969000000003</v>
      </c>
      <c r="E134">
        <v>-76.119703999999999</v>
      </c>
      <c r="F134">
        <v>8.5</v>
      </c>
      <c r="G134" t="str">
        <f t="shared" si="58"/>
        <v>-109.5-111.536.830969-76.119704</v>
      </c>
      <c r="H134">
        <f t="shared" si="59"/>
        <v>-109.5</v>
      </c>
      <c r="I134">
        <v>-111.5</v>
      </c>
      <c r="J134" t="s">
        <v>21</v>
      </c>
      <c r="L134" t="s">
        <v>8</v>
      </c>
      <c r="M134">
        <v>24</v>
      </c>
      <c r="Q134" s="1" t="str">
        <f t="shared" si="60"/>
        <v/>
      </c>
      <c r="S134" t="str">
        <f t="shared" si="90"/>
        <v>Sand</v>
      </c>
      <c r="T134">
        <f t="shared" si="61"/>
        <v>1</v>
      </c>
      <c r="AA134">
        <v>80</v>
      </c>
      <c r="AB134" s="1">
        <f t="shared" si="62"/>
        <v>32</v>
      </c>
      <c r="AC134">
        <f t="shared" si="63"/>
        <v>12</v>
      </c>
      <c r="AD134" t="str">
        <f t="shared" si="64"/>
        <v/>
      </c>
      <c r="AE134" t="str">
        <f t="shared" si="105"/>
        <v/>
      </c>
      <c r="AG134" s="21" t="str">
        <f t="shared" si="106"/>
        <v/>
      </c>
      <c r="AI134" s="6" t="str">
        <f t="shared" si="107"/>
        <v/>
      </c>
      <c r="AM134" s="7" t="str">
        <f t="shared" si="108"/>
        <v/>
      </c>
      <c r="AQ134" s="8" t="str">
        <f t="shared" si="109"/>
        <v/>
      </c>
      <c r="AW134" s="25" t="str">
        <f t="shared" si="110"/>
        <v/>
      </c>
      <c r="AZ134" s="12" t="str">
        <f t="shared" si="111"/>
        <v/>
      </c>
      <c r="BI134" s="17" t="str">
        <f t="shared" si="112"/>
        <v/>
      </c>
      <c r="BM134" t="str">
        <f t="shared" si="113"/>
        <v>SPT Relationship</v>
      </c>
      <c r="BN134">
        <f t="shared" si="98"/>
        <v>128</v>
      </c>
      <c r="BO134" t="str">
        <f t="shared" si="114"/>
        <v>Wolff, 1989</v>
      </c>
      <c r="BP134">
        <f t="shared" si="99"/>
        <v>30</v>
      </c>
      <c r="BQ134" t="str">
        <f t="shared" si="115"/>
        <v/>
      </c>
      <c r="BR134" t="str">
        <f t="shared" si="76"/>
        <v/>
      </c>
      <c r="BS134" t="str">
        <f t="shared" si="116"/>
        <v/>
      </c>
      <c r="BT134" t="str">
        <f t="shared" si="100"/>
        <v/>
      </c>
      <c r="BU134" t="str">
        <f t="shared" si="117"/>
        <v/>
      </c>
      <c r="BV134" t="str">
        <f t="shared" si="79"/>
        <v/>
      </c>
      <c r="BW134" t="str">
        <f t="shared" si="118"/>
        <v/>
      </c>
      <c r="BX134" t="str">
        <f t="shared" si="81"/>
        <v/>
      </c>
      <c r="BY134" t="str">
        <f t="shared" si="119"/>
        <v/>
      </c>
      <c r="BZ134" t="str">
        <f t="shared" si="83"/>
        <v/>
      </c>
      <c r="CA134" t="str">
        <f t="shared" si="120"/>
        <v/>
      </c>
      <c r="CB134" t="str">
        <f t="shared" si="101"/>
        <v/>
      </c>
      <c r="CC134" t="str">
        <f t="shared" si="121"/>
        <v/>
      </c>
      <c r="CD134" t="str">
        <f t="shared" si="102"/>
        <v/>
      </c>
      <c r="CE134" t="str">
        <f t="shared" si="122"/>
        <v>Bowles 5th edition</v>
      </c>
      <c r="CF134">
        <f t="shared" si="103"/>
        <v>301</v>
      </c>
      <c r="CG134" t="str">
        <f t="shared" si="123"/>
        <v/>
      </c>
      <c r="CH134" t="str">
        <f t="shared" si="104"/>
        <v/>
      </c>
      <c r="CI134" t="str">
        <f t="shared" si="124"/>
        <v/>
      </c>
      <c r="CJ134" t="str">
        <f t="shared" si="89"/>
        <v/>
      </c>
    </row>
    <row r="135" spans="2:88" x14ac:dyDescent="0.3">
      <c r="B135" t="str">
        <f t="shared" si="57"/>
        <v>36.830969-76.119704</v>
      </c>
      <c r="C135" t="s">
        <v>13</v>
      </c>
      <c r="D135">
        <v>36.830969000000003</v>
      </c>
      <c r="E135">
        <v>-76.119703999999999</v>
      </c>
      <c r="F135">
        <v>8.5</v>
      </c>
      <c r="G135" t="str">
        <f t="shared" si="58"/>
        <v>-114.5-116.536.830969-76.119704</v>
      </c>
      <c r="H135">
        <f t="shared" si="59"/>
        <v>-114.5</v>
      </c>
      <c r="I135">
        <v>-116.5</v>
      </c>
      <c r="J135" t="s">
        <v>21</v>
      </c>
      <c r="L135" t="s">
        <v>16</v>
      </c>
      <c r="M135">
        <v>24</v>
      </c>
      <c r="Q135" s="1" t="str">
        <f t="shared" si="60"/>
        <v/>
      </c>
      <c r="S135" t="str">
        <f t="shared" si="90"/>
        <v>Sand</v>
      </c>
      <c r="T135">
        <f t="shared" si="61"/>
        <v>1</v>
      </c>
      <c r="AA135">
        <v>80</v>
      </c>
      <c r="AB135" s="1">
        <f t="shared" si="62"/>
        <v>32</v>
      </c>
      <c r="AC135">
        <f t="shared" si="63"/>
        <v>12</v>
      </c>
      <c r="AD135" t="str">
        <f t="shared" si="64"/>
        <v/>
      </c>
      <c r="AE135" t="str">
        <f t="shared" si="105"/>
        <v/>
      </c>
      <c r="AG135" s="21" t="str">
        <f t="shared" si="106"/>
        <v/>
      </c>
      <c r="AI135" s="6" t="str">
        <f t="shared" si="107"/>
        <v/>
      </c>
      <c r="AM135" s="7" t="str">
        <f t="shared" si="108"/>
        <v/>
      </c>
      <c r="AQ135" s="8" t="str">
        <f t="shared" si="109"/>
        <v/>
      </c>
      <c r="AW135" s="25" t="str">
        <f t="shared" si="110"/>
        <v/>
      </c>
      <c r="AZ135" s="12" t="str">
        <f t="shared" si="111"/>
        <v/>
      </c>
      <c r="BI135" s="17" t="str">
        <f t="shared" si="112"/>
        <v/>
      </c>
      <c r="BM135" t="str">
        <f t="shared" si="113"/>
        <v>SPT Relationship</v>
      </c>
      <c r="BN135">
        <f t="shared" si="98"/>
        <v>128</v>
      </c>
      <c r="BO135" t="str">
        <f t="shared" si="114"/>
        <v>Wolff, 1989</v>
      </c>
      <c r="BP135">
        <f t="shared" si="99"/>
        <v>30</v>
      </c>
      <c r="BQ135" t="str">
        <f t="shared" si="115"/>
        <v/>
      </c>
      <c r="BR135" t="str">
        <f t="shared" si="76"/>
        <v/>
      </c>
      <c r="BS135" t="str">
        <f t="shared" si="116"/>
        <v/>
      </c>
      <c r="BT135" t="str">
        <f t="shared" si="100"/>
        <v/>
      </c>
      <c r="BU135" t="str">
        <f t="shared" si="117"/>
        <v/>
      </c>
      <c r="BV135" t="str">
        <f t="shared" si="79"/>
        <v/>
      </c>
      <c r="BW135" t="str">
        <f t="shared" si="118"/>
        <v/>
      </c>
      <c r="BX135" t="str">
        <f t="shared" si="81"/>
        <v/>
      </c>
      <c r="BY135" t="str">
        <f t="shared" si="119"/>
        <v/>
      </c>
      <c r="BZ135" t="str">
        <f t="shared" si="83"/>
        <v/>
      </c>
      <c r="CA135" t="str">
        <f t="shared" si="120"/>
        <v/>
      </c>
      <c r="CB135" t="str">
        <f t="shared" si="101"/>
        <v/>
      </c>
      <c r="CC135" t="str">
        <f t="shared" si="121"/>
        <v/>
      </c>
      <c r="CD135" t="str">
        <f t="shared" si="102"/>
        <v/>
      </c>
      <c r="CE135" t="str">
        <f t="shared" si="122"/>
        <v>Bowles 5th edition</v>
      </c>
      <c r="CF135">
        <f t="shared" si="103"/>
        <v>301</v>
      </c>
      <c r="CG135" t="str">
        <f t="shared" si="123"/>
        <v/>
      </c>
      <c r="CH135" t="str">
        <f t="shared" si="104"/>
        <v/>
      </c>
      <c r="CI135" t="str">
        <f t="shared" si="124"/>
        <v/>
      </c>
      <c r="CJ135" t="str">
        <f t="shared" si="89"/>
        <v/>
      </c>
    </row>
    <row r="136" spans="2:88" x14ac:dyDescent="0.3">
      <c r="B136" t="str">
        <f t="shared" si="57"/>
        <v>36.830969-76.119704</v>
      </c>
      <c r="C136" t="s">
        <v>13</v>
      </c>
      <c r="D136">
        <v>36.830969000000003</v>
      </c>
      <c r="E136">
        <v>-76.119703999999999</v>
      </c>
      <c r="F136">
        <v>8.5</v>
      </c>
      <c r="G136" t="str">
        <f t="shared" si="58"/>
        <v>-119.5-121.536.830969-76.119704</v>
      </c>
      <c r="H136">
        <f t="shared" si="59"/>
        <v>-119.5</v>
      </c>
      <c r="I136">
        <v>-121.5</v>
      </c>
      <c r="J136" t="s">
        <v>21</v>
      </c>
      <c r="L136" t="s">
        <v>16</v>
      </c>
      <c r="M136">
        <v>26</v>
      </c>
      <c r="Q136" s="1" t="str">
        <f t="shared" si="60"/>
        <v/>
      </c>
      <c r="S136" t="str">
        <f t="shared" ref="S136:S167" si="125">IF(OR(L136="CL",L136="CH",L136="CL_ML"),"Clay",IF(OR(L136="SM",L136="SC",L136="SP",L136="SP-SM",L136="SP-SC",L136="SC-SM",L136="SW",L136="SW-SM"),"Sand",IF(OR(L136="GP", L136="GM",L136="GC", L136="GP-GM",L136="GW"),"Gravel",IF(OR(L136="ML",L136="MH"),"Silt",IF(OR(L136="OL",L136="OH",L136="PT"),"Organic")))))</f>
        <v>Sand</v>
      </c>
      <c r="T136">
        <f t="shared" si="61"/>
        <v>1</v>
      </c>
      <c r="AA136">
        <v>80</v>
      </c>
      <c r="AB136" s="1">
        <f t="shared" si="62"/>
        <v>35</v>
      </c>
      <c r="AC136">
        <f t="shared" si="63"/>
        <v>13</v>
      </c>
      <c r="AD136" t="str">
        <f t="shared" si="64"/>
        <v/>
      </c>
      <c r="AE136" t="str">
        <f t="shared" si="105"/>
        <v/>
      </c>
      <c r="AG136" s="21" t="str">
        <f t="shared" si="106"/>
        <v/>
      </c>
      <c r="AI136" s="6" t="str">
        <f t="shared" si="107"/>
        <v/>
      </c>
      <c r="AM136" s="7" t="str">
        <f t="shared" si="108"/>
        <v/>
      </c>
      <c r="AQ136" s="8" t="str">
        <f t="shared" si="109"/>
        <v/>
      </c>
      <c r="AW136" s="25" t="str">
        <f t="shared" si="110"/>
        <v/>
      </c>
      <c r="AZ136" s="12" t="str">
        <f t="shared" si="111"/>
        <v/>
      </c>
      <c r="BI136" s="17" t="str">
        <f t="shared" si="112"/>
        <v/>
      </c>
      <c r="BM136" t="str">
        <f t="shared" si="113"/>
        <v>SPT Relationship</v>
      </c>
      <c r="BN136">
        <f t="shared" si="98"/>
        <v>129</v>
      </c>
      <c r="BO136" t="str">
        <f t="shared" si="114"/>
        <v>Wolff, 1989</v>
      </c>
      <c r="BP136">
        <f t="shared" si="99"/>
        <v>30</v>
      </c>
      <c r="BQ136" t="str">
        <f t="shared" si="115"/>
        <v/>
      </c>
      <c r="BR136" t="str">
        <f t="shared" si="76"/>
        <v/>
      </c>
      <c r="BS136" t="str">
        <f t="shared" si="116"/>
        <v/>
      </c>
      <c r="BT136" t="str">
        <f t="shared" si="100"/>
        <v/>
      </c>
      <c r="BU136" t="str">
        <f t="shared" si="117"/>
        <v/>
      </c>
      <c r="BV136" t="str">
        <f t="shared" si="79"/>
        <v/>
      </c>
      <c r="BW136" t="str">
        <f t="shared" si="118"/>
        <v/>
      </c>
      <c r="BX136" t="str">
        <f t="shared" si="81"/>
        <v/>
      </c>
      <c r="BY136" t="str">
        <f t="shared" si="119"/>
        <v/>
      </c>
      <c r="BZ136" t="str">
        <f t="shared" si="83"/>
        <v/>
      </c>
      <c r="CA136" t="str">
        <f t="shared" si="120"/>
        <v/>
      </c>
      <c r="CB136" t="str">
        <f t="shared" si="101"/>
        <v/>
      </c>
      <c r="CC136" t="str">
        <f t="shared" si="121"/>
        <v/>
      </c>
      <c r="CD136" t="str">
        <f t="shared" si="102"/>
        <v/>
      </c>
      <c r="CE136" t="str">
        <f t="shared" si="122"/>
        <v>Bowles 5th edition</v>
      </c>
      <c r="CF136">
        <f t="shared" si="103"/>
        <v>320</v>
      </c>
      <c r="CG136" t="str">
        <f t="shared" si="123"/>
        <v/>
      </c>
      <c r="CH136" t="str">
        <f t="shared" si="104"/>
        <v/>
      </c>
      <c r="CI136" t="str">
        <f t="shared" si="124"/>
        <v/>
      </c>
      <c r="CJ136" t="str">
        <f t="shared" si="89"/>
        <v/>
      </c>
    </row>
    <row r="137" spans="2:88" x14ac:dyDescent="0.3">
      <c r="B137" t="str">
        <f t="shared" ref="B137:B200" si="126">""&amp;D137&amp;""&amp;E137</f>
        <v>36.830969-76.119704</v>
      </c>
      <c r="C137" t="s">
        <v>13</v>
      </c>
      <c r="D137">
        <v>36.830969000000003</v>
      </c>
      <c r="E137">
        <v>-76.119703999999999</v>
      </c>
      <c r="F137">
        <v>8.5</v>
      </c>
      <c r="G137" t="str">
        <f t="shared" ref="G137:G200" si="127">""&amp;H137&amp;""&amp;I137&amp;""&amp;D137&amp;""&amp;E137</f>
        <v>-124.5-126.536.830969-76.119704</v>
      </c>
      <c r="H137">
        <f t="shared" ref="H137:H174" si="128">I137+2</f>
        <v>-124.5</v>
      </c>
      <c r="I137">
        <v>-126.5</v>
      </c>
      <c r="J137" t="s">
        <v>21</v>
      </c>
      <c r="L137" t="s">
        <v>16</v>
      </c>
      <c r="M137">
        <v>26</v>
      </c>
      <c r="Q137" s="1" t="str">
        <f t="shared" ref="Q137:Q200" si="129">IF(OR(O137="",P137=""),"",P137-O137)</f>
        <v/>
      </c>
      <c r="S137" t="str">
        <f t="shared" si="125"/>
        <v>Sand</v>
      </c>
      <c r="T137">
        <f t="shared" ref="T137:T200" si="130">IF(OR(Q137&lt;&gt;"",R137&lt;&gt;""),2,1)</f>
        <v>1</v>
      </c>
      <c r="AA137">
        <v>80</v>
      </c>
      <c r="AB137" s="1">
        <f t="shared" ref="AB137:AB200" si="131">ROUND(M137*AA137/60,0)</f>
        <v>35</v>
      </c>
      <c r="AC137">
        <f t="shared" ref="AC137:AC200" si="132">ROUNDDOWN(((1/((((F137-I137)*110)*0.047880258888889)/100))^(0.5))*AB137,0)</f>
        <v>13</v>
      </c>
      <c r="AD137" t="str">
        <f t="shared" ref="AD137:AD200" si="133">IF(OR(N137="",O137=""),"",(N137-O137)/(P137-O137))</f>
        <v/>
      </c>
      <c r="AE137" t="str">
        <f t="shared" si="105"/>
        <v/>
      </c>
      <c r="AG137" s="21" t="str">
        <f t="shared" si="106"/>
        <v/>
      </c>
      <c r="AI137" s="6" t="str">
        <f t="shared" si="107"/>
        <v/>
      </c>
      <c r="AM137" s="7" t="str">
        <f t="shared" si="108"/>
        <v/>
      </c>
      <c r="AQ137" s="8" t="str">
        <f t="shared" si="109"/>
        <v/>
      </c>
      <c r="AW137" s="25" t="str">
        <f t="shared" si="110"/>
        <v/>
      </c>
      <c r="AZ137" s="12" t="str">
        <f t="shared" si="111"/>
        <v/>
      </c>
      <c r="BI137" s="17" t="str">
        <f t="shared" si="112"/>
        <v/>
      </c>
      <c r="BM137" t="str">
        <f t="shared" si="113"/>
        <v>SPT Relationship</v>
      </c>
      <c r="BN137">
        <f t="shared" si="98"/>
        <v>129</v>
      </c>
      <c r="BO137" t="str">
        <f t="shared" si="114"/>
        <v>Wolff, 1989</v>
      </c>
      <c r="BP137">
        <f t="shared" si="99"/>
        <v>30</v>
      </c>
      <c r="BQ137" t="str">
        <f t="shared" si="115"/>
        <v/>
      </c>
      <c r="BR137" t="str">
        <f t="shared" ref="BR137:BR200" si="134">IF(P137="","",ROUNDDOWN(28-0.1533*P137+0.000564*P137^2-0.0000008414*P137^3,0))</f>
        <v/>
      </c>
      <c r="BS137" t="str">
        <f t="shared" si="116"/>
        <v/>
      </c>
      <c r="BT137" t="str">
        <f t="shared" si="100"/>
        <v/>
      </c>
      <c r="BU137" t="str">
        <f t="shared" si="117"/>
        <v/>
      </c>
      <c r="BV137" t="str">
        <f t="shared" ref="BV137:BV200" si="135">IF(Q137="","",ROUND(Q137/74,3))</f>
        <v/>
      </c>
      <c r="BW137" t="str">
        <f t="shared" si="118"/>
        <v/>
      </c>
      <c r="BX137" t="str">
        <f t="shared" ref="BX137:BX200" si="136">IF(Q137="","",ROUND(Q137/370,3))</f>
        <v/>
      </c>
      <c r="BY137" t="str">
        <f t="shared" si="119"/>
        <v/>
      </c>
      <c r="BZ137" t="str">
        <f t="shared" ref="BZ137:BZ200" si="137">IF(BV137="","",ROUND(0.03*BV137,4))</f>
        <v/>
      </c>
      <c r="CA137" t="str">
        <f t="shared" si="120"/>
        <v/>
      </c>
      <c r="CB137" t="str">
        <f t="shared" si="101"/>
        <v/>
      </c>
      <c r="CC137" t="str">
        <f t="shared" si="121"/>
        <v/>
      </c>
      <c r="CD137" t="str">
        <f t="shared" si="102"/>
        <v/>
      </c>
      <c r="CE137" t="str">
        <f t="shared" si="122"/>
        <v>Bowles 5th edition</v>
      </c>
      <c r="CF137">
        <f t="shared" si="103"/>
        <v>320</v>
      </c>
      <c r="CG137" t="str">
        <f t="shared" si="123"/>
        <v/>
      </c>
      <c r="CH137" t="str">
        <f t="shared" si="104"/>
        <v/>
      </c>
      <c r="CI137" t="str">
        <f t="shared" si="124"/>
        <v/>
      </c>
      <c r="CJ137" t="str">
        <f t="shared" ref="CJ137:CJ200" si="138">IF(OR(S137="Clay",X137=""),"",1.5*X137^2)</f>
        <v/>
      </c>
    </row>
    <row r="138" spans="2:88" x14ac:dyDescent="0.3">
      <c r="B138" t="str">
        <f t="shared" si="126"/>
        <v>36.830969-76.119704</v>
      </c>
      <c r="C138" t="s">
        <v>13</v>
      </c>
      <c r="D138">
        <v>36.830969000000003</v>
      </c>
      <c r="E138">
        <v>-76.119703999999999</v>
      </c>
      <c r="F138">
        <v>8.5</v>
      </c>
      <c r="G138" t="str">
        <f t="shared" si="127"/>
        <v>-129.5-131.536.830969-76.119704</v>
      </c>
      <c r="H138">
        <f t="shared" si="128"/>
        <v>-129.5</v>
      </c>
      <c r="I138">
        <v>-131.5</v>
      </c>
      <c r="J138" t="s">
        <v>21</v>
      </c>
      <c r="L138" t="s">
        <v>8</v>
      </c>
      <c r="M138">
        <v>44</v>
      </c>
      <c r="N138">
        <v>21</v>
      </c>
      <c r="Q138" s="1" t="str">
        <f t="shared" si="129"/>
        <v/>
      </c>
      <c r="R138">
        <v>13</v>
      </c>
      <c r="S138" t="str">
        <f t="shared" si="125"/>
        <v>Sand</v>
      </c>
      <c r="T138">
        <f t="shared" si="130"/>
        <v>2</v>
      </c>
      <c r="AA138">
        <v>80</v>
      </c>
      <c r="AB138" s="1">
        <f t="shared" si="131"/>
        <v>59</v>
      </c>
      <c r="AC138">
        <f t="shared" si="132"/>
        <v>21</v>
      </c>
      <c r="AD138" t="str">
        <f t="shared" si="133"/>
        <v/>
      </c>
      <c r="AE138" t="str">
        <f t="shared" si="105"/>
        <v/>
      </c>
      <c r="AG138" s="21" t="str">
        <f t="shared" si="106"/>
        <v/>
      </c>
      <c r="AI138" s="6" t="str">
        <f t="shared" si="107"/>
        <v/>
      </c>
      <c r="AM138" s="7" t="str">
        <f t="shared" si="108"/>
        <v/>
      </c>
      <c r="AQ138" s="8" t="str">
        <f t="shared" si="109"/>
        <v/>
      </c>
      <c r="AW138" s="25" t="str">
        <f t="shared" si="110"/>
        <v/>
      </c>
      <c r="AZ138" s="12" t="str">
        <f t="shared" si="111"/>
        <v/>
      </c>
      <c r="BI138" s="17" t="str">
        <f t="shared" si="112"/>
        <v/>
      </c>
      <c r="BM138" t="str">
        <f t="shared" si="113"/>
        <v>SPT Relationship</v>
      </c>
      <c r="BN138">
        <f t="shared" si="98"/>
        <v>136</v>
      </c>
      <c r="BO138" t="str">
        <f t="shared" si="114"/>
        <v>Wolff, 1989</v>
      </c>
      <c r="BP138">
        <f t="shared" si="99"/>
        <v>33</v>
      </c>
      <c r="BQ138" t="str">
        <f t="shared" si="115"/>
        <v/>
      </c>
      <c r="BR138" t="str">
        <f t="shared" si="134"/>
        <v/>
      </c>
      <c r="BS138" t="str">
        <f t="shared" si="116"/>
        <v/>
      </c>
      <c r="BT138" t="str">
        <f t="shared" si="100"/>
        <v/>
      </c>
      <c r="BU138" t="str">
        <f t="shared" si="117"/>
        <v/>
      </c>
      <c r="BV138" t="str">
        <f t="shared" si="135"/>
        <v/>
      </c>
      <c r="BW138" t="str">
        <f t="shared" si="118"/>
        <v/>
      </c>
      <c r="BX138" t="str">
        <f t="shared" si="136"/>
        <v/>
      </c>
      <c r="BY138" t="str">
        <f t="shared" si="119"/>
        <v/>
      </c>
      <c r="BZ138" t="str">
        <f t="shared" si="137"/>
        <v/>
      </c>
      <c r="CA138" t="str">
        <f t="shared" si="120"/>
        <v/>
      </c>
      <c r="CB138" t="str">
        <f t="shared" si="101"/>
        <v/>
      </c>
      <c r="CC138" t="str">
        <f t="shared" si="121"/>
        <v/>
      </c>
      <c r="CD138" t="str">
        <f t="shared" si="102"/>
        <v/>
      </c>
      <c r="CE138" t="str">
        <f t="shared" si="122"/>
        <v>Bowles 5th edition</v>
      </c>
      <c r="CF138">
        <f t="shared" si="103"/>
        <v>474</v>
      </c>
      <c r="CG138" t="str">
        <f t="shared" si="123"/>
        <v>Relationship (Gs=2.67)</v>
      </c>
      <c r="CH138">
        <f t="shared" si="104"/>
        <v>0.56000000000000005</v>
      </c>
      <c r="CI138" t="str">
        <f t="shared" si="124"/>
        <v/>
      </c>
      <c r="CJ138" t="str">
        <f t="shared" si="138"/>
        <v/>
      </c>
    </row>
    <row r="139" spans="2:88" x14ac:dyDescent="0.3">
      <c r="B139" t="str">
        <f t="shared" si="126"/>
        <v>36.830969-76.119704</v>
      </c>
      <c r="C139" t="s">
        <v>13</v>
      </c>
      <c r="D139">
        <v>36.830969000000003</v>
      </c>
      <c r="E139">
        <v>-76.119703999999999</v>
      </c>
      <c r="F139">
        <v>8.5</v>
      </c>
      <c r="G139" t="str">
        <f t="shared" si="127"/>
        <v>-134.5-136.536.830969-76.119704</v>
      </c>
      <c r="H139">
        <f t="shared" si="128"/>
        <v>-134.5</v>
      </c>
      <c r="I139">
        <v>-136.5</v>
      </c>
      <c r="J139" t="s">
        <v>21</v>
      </c>
      <c r="L139" t="s">
        <v>16</v>
      </c>
      <c r="M139">
        <v>46</v>
      </c>
      <c r="Q139" s="1" t="str">
        <f t="shared" si="129"/>
        <v/>
      </c>
      <c r="S139" t="str">
        <f t="shared" si="125"/>
        <v>Sand</v>
      </c>
      <c r="T139">
        <f t="shared" si="130"/>
        <v>1</v>
      </c>
      <c r="AA139">
        <v>80</v>
      </c>
      <c r="AB139" s="1">
        <f t="shared" si="131"/>
        <v>61</v>
      </c>
      <c r="AC139">
        <f t="shared" si="132"/>
        <v>22</v>
      </c>
      <c r="AD139" t="str">
        <f t="shared" si="133"/>
        <v/>
      </c>
      <c r="AE139" t="str">
        <f t="shared" si="105"/>
        <v/>
      </c>
      <c r="AG139" s="21" t="str">
        <f t="shared" si="106"/>
        <v/>
      </c>
      <c r="AI139" s="6" t="str">
        <f t="shared" si="107"/>
        <v/>
      </c>
      <c r="AM139" s="7" t="str">
        <f t="shared" si="108"/>
        <v/>
      </c>
      <c r="AQ139" s="8" t="str">
        <f t="shared" si="109"/>
        <v/>
      </c>
      <c r="AW139" s="25" t="str">
        <f t="shared" si="110"/>
        <v/>
      </c>
      <c r="AZ139" s="12" t="str">
        <f t="shared" si="111"/>
        <v/>
      </c>
      <c r="BI139" s="17" t="str">
        <f t="shared" si="112"/>
        <v/>
      </c>
      <c r="BM139" t="str">
        <f t="shared" si="113"/>
        <v>SPT Relationship</v>
      </c>
      <c r="BN139">
        <f t="shared" si="98"/>
        <v>137</v>
      </c>
      <c r="BO139" t="str">
        <f t="shared" si="114"/>
        <v>Wolff, 1989</v>
      </c>
      <c r="BP139">
        <f t="shared" si="99"/>
        <v>33</v>
      </c>
      <c r="BQ139" t="str">
        <f t="shared" si="115"/>
        <v/>
      </c>
      <c r="BR139" t="str">
        <f t="shared" si="134"/>
        <v/>
      </c>
      <c r="BS139" t="str">
        <f t="shared" si="116"/>
        <v/>
      </c>
      <c r="BT139" t="str">
        <f t="shared" si="100"/>
        <v/>
      </c>
      <c r="BU139" t="str">
        <f t="shared" si="117"/>
        <v/>
      </c>
      <c r="BV139" t="str">
        <f t="shared" si="135"/>
        <v/>
      </c>
      <c r="BW139" t="str">
        <f t="shared" si="118"/>
        <v/>
      </c>
      <c r="BX139" t="str">
        <f t="shared" si="136"/>
        <v/>
      </c>
      <c r="BY139" t="str">
        <f t="shared" si="119"/>
        <v/>
      </c>
      <c r="BZ139" t="str">
        <f t="shared" si="137"/>
        <v/>
      </c>
      <c r="CA139" t="str">
        <f t="shared" si="120"/>
        <v/>
      </c>
      <c r="CB139" t="str">
        <f t="shared" si="101"/>
        <v/>
      </c>
      <c r="CC139" t="str">
        <f t="shared" si="121"/>
        <v/>
      </c>
      <c r="CD139" t="str">
        <f t="shared" si="102"/>
        <v/>
      </c>
      <c r="CE139" t="str">
        <f t="shared" si="122"/>
        <v>Bowles 5th edition</v>
      </c>
      <c r="CF139">
        <f t="shared" si="103"/>
        <v>486</v>
      </c>
      <c r="CG139" t="str">
        <f t="shared" si="123"/>
        <v/>
      </c>
      <c r="CH139" t="str">
        <f t="shared" si="104"/>
        <v/>
      </c>
      <c r="CI139" t="str">
        <f t="shared" si="124"/>
        <v/>
      </c>
      <c r="CJ139" t="str">
        <f t="shared" si="138"/>
        <v/>
      </c>
    </row>
    <row r="140" spans="2:88" x14ac:dyDescent="0.3">
      <c r="B140" t="str">
        <f t="shared" si="126"/>
        <v>36.830969-76.119704</v>
      </c>
      <c r="C140" t="s">
        <v>13</v>
      </c>
      <c r="D140">
        <v>36.830969000000003</v>
      </c>
      <c r="E140">
        <v>-76.119703999999999</v>
      </c>
      <c r="F140">
        <v>8.5</v>
      </c>
      <c r="G140" t="str">
        <f t="shared" si="127"/>
        <v>-139.5-141.536.830969-76.119704</v>
      </c>
      <c r="H140">
        <f t="shared" si="128"/>
        <v>-139.5</v>
      </c>
      <c r="I140">
        <v>-141.5</v>
      </c>
      <c r="J140" t="s">
        <v>21</v>
      </c>
      <c r="L140" t="s">
        <v>16</v>
      </c>
      <c r="M140">
        <v>37</v>
      </c>
      <c r="Q140" s="1" t="str">
        <f t="shared" si="129"/>
        <v/>
      </c>
      <c r="S140" t="str">
        <f t="shared" si="125"/>
        <v>Sand</v>
      </c>
      <c r="T140">
        <f t="shared" si="130"/>
        <v>1</v>
      </c>
      <c r="AA140">
        <v>80</v>
      </c>
      <c r="AB140" s="1">
        <f t="shared" si="131"/>
        <v>49</v>
      </c>
      <c r="AC140">
        <f t="shared" si="132"/>
        <v>17</v>
      </c>
      <c r="AD140" t="str">
        <f t="shared" si="133"/>
        <v/>
      </c>
      <c r="AE140" t="str">
        <f t="shared" si="105"/>
        <v/>
      </c>
      <c r="AG140" s="21" t="str">
        <f t="shared" si="106"/>
        <v/>
      </c>
      <c r="AI140" s="6" t="str">
        <f t="shared" si="107"/>
        <v/>
      </c>
      <c r="AM140" s="7" t="str">
        <f t="shared" si="108"/>
        <v/>
      </c>
      <c r="AQ140" s="8" t="str">
        <f t="shared" si="109"/>
        <v/>
      </c>
      <c r="AW140" s="25" t="str">
        <f t="shared" si="110"/>
        <v/>
      </c>
      <c r="AZ140" s="12" t="str">
        <f t="shared" si="111"/>
        <v/>
      </c>
      <c r="BI140" s="17" t="str">
        <f t="shared" si="112"/>
        <v/>
      </c>
      <c r="BM140" t="str">
        <f t="shared" si="113"/>
        <v>SPT Relationship</v>
      </c>
      <c r="BN140">
        <f t="shared" si="98"/>
        <v>134</v>
      </c>
      <c r="BO140" t="str">
        <f t="shared" si="114"/>
        <v>Wolff, 1989</v>
      </c>
      <c r="BP140">
        <f t="shared" si="99"/>
        <v>32</v>
      </c>
      <c r="BQ140" t="str">
        <f t="shared" si="115"/>
        <v/>
      </c>
      <c r="BR140" t="str">
        <f t="shared" si="134"/>
        <v/>
      </c>
      <c r="BS140" t="str">
        <f t="shared" si="116"/>
        <v/>
      </c>
      <c r="BT140" t="str">
        <f t="shared" si="100"/>
        <v/>
      </c>
      <c r="BU140" t="str">
        <f t="shared" si="117"/>
        <v/>
      </c>
      <c r="BV140" t="str">
        <f t="shared" si="135"/>
        <v/>
      </c>
      <c r="BW140" t="str">
        <f t="shared" si="118"/>
        <v/>
      </c>
      <c r="BX140" t="str">
        <f t="shared" si="136"/>
        <v/>
      </c>
      <c r="BY140" t="str">
        <f t="shared" si="119"/>
        <v/>
      </c>
      <c r="BZ140" t="str">
        <f t="shared" si="137"/>
        <v/>
      </c>
      <c r="CA140" t="str">
        <f t="shared" si="120"/>
        <v/>
      </c>
      <c r="CB140" t="str">
        <f t="shared" si="101"/>
        <v/>
      </c>
      <c r="CC140" t="str">
        <f t="shared" si="121"/>
        <v/>
      </c>
      <c r="CD140" t="str">
        <f t="shared" si="102"/>
        <v/>
      </c>
      <c r="CE140" t="str">
        <f t="shared" si="122"/>
        <v>Bowles 5th edition</v>
      </c>
      <c r="CF140">
        <f t="shared" si="103"/>
        <v>410</v>
      </c>
      <c r="CG140" t="str">
        <f t="shared" si="123"/>
        <v/>
      </c>
      <c r="CH140" t="str">
        <f t="shared" si="104"/>
        <v/>
      </c>
      <c r="CI140" t="str">
        <f t="shared" si="124"/>
        <v/>
      </c>
      <c r="CJ140" t="str">
        <f t="shared" si="138"/>
        <v/>
      </c>
    </row>
    <row r="141" spans="2:88" x14ac:dyDescent="0.3">
      <c r="B141" t="str">
        <f t="shared" si="126"/>
        <v>36.831397-76.119388</v>
      </c>
      <c r="C141" t="s">
        <v>14</v>
      </c>
      <c r="D141">
        <v>36.831397000000003</v>
      </c>
      <c r="E141">
        <v>-76.119388000000001</v>
      </c>
      <c r="F141">
        <v>1</v>
      </c>
      <c r="G141" t="str">
        <f t="shared" si="127"/>
        <v>-5-736.831397-76.119388</v>
      </c>
      <c r="H141">
        <f t="shared" si="128"/>
        <v>-5</v>
      </c>
      <c r="I141">
        <v>-7</v>
      </c>
      <c r="J141" t="s">
        <v>21</v>
      </c>
      <c r="L141" t="s">
        <v>11</v>
      </c>
      <c r="M141">
        <v>0</v>
      </c>
      <c r="N141">
        <v>66</v>
      </c>
      <c r="O141">
        <v>17</v>
      </c>
      <c r="P141">
        <v>46</v>
      </c>
      <c r="Q141" s="1">
        <f t="shared" si="129"/>
        <v>29</v>
      </c>
      <c r="R141">
        <v>81</v>
      </c>
      <c r="S141" t="str">
        <f t="shared" si="125"/>
        <v>Clay</v>
      </c>
      <c r="T141">
        <f t="shared" si="130"/>
        <v>2</v>
      </c>
      <c r="AA141">
        <v>80</v>
      </c>
      <c r="AB141" s="1">
        <f t="shared" si="131"/>
        <v>0</v>
      </c>
      <c r="AC141">
        <f t="shared" si="132"/>
        <v>0</v>
      </c>
      <c r="AD141">
        <f t="shared" si="133"/>
        <v>1.6896551724137931</v>
      </c>
      <c r="AE141" t="str">
        <f t="shared" si="105"/>
        <v/>
      </c>
      <c r="AG141" s="21" t="str">
        <f t="shared" si="106"/>
        <v/>
      </c>
      <c r="AI141" s="6" t="str">
        <f t="shared" si="107"/>
        <v/>
      </c>
      <c r="AM141" s="7" t="str">
        <f t="shared" si="108"/>
        <v/>
      </c>
      <c r="AQ141" s="8" t="str">
        <f t="shared" si="109"/>
        <v/>
      </c>
      <c r="AW141" s="25" t="str">
        <f t="shared" si="110"/>
        <v/>
      </c>
      <c r="AZ141" s="12" t="str">
        <f t="shared" si="111"/>
        <v/>
      </c>
      <c r="BI141" s="17" t="str">
        <f t="shared" si="112"/>
        <v/>
      </c>
      <c r="BM141" t="str">
        <f t="shared" si="113"/>
        <v>SPT Relationship</v>
      </c>
      <c r="BN141">
        <f t="shared" si="98"/>
        <v>95</v>
      </c>
      <c r="BO141" t="str">
        <f t="shared" si="114"/>
        <v>Wolff, 1989</v>
      </c>
      <c r="BP141">
        <f t="shared" si="99"/>
        <v>27</v>
      </c>
      <c r="BQ141" t="str">
        <f t="shared" si="115"/>
        <v>GTENG-2476</v>
      </c>
      <c r="BR141">
        <f t="shared" si="134"/>
        <v>22</v>
      </c>
      <c r="BS141" t="str">
        <f t="shared" si="116"/>
        <v>Stroud 1974 (K=3.5)</v>
      </c>
      <c r="BT141">
        <f t="shared" si="100"/>
        <v>0</v>
      </c>
      <c r="BU141" t="str">
        <f t="shared" si="117"/>
        <v>Kulhawy and Mayne 1990</v>
      </c>
      <c r="BV141">
        <f t="shared" si="135"/>
        <v>0.39200000000000002</v>
      </c>
      <c r="BW141" t="str">
        <f t="shared" si="118"/>
        <v>Kulhawy and Mayne 1990</v>
      </c>
      <c r="BX141">
        <f t="shared" si="136"/>
        <v>7.8E-2</v>
      </c>
      <c r="BY141" t="str">
        <f t="shared" si="119"/>
        <v>Mesri 1990</v>
      </c>
      <c r="BZ141">
        <f t="shared" si="137"/>
        <v>1.18E-2</v>
      </c>
      <c r="CA141" t="str">
        <f t="shared" si="120"/>
        <v>NAVFAC Vol. 7.1 Figure 4</v>
      </c>
      <c r="CB141">
        <f t="shared" si="101"/>
        <v>5.7858444800000353E-2</v>
      </c>
      <c r="CC141" t="str">
        <f t="shared" si="121"/>
        <v>Stas and Kulhawy 1984</v>
      </c>
      <c r="CD141">
        <f t="shared" si="102"/>
        <v>49.272220057675504</v>
      </c>
      <c r="CE141" t="str">
        <f t="shared" si="122"/>
        <v/>
      </c>
      <c r="CF141" t="str">
        <f t="shared" si="103"/>
        <v/>
      </c>
      <c r="CG141" t="str">
        <f t="shared" si="123"/>
        <v>Relationship (Gs=2.67)</v>
      </c>
      <c r="CH141">
        <f t="shared" si="104"/>
        <v>1.76</v>
      </c>
      <c r="CI141" t="str">
        <f t="shared" si="124"/>
        <v/>
      </c>
      <c r="CJ141" t="str">
        <f t="shared" si="138"/>
        <v/>
      </c>
    </row>
    <row r="142" spans="2:88" x14ac:dyDescent="0.3">
      <c r="B142" t="str">
        <f t="shared" si="126"/>
        <v>36.831397-76.119388</v>
      </c>
      <c r="C142" t="s">
        <v>14</v>
      </c>
      <c r="D142">
        <v>36.831397000000003</v>
      </c>
      <c r="E142">
        <v>-76.119388000000001</v>
      </c>
      <c r="F142">
        <v>1</v>
      </c>
      <c r="G142" t="str">
        <f t="shared" si="127"/>
        <v>-7-936.831397-76.119388</v>
      </c>
      <c r="H142">
        <f t="shared" si="128"/>
        <v>-7</v>
      </c>
      <c r="I142">
        <v>-9</v>
      </c>
      <c r="J142" t="s">
        <v>21</v>
      </c>
      <c r="L142" t="s">
        <v>16</v>
      </c>
      <c r="M142">
        <v>2</v>
      </c>
      <c r="Q142" s="1" t="str">
        <f t="shared" si="129"/>
        <v/>
      </c>
      <c r="S142" t="str">
        <f t="shared" si="125"/>
        <v>Sand</v>
      </c>
      <c r="T142">
        <f t="shared" si="130"/>
        <v>1</v>
      </c>
      <c r="AA142">
        <v>80</v>
      </c>
      <c r="AB142" s="1">
        <f t="shared" si="131"/>
        <v>3</v>
      </c>
      <c r="AC142">
        <f t="shared" si="132"/>
        <v>4</v>
      </c>
      <c r="AD142" t="str">
        <f t="shared" si="133"/>
        <v/>
      </c>
      <c r="AE142" t="str">
        <f t="shared" si="105"/>
        <v/>
      </c>
      <c r="AG142" s="21" t="str">
        <f t="shared" si="106"/>
        <v/>
      </c>
      <c r="AI142" s="6" t="str">
        <f t="shared" si="107"/>
        <v/>
      </c>
      <c r="AM142" s="7" t="str">
        <f t="shared" si="108"/>
        <v/>
      </c>
      <c r="AQ142" s="8" t="str">
        <f t="shared" si="109"/>
        <v/>
      </c>
      <c r="AW142" s="25" t="str">
        <f t="shared" si="110"/>
        <v/>
      </c>
      <c r="AZ142" s="12" t="str">
        <f t="shared" si="111"/>
        <v/>
      </c>
      <c r="BI142" s="17" t="str">
        <f t="shared" si="112"/>
        <v/>
      </c>
      <c r="BM142" t="str">
        <f t="shared" si="113"/>
        <v>SPT Relationship</v>
      </c>
      <c r="BN142">
        <f t="shared" si="98"/>
        <v>101</v>
      </c>
      <c r="BO142" t="str">
        <f t="shared" si="114"/>
        <v>Wolff, 1989</v>
      </c>
      <c r="BP142">
        <f t="shared" si="99"/>
        <v>28</v>
      </c>
      <c r="BQ142" t="str">
        <f t="shared" si="115"/>
        <v/>
      </c>
      <c r="BR142" t="str">
        <f t="shared" si="134"/>
        <v/>
      </c>
      <c r="BS142" t="str">
        <f t="shared" si="116"/>
        <v/>
      </c>
      <c r="BT142" t="str">
        <f t="shared" si="100"/>
        <v/>
      </c>
      <c r="BU142" t="str">
        <f t="shared" si="117"/>
        <v/>
      </c>
      <c r="BV142" t="str">
        <f t="shared" si="135"/>
        <v/>
      </c>
      <c r="BW142" t="str">
        <f t="shared" si="118"/>
        <v/>
      </c>
      <c r="BX142" t="str">
        <f t="shared" si="136"/>
        <v/>
      </c>
      <c r="BY142" t="str">
        <f t="shared" si="119"/>
        <v/>
      </c>
      <c r="BZ142" t="str">
        <f t="shared" si="137"/>
        <v/>
      </c>
      <c r="CA142" t="str">
        <f t="shared" si="120"/>
        <v/>
      </c>
      <c r="CB142" t="str">
        <f t="shared" si="101"/>
        <v/>
      </c>
      <c r="CC142" t="str">
        <f t="shared" si="121"/>
        <v/>
      </c>
      <c r="CD142" t="str">
        <f t="shared" si="102"/>
        <v/>
      </c>
      <c r="CE142" t="str">
        <f t="shared" si="122"/>
        <v>Bowles 5th edition</v>
      </c>
      <c r="CF142">
        <f t="shared" si="103"/>
        <v>115</v>
      </c>
      <c r="CG142" t="str">
        <f t="shared" si="123"/>
        <v/>
      </c>
      <c r="CH142" t="str">
        <f t="shared" si="104"/>
        <v/>
      </c>
      <c r="CI142" t="str">
        <f t="shared" si="124"/>
        <v/>
      </c>
      <c r="CJ142" t="str">
        <f t="shared" si="138"/>
        <v/>
      </c>
    </row>
    <row r="143" spans="2:88" x14ac:dyDescent="0.3">
      <c r="B143" t="str">
        <f t="shared" si="126"/>
        <v>36.831397-76.119388</v>
      </c>
      <c r="C143" t="s">
        <v>14</v>
      </c>
      <c r="D143">
        <v>36.831397000000003</v>
      </c>
      <c r="E143">
        <v>-76.119388000000001</v>
      </c>
      <c r="F143">
        <v>1</v>
      </c>
      <c r="G143" t="str">
        <f t="shared" si="127"/>
        <v>-9-1136.831397-76.119388</v>
      </c>
      <c r="H143">
        <f t="shared" si="128"/>
        <v>-9</v>
      </c>
      <c r="I143">
        <v>-11</v>
      </c>
      <c r="J143" t="s">
        <v>21</v>
      </c>
      <c r="L143" t="s">
        <v>18</v>
      </c>
      <c r="M143">
        <v>4</v>
      </c>
      <c r="Q143" s="1" t="str">
        <f t="shared" si="129"/>
        <v/>
      </c>
      <c r="S143" t="str">
        <f t="shared" si="125"/>
        <v>Sand</v>
      </c>
      <c r="T143">
        <f t="shared" si="130"/>
        <v>1</v>
      </c>
      <c r="AA143">
        <v>80</v>
      </c>
      <c r="AB143" s="1">
        <f t="shared" si="131"/>
        <v>5</v>
      </c>
      <c r="AC143">
        <f t="shared" si="132"/>
        <v>6</v>
      </c>
      <c r="AD143" t="str">
        <f t="shared" si="133"/>
        <v/>
      </c>
      <c r="AE143" t="str">
        <f t="shared" si="105"/>
        <v/>
      </c>
      <c r="AG143" s="21" t="str">
        <f t="shared" si="106"/>
        <v/>
      </c>
      <c r="AI143" s="6" t="str">
        <f t="shared" si="107"/>
        <v/>
      </c>
      <c r="AM143" s="7" t="str">
        <f t="shared" si="108"/>
        <v/>
      </c>
      <c r="AQ143" s="8" t="str">
        <f t="shared" si="109"/>
        <v/>
      </c>
      <c r="AW143" s="25" t="str">
        <f t="shared" si="110"/>
        <v/>
      </c>
      <c r="AZ143" s="12" t="str">
        <f t="shared" si="111"/>
        <v/>
      </c>
      <c r="BI143" s="17" t="str">
        <f t="shared" si="112"/>
        <v/>
      </c>
      <c r="BM143" t="str">
        <f t="shared" si="113"/>
        <v>SPT Relationship</v>
      </c>
      <c r="BN143">
        <f t="shared" si="98"/>
        <v>108</v>
      </c>
      <c r="BO143" t="str">
        <f t="shared" si="114"/>
        <v>Wolff, 1989</v>
      </c>
      <c r="BP143">
        <f t="shared" si="99"/>
        <v>28</v>
      </c>
      <c r="BQ143" t="str">
        <f t="shared" si="115"/>
        <v/>
      </c>
      <c r="BR143" t="str">
        <f t="shared" si="134"/>
        <v/>
      </c>
      <c r="BS143" t="str">
        <f t="shared" si="116"/>
        <v/>
      </c>
      <c r="BT143" t="str">
        <f t="shared" si="100"/>
        <v/>
      </c>
      <c r="BU143" t="str">
        <f t="shared" si="117"/>
        <v/>
      </c>
      <c r="BV143" t="str">
        <f t="shared" si="135"/>
        <v/>
      </c>
      <c r="BW143" t="str">
        <f t="shared" si="118"/>
        <v/>
      </c>
      <c r="BX143" t="str">
        <f t="shared" si="136"/>
        <v/>
      </c>
      <c r="BY143" t="str">
        <f t="shared" si="119"/>
        <v/>
      </c>
      <c r="BZ143" t="str">
        <f t="shared" si="137"/>
        <v/>
      </c>
      <c r="CA143" t="str">
        <f t="shared" si="120"/>
        <v/>
      </c>
      <c r="CB143" t="str">
        <f t="shared" si="101"/>
        <v/>
      </c>
      <c r="CC143" t="str">
        <f t="shared" si="121"/>
        <v/>
      </c>
      <c r="CD143" t="str">
        <f t="shared" si="102"/>
        <v/>
      </c>
      <c r="CE143" t="str">
        <f t="shared" si="122"/>
        <v>Bowles 5th edition</v>
      </c>
      <c r="CF143">
        <f t="shared" si="103"/>
        <v>128</v>
      </c>
      <c r="CG143" t="str">
        <f t="shared" si="123"/>
        <v/>
      </c>
      <c r="CH143" t="str">
        <f t="shared" si="104"/>
        <v/>
      </c>
      <c r="CI143" t="str">
        <f t="shared" si="124"/>
        <v/>
      </c>
      <c r="CJ143" t="str">
        <f t="shared" si="138"/>
        <v/>
      </c>
    </row>
    <row r="144" spans="2:88" x14ac:dyDescent="0.3">
      <c r="B144" t="str">
        <f t="shared" si="126"/>
        <v>36.831397-76.119388</v>
      </c>
      <c r="C144" t="s">
        <v>14</v>
      </c>
      <c r="D144">
        <v>36.831397000000003</v>
      </c>
      <c r="E144">
        <v>-76.119388000000001</v>
      </c>
      <c r="F144">
        <v>1</v>
      </c>
      <c r="G144" t="str">
        <f t="shared" si="127"/>
        <v>-11-1336.831397-76.119388</v>
      </c>
      <c r="H144">
        <f t="shared" si="128"/>
        <v>-11</v>
      </c>
      <c r="I144">
        <v>-13</v>
      </c>
      <c r="J144" t="s">
        <v>21</v>
      </c>
      <c r="L144" t="s">
        <v>18</v>
      </c>
      <c r="M144">
        <v>3</v>
      </c>
      <c r="N144">
        <v>27</v>
      </c>
      <c r="O144">
        <v>15</v>
      </c>
      <c r="P144">
        <v>23</v>
      </c>
      <c r="Q144" s="1">
        <f t="shared" si="129"/>
        <v>8</v>
      </c>
      <c r="R144">
        <v>34</v>
      </c>
      <c r="S144" t="str">
        <f t="shared" si="125"/>
        <v>Sand</v>
      </c>
      <c r="T144">
        <f t="shared" si="130"/>
        <v>2</v>
      </c>
      <c r="AA144">
        <v>80</v>
      </c>
      <c r="AB144" s="1">
        <f t="shared" si="131"/>
        <v>4</v>
      </c>
      <c r="AC144">
        <f t="shared" si="132"/>
        <v>4</v>
      </c>
      <c r="AD144">
        <f t="shared" si="133"/>
        <v>1.5</v>
      </c>
      <c r="AE144" t="str">
        <f t="shared" si="105"/>
        <v/>
      </c>
      <c r="AG144" s="21" t="str">
        <f t="shared" si="106"/>
        <v/>
      </c>
      <c r="AI144" s="6" t="str">
        <f t="shared" si="107"/>
        <v/>
      </c>
      <c r="AM144" s="7" t="str">
        <f t="shared" si="108"/>
        <v/>
      </c>
      <c r="AQ144" s="8" t="str">
        <f t="shared" si="109"/>
        <v/>
      </c>
      <c r="AW144" s="25" t="str">
        <f t="shared" si="110"/>
        <v/>
      </c>
      <c r="AZ144" s="12" t="str">
        <f t="shared" si="111"/>
        <v/>
      </c>
      <c r="BI144" s="17" t="str">
        <f t="shared" si="112"/>
        <v/>
      </c>
      <c r="BM144" t="str">
        <f t="shared" si="113"/>
        <v>SPT Relationship</v>
      </c>
      <c r="BN144">
        <f t="shared" si="98"/>
        <v>105</v>
      </c>
      <c r="BO144" t="str">
        <f t="shared" si="114"/>
        <v>Wolff, 1989</v>
      </c>
      <c r="BP144">
        <f t="shared" si="99"/>
        <v>28</v>
      </c>
      <c r="BQ144" t="str">
        <f t="shared" si="115"/>
        <v>GTENG-2476</v>
      </c>
      <c r="BR144">
        <f t="shared" si="134"/>
        <v>24</v>
      </c>
      <c r="BS144" t="str">
        <f t="shared" si="116"/>
        <v/>
      </c>
      <c r="BT144" t="str">
        <f t="shared" si="100"/>
        <v/>
      </c>
      <c r="BU144" t="str">
        <f t="shared" si="117"/>
        <v>Kulhawy and Mayne 1990</v>
      </c>
      <c r="BV144">
        <f t="shared" si="135"/>
        <v>0.108</v>
      </c>
      <c r="BW144" t="str">
        <f t="shared" si="118"/>
        <v>Kulhawy and Mayne 1990</v>
      </c>
      <c r="BX144">
        <f t="shared" si="136"/>
        <v>2.1999999999999999E-2</v>
      </c>
      <c r="BY144" t="str">
        <f t="shared" si="119"/>
        <v>Mesri 1990</v>
      </c>
      <c r="BZ144">
        <f t="shared" si="137"/>
        <v>3.2000000000000002E-3</v>
      </c>
      <c r="CA144" t="str">
        <f t="shared" si="120"/>
        <v>NAVFAC Vol. 7.1 Figure 4</v>
      </c>
      <c r="CB144">
        <f t="shared" si="101"/>
        <v>0.70575842140000011</v>
      </c>
      <c r="CC144" t="str">
        <f t="shared" si="121"/>
        <v>Stas and Kulhawy 1984</v>
      </c>
      <c r="CD144">
        <f t="shared" si="102"/>
        <v>99.963973343030489</v>
      </c>
      <c r="CE144" t="str">
        <f t="shared" si="122"/>
        <v>Bowles 5th edition</v>
      </c>
      <c r="CF144">
        <f t="shared" si="103"/>
        <v>122</v>
      </c>
      <c r="CG144" t="str">
        <f t="shared" si="123"/>
        <v>Relationship (Gs=2.67)</v>
      </c>
      <c r="CH144">
        <f t="shared" si="104"/>
        <v>0.72</v>
      </c>
      <c r="CI144" t="str">
        <f t="shared" si="124"/>
        <v/>
      </c>
      <c r="CJ144" t="str">
        <f t="shared" si="138"/>
        <v/>
      </c>
    </row>
    <row r="145" spans="2:88" x14ac:dyDescent="0.3">
      <c r="B145" t="str">
        <f t="shared" si="126"/>
        <v>36.831397-76.119388</v>
      </c>
      <c r="C145" t="s">
        <v>14</v>
      </c>
      <c r="D145">
        <v>36.831397000000003</v>
      </c>
      <c r="E145">
        <v>-76.119388000000001</v>
      </c>
      <c r="F145">
        <v>1</v>
      </c>
      <c r="G145" t="str">
        <f t="shared" si="127"/>
        <v>-13-1536.831397-76.119388</v>
      </c>
      <c r="H145">
        <f t="shared" si="128"/>
        <v>-13</v>
      </c>
      <c r="I145">
        <v>-15</v>
      </c>
      <c r="J145" t="s">
        <v>21</v>
      </c>
      <c r="L145" t="s">
        <v>17</v>
      </c>
      <c r="M145">
        <v>2</v>
      </c>
      <c r="Q145" s="1" t="str">
        <f t="shared" si="129"/>
        <v/>
      </c>
      <c r="S145" t="str">
        <f t="shared" si="125"/>
        <v>Sand</v>
      </c>
      <c r="T145">
        <f t="shared" si="130"/>
        <v>1</v>
      </c>
      <c r="AA145">
        <v>80</v>
      </c>
      <c r="AB145" s="1">
        <f t="shared" si="131"/>
        <v>3</v>
      </c>
      <c r="AC145">
        <f t="shared" si="132"/>
        <v>3</v>
      </c>
      <c r="AD145" t="str">
        <f t="shared" si="133"/>
        <v/>
      </c>
      <c r="AE145" t="str">
        <f t="shared" si="105"/>
        <v/>
      </c>
      <c r="AG145" s="21" t="str">
        <f t="shared" si="106"/>
        <v/>
      </c>
      <c r="AI145" s="6" t="str">
        <f t="shared" si="107"/>
        <v/>
      </c>
      <c r="AM145" s="7" t="str">
        <f t="shared" si="108"/>
        <v/>
      </c>
      <c r="AQ145" s="8" t="str">
        <f t="shared" si="109"/>
        <v/>
      </c>
      <c r="AW145" s="25" t="str">
        <f t="shared" si="110"/>
        <v/>
      </c>
      <c r="AZ145" s="12" t="str">
        <f t="shared" si="111"/>
        <v/>
      </c>
      <c r="BI145" s="17" t="str">
        <f t="shared" si="112"/>
        <v/>
      </c>
      <c r="BM145" t="str">
        <f t="shared" si="113"/>
        <v>SPT Relationship</v>
      </c>
      <c r="BN145">
        <f t="shared" si="98"/>
        <v>101</v>
      </c>
      <c r="BO145" t="str">
        <f t="shared" si="114"/>
        <v>Wolff, 1989</v>
      </c>
      <c r="BP145">
        <f t="shared" si="99"/>
        <v>27</v>
      </c>
      <c r="BQ145" t="str">
        <f t="shared" si="115"/>
        <v/>
      </c>
      <c r="BR145" t="str">
        <f t="shared" si="134"/>
        <v/>
      </c>
      <c r="BS145" t="str">
        <f t="shared" si="116"/>
        <v/>
      </c>
      <c r="BT145" t="str">
        <f t="shared" si="100"/>
        <v/>
      </c>
      <c r="BU145" t="str">
        <f t="shared" si="117"/>
        <v/>
      </c>
      <c r="BV145" t="str">
        <f t="shared" si="135"/>
        <v/>
      </c>
      <c r="BW145" t="str">
        <f t="shared" si="118"/>
        <v/>
      </c>
      <c r="BX145" t="str">
        <f t="shared" si="136"/>
        <v/>
      </c>
      <c r="BY145" t="str">
        <f t="shared" si="119"/>
        <v/>
      </c>
      <c r="BZ145" t="str">
        <f t="shared" si="137"/>
        <v/>
      </c>
      <c r="CA145" t="str">
        <f t="shared" si="120"/>
        <v/>
      </c>
      <c r="CB145" t="str">
        <f t="shared" si="101"/>
        <v/>
      </c>
      <c r="CC145" t="str">
        <f t="shared" si="121"/>
        <v/>
      </c>
      <c r="CD145" t="str">
        <f t="shared" si="102"/>
        <v/>
      </c>
      <c r="CE145" t="str">
        <f t="shared" si="122"/>
        <v>Bowles 5th edition</v>
      </c>
      <c r="CF145">
        <f t="shared" si="103"/>
        <v>115</v>
      </c>
      <c r="CG145" t="str">
        <f t="shared" si="123"/>
        <v/>
      </c>
      <c r="CH145" t="str">
        <f t="shared" si="104"/>
        <v/>
      </c>
      <c r="CI145" t="str">
        <f t="shared" si="124"/>
        <v/>
      </c>
      <c r="CJ145" t="str">
        <f t="shared" si="138"/>
        <v/>
      </c>
    </row>
    <row r="146" spans="2:88" x14ac:dyDescent="0.3">
      <c r="B146" t="str">
        <f t="shared" si="126"/>
        <v>36.831397-76.119388</v>
      </c>
      <c r="C146" t="s">
        <v>14</v>
      </c>
      <c r="D146">
        <v>36.831397000000003</v>
      </c>
      <c r="E146">
        <v>-76.119388000000001</v>
      </c>
      <c r="F146">
        <v>1</v>
      </c>
      <c r="G146" t="str">
        <f t="shared" si="127"/>
        <v>-15-1736.831397-76.119388</v>
      </c>
      <c r="H146">
        <f t="shared" si="128"/>
        <v>-15</v>
      </c>
      <c r="I146">
        <v>-17</v>
      </c>
      <c r="J146" t="s">
        <v>21</v>
      </c>
      <c r="L146" t="s">
        <v>17</v>
      </c>
      <c r="M146">
        <v>4</v>
      </c>
      <c r="Q146" s="1" t="str">
        <f t="shared" si="129"/>
        <v/>
      </c>
      <c r="S146" t="str">
        <f t="shared" si="125"/>
        <v>Sand</v>
      </c>
      <c r="T146">
        <f t="shared" si="130"/>
        <v>1</v>
      </c>
      <c r="AA146">
        <v>80</v>
      </c>
      <c r="AB146" s="1">
        <f t="shared" si="131"/>
        <v>5</v>
      </c>
      <c r="AC146">
        <f t="shared" si="132"/>
        <v>5</v>
      </c>
      <c r="AD146" t="str">
        <f t="shared" si="133"/>
        <v/>
      </c>
      <c r="AE146" t="str">
        <f t="shared" si="105"/>
        <v/>
      </c>
      <c r="AG146" s="21" t="str">
        <f t="shared" si="106"/>
        <v/>
      </c>
      <c r="AI146" s="6" t="str">
        <f t="shared" si="107"/>
        <v/>
      </c>
      <c r="AM146" s="7" t="str">
        <f t="shared" si="108"/>
        <v/>
      </c>
      <c r="AQ146" s="8" t="str">
        <f t="shared" si="109"/>
        <v/>
      </c>
      <c r="AW146" s="25" t="str">
        <f t="shared" si="110"/>
        <v/>
      </c>
      <c r="AZ146" s="12" t="str">
        <f t="shared" si="111"/>
        <v/>
      </c>
      <c r="BI146" s="17" t="str">
        <f t="shared" si="112"/>
        <v/>
      </c>
      <c r="BM146" t="str">
        <f t="shared" si="113"/>
        <v>SPT Relationship</v>
      </c>
      <c r="BN146">
        <f t="shared" si="98"/>
        <v>108</v>
      </c>
      <c r="BO146" t="str">
        <f t="shared" si="114"/>
        <v>Wolff, 1989</v>
      </c>
      <c r="BP146">
        <f t="shared" si="99"/>
        <v>28</v>
      </c>
      <c r="BQ146" t="str">
        <f t="shared" si="115"/>
        <v/>
      </c>
      <c r="BR146" t="str">
        <f t="shared" si="134"/>
        <v/>
      </c>
      <c r="BS146" t="str">
        <f t="shared" si="116"/>
        <v/>
      </c>
      <c r="BT146" t="str">
        <f t="shared" si="100"/>
        <v/>
      </c>
      <c r="BU146" t="str">
        <f t="shared" si="117"/>
        <v/>
      </c>
      <c r="BV146" t="str">
        <f t="shared" si="135"/>
        <v/>
      </c>
      <c r="BW146" t="str">
        <f t="shared" si="118"/>
        <v/>
      </c>
      <c r="BX146" t="str">
        <f t="shared" si="136"/>
        <v/>
      </c>
      <c r="BY146" t="str">
        <f t="shared" si="119"/>
        <v/>
      </c>
      <c r="BZ146" t="str">
        <f t="shared" si="137"/>
        <v/>
      </c>
      <c r="CA146" t="str">
        <f t="shared" si="120"/>
        <v/>
      </c>
      <c r="CB146" t="str">
        <f t="shared" si="101"/>
        <v/>
      </c>
      <c r="CC146" t="str">
        <f t="shared" si="121"/>
        <v/>
      </c>
      <c r="CD146" t="str">
        <f t="shared" si="102"/>
        <v/>
      </c>
      <c r="CE146" t="str">
        <f t="shared" si="122"/>
        <v>Bowles 5th edition</v>
      </c>
      <c r="CF146">
        <f t="shared" si="103"/>
        <v>128</v>
      </c>
      <c r="CG146" t="str">
        <f t="shared" si="123"/>
        <v/>
      </c>
      <c r="CH146" t="str">
        <f t="shared" si="104"/>
        <v/>
      </c>
      <c r="CI146" t="str">
        <f t="shared" si="124"/>
        <v/>
      </c>
      <c r="CJ146" t="str">
        <f t="shared" si="138"/>
        <v/>
      </c>
    </row>
    <row r="147" spans="2:88" x14ac:dyDescent="0.3">
      <c r="B147" t="str">
        <f t="shared" si="126"/>
        <v>36.831397-76.119388</v>
      </c>
      <c r="C147" t="s">
        <v>14</v>
      </c>
      <c r="D147">
        <v>36.831397000000003</v>
      </c>
      <c r="E147">
        <v>-76.119388000000001</v>
      </c>
      <c r="F147">
        <v>1</v>
      </c>
      <c r="G147" t="str">
        <f t="shared" si="127"/>
        <v>-17-1936.831397-76.119388</v>
      </c>
      <c r="H147">
        <f t="shared" si="128"/>
        <v>-17</v>
      </c>
      <c r="I147">
        <v>-19</v>
      </c>
      <c r="J147" t="s">
        <v>21</v>
      </c>
      <c r="L147" t="s">
        <v>17</v>
      </c>
      <c r="M147">
        <v>4</v>
      </c>
      <c r="Q147" s="1" t="str">
        <f t="shared" si="129"/>
        <v/>
      </c>
      <c r="S147" t="str">
        <f t="shared" si="125"/>
        <v>Sand</v>
      </c>
      <c r="T147">
        <f t="shared" si="130"/>
        <v>1</v>
      </c>
      <c r="AA147">
        <v>80</v>
      </c>
      <c r="AB147" s="1">
        <f t="shared" si="131"/>
        <v>5</v>
      </c>
      <c r="AC147">
        <f t="shared" si="132"/>
        <v>4</v>
      </c>
      <c r="AD147" t="str">
        <f t="shared" si="133"/>
        <v/>
      </c>
      <c r="AE147" t="str">
        <f t="shared" si="105"/>
        <v/>
      </c>
      <c r="AG147" s="21" t="str">
        <f t="shared" si="106"/>
        <v/>
      </c>
      <c r="AI147" s="6" t="str">
        <f t="shared" si="107"/>
        <v/>
      </c>
      <c r="AM147" s="7" t="str">
        <f t="shared" si="108"/>
        <v/>
      </c>
      <c r="AQ147" s="8" t="str">
        <f t="shared" si="109"/>
        <v/>
      </c>
      <c r="AW147" s="25" t="str">
        <f t="shared" si="110"/>
        <v/>
      </c>
      <c r="AZ147" s="12" t="str">
        <f t="shared" si="111"/>
        <v/>
      </c>
      <c r="BI147" s="17" t="str">
        <f t="shared" si="112"/>
        <v/>
      </c>
      <c r="BM147" t="str">
        <f t="shared" si="113"/>
        <v>SPT Relationship</v>
      </c>
      <c r="BN147">
        <f t="shared" si="98"/>
        <v>108</v>
      </c>
      <c r="BO147" t="str">
        <f t="shared" si="114"/>
        <v>Wolff, 1989</v>
      </c>
      <c r="BP147">
        <f t="shared" si="99"/>
        <v>28</v>
      </c>
      <c r="BQ147" t="str">
        <f t="shared" si="115"/>
        <v/>
      </c>
      <c r="BR147" t="str">
        <f t="shared" si="134"/>
        <v/>
      </c>
      <c r="BS147" t="str">
        <f t="shared" si="116"/>
        <v/>
      </c>
      <c r="BT147" t="str">
        <f t="shared" si="100"/>
        <v/>
      </c>
      <c r="BU147" t="str">
        <f t="shared" si="117"/>
        <v/>
      </c>
      <c r="BV147" t="str">
        <f t="shared" si="135"/>
        <v/>
      </c>
      <c r="BW147" t="str">
        <f t="shared" si="118"/>
        <v/>
      </c>
      <c r="BX147" t="str">
        <f t="shared" si="136"/>
        <v/>
      </c>
      <c r="BY147" t="str">
        <f t="shared" si="119"/>
        <v/>
      </c>
      <c r="BZ147" t="str">
        <f t="shared" si="137"/>
        <v/>
      </c>
      <c r="CA147" t="str">
        <f t="shared" si="120"/>
        <v/>
      </c>
      <c r="CB147" t="str">
        <f t="shared" si="101"/>
        <v/>
      </c>
      <c r="CC147" t="str">
        <f t="shared" si="121"/>
        <v/>
      </c>
      <c r="CD147" t="str">
        <f t="shared" si="102"/>
        <v/>
      </c>
      <c r="CE147" t="str">
        <f t="shared" si="122"/>
        <v>Bowles 5th edition</v>
      </c>
      <c r="CF147">
        <f t="shared" si="103"/>
        <v>128</v>
      </c>
      <c r="CG147" t="str">
        <f t="shared" si="123"/>
        <v/>
      </c>
      <c r="CH147" t="str">
        <f t="shared" si="104"/>
        <v/>
      </c>
      <c r="CI147" t="str">
        <f t="shared" si="124"/>
        <v/>
      </c>
      <c r="CJ147" t="str">
        <f t="shared" si="138"/>
        <v/>
      </c>
    </row>
    <row r="148" spans="2:88" x14ac:dyDescent="0.3">
      <c r="B148" t="str">
        <f t="shared" si="126"/>
        <v>36.831397-76.119388</v>
      </c>
      <c r="C148" t="s">
        <v>14</v>
      </c>
      <c r="D148">
        <v>36.831397000000003</v>
      </c>
      <c r="E148">
        <v>-76.119388000000001</v>
      </c>
      <c r="F148">
        <v>1</v>
      </c>
      <c r="G148" t="str">
        <f t="shared" si="127"/>
        <v>-22-2436.831397-76.119388</v>
      </c>
      <c r="H148">
        <f t="shared" si="128"/>
        <v>-22</v>
      </c>
      <c r="I148">
        <v>-24</v>
      </c>
      <c r="J148" t="s">
        <v>21</v>
      </c>
      <c r="L148" t="s">
        <v>17</v>
      </c>
      <c r="M148">
        <v>3</v>
      </c>
      <c r="Q148" s="1" t="str">
        <f t="shared" si="129"/>
        <v/>
      </c>
      <c r="S148" t="str">
        <f t="shared" si="125"/>
        <v>Sand</v>
      </c>
      <c r="T148">
        <f t="shared" si="130"/>
        <v>1</v>
      </c>
      <c r="AA148">
        <v>80</v>
      </c>
      <c r="AB148" s="1">
        <f t="shared" si="131"/>
        <v>4</v>
      </c>
      <c r="AC148">
        <f t="shared" si="132"/>
        <v>3</v>
      </c>
      <c r="AD148" t="str">
        <f t="shared" si="133"/>
        <v/>
      </c>
      <c r="AE148" t="str">
        <f t="shared" si="105"/>
        <v/>
      </c>
      <c r="AG148" s="21" t="str">
        <f t="shared" si="106"/>
        <v/>
      </c>
      <c r="AI148" s="6" t="str">
        <f t="shared" si="107"/>
        <v/>
      </c>
      <c r="AM148" s="7" t="str">
        <f t="shared" si="108"/>
        <v/>
      </c>
      <c r="AQ148" s="8" t="str">
        <f t="shared" si="109"/>
        <v/>
      </c>
      <c r="AW148" s="25" t="str">
        <f t="shared" si="110"/>
        <v/>
      </c>
      <c r="AZ148" s="12" t="str">
        <f t="shared" si="111"/>
        <v/>
      </c>
      <c r="BI148" s="17" t="str">
        <f t="shared" si="112"/>
        <v/>
      </c>
      <c r="BM148" t="str">
        <f t="shared" si="113"/>
        <v>SPT Relationship</v>
      </c>
      <c r="BN148">
        <f t="shared" si="98"/>
        <v>105</v>
      </c>
      <c r="BO148" t="str">
        <f t="shared" si="114"/>
        <v>Wolff, 1989</v>
      </c>
      <c r="BP148">
        <f t="shared" si="99"/>
        <v>27</v>
      </c>
      <c r="BQ148" t="str">
        <f t="shared" si="115"/>
        <v/>
      </c>
      <c r="BR148" t="str">
        <f t="shared" si="134"/>
        <v/>
      </c>
      <c r="BS148" t="str">
        <f t="shared" si="116"/>
        <v/>
      </c>
      <c r="BT148" t="str">
        <f t="shared" si="100"/>
        <v/>
      </c>
      <c r="BU148" t="str">
        <f t="shared" si="117"/>
        <v/>
      </c>
      <c r="BV148" t="str">
        <f t="shared" si="135"/>
        <v/>
      </c>
      <c r="BW148" t="str">
        <f t="shared" si="118"/>
        <v/>
      </c>
      <c r="BX148" t="str">
        <f t="shared" si="136"/>
        <v/>
      </c>
      <c r="BY148" t="str">
        <f t="shared" si="119"/>
        <v/>
      </c>
      <c r="BZ148" t="str">
        <f t="shared" si="137"/>
        <v/>
      </c>
      <c r="CA148" t="str">
        <f t="shared" si="120"/>
        <v/>
      </c>
      <c r="CB148" t="str">
        <f t="shared" si="101"/>
        <v/>
      </c>
      <c r="CC148" t="str">
        <f t="shared" si="121"/>
        <v/>
      </c>
      <c r="CD148" t="str">
        <f t="shared" si="102"/>
        <v/>
      </c>
      <c r="CE148" t="str">
        <f t="shared" si="122"/>
        <v>Bowles 5th edition</v>
      </c>
      <c r="CF148">
        <f t="shared" si="103"/>
        <v>122</v>
      </c>
      <c r="CG148" t="str">
        <f t="shared" si="123"/>
        <v/>
      </c>
      <c r="CH148" t="str">
        <f t="shared" si="104"/>
        <v/>
      </c>
      <c r="CI148" t="str">
        <f t="shared" si="124"/>
        <v/>
      </c>
      <c r="CJ148" t="str">
        <f t="shared" si="138"/>
        <v/>
      </c>
    </row>
    <row r="149" spans="2:88" x14ac:dyDescent="0.3">
      <c r="B149" t="str">
        <f t="shared" si="126"/>
        <v>36.831397-76.119388</v>
      </c>
      <c r="C149" t="s">
        <v>14</v>
      </c>
      <c r="D149">
        <v>36.831397000000003</v>
      </c>
      <c r="E149">
        <v>-76.119388000000001</v>
      </c>
      <c r="F149">
        <v>1</v>
      </c>
      <c r="G149" t="str">
        <f t="shared" si="127"/>
        <v>-27-2936.831397-76.119388</v>
      </c>
      <c r="H149">
        <f t="shared" si="128"/>
        <v>-27</v>
      </c>
      <c r="I149">
        <v>-29</v>
      </c>
      <c r="J149" t="s">
        <v>21</v>
      </c>
      <c r="L149" t="s">
        <v>17</v>
      </c>
      <c r="M149">
        <v>2</v>
      </c>
      <c r="Q149" s="1" t="str">
        <f t="shared" si="129"/>
        <v/>
      </c>
      <c r="S149" t="str">
        <f t="shared" si="125"/>
        <v>Sand</v>
      </c>
      <c r="T149">
        <f t="shared" si="130"/>
        <v>1</v>
      </c>
      <c r="AA149">
        <v>80</v>
      </c>
      <c r="AB149" s="1">
        <f t="shared" si="131"/>
        <v>3</v>
      </c>
      <c r="AC149">
        <f t="shared" si="132"/>
        <v>2</v>
      </c>
      <c r="AD149" t="str">
        <f t="shared" si="133"/>
        <v/>
      </c>
      <c r="AE149" t="str">
        <f t="shared" si="105"/>
        <v/>
      </c>
      <c r="AG149" s="21" t="str">
        <f t="shared" si="106"/>
        <v/>
      </c>
      <c r="AI149" s="6" t="str">
        <f t="shared" si="107"/>
        <v/>
      </c>
      <c r="AM149" s="7" t="str">
        <f t="shared" si="108"/>
        <v/>
      </c>
      <c r="AQ149" s="8" t="str">
        <f t="shared" si="109"/>
        <v/>
      </c>
      <c r="AW149" s="25" t="str">
        <f t="shared" si="110"/>
        <v/>
      </c>
      <c r="AZ149" s="12" t="str">
        <f t="shared" si="111"/>
        <v/>
      </c>
      <c r="BI149" s="17" t="str">
        <f t="shared" si="112"/>
        <v/>
      </c>
      <c r="BM149" t="str">
        <f t="shared" si="113"/>
        <v>SPT Relationship</v>
      </c>
      <c r="BN149">
        <f t="shared" si="98"/>
        <v>101</v>
      </c>
      <c r="BO149" t="str">
        <f t="shared" si="114"/>
        <v>Wolff, 1989</v>
      </c>
      <c r="BP149">
        <f t="shared" si="99"/>
        <v>27</v>
      </c>
      <c r="BQ149" t="str">
        <f t="shared" si="115"/>
        <v/>
      </c>
      <c r="BR149" t="str">
        <f t="shared" si="134"/>
        <v/>
      </c>
      <c r="BS149" t="str">
        <f t="shared" si="116"/>
        <v/>
      </c>
      <c r="BT149" t="str">
        <f t="shared" si="100"/>
        <v/>
      </c>
      <c r="BU149" t="str">
        <f t="shared" si="117"/>
        <v/>
      </c>
      <c r="BV149" t="str">
        <f t="shared" si="135"/>
        <v/>
      </c>
      <c r="BW149" t="str">
        <f t="shared" si="118"/>
        <v/>
      </c>
      <c r="BX149" t="str">
        <f t="shared" si="136"/>
        <v/>
      </c>
      <c r="BY149" t="str">
        <f t="shared" si="119"/>
        <v/>
      </c>
      <c r="BZ149" t="str">
        <f t="shared" si="137"/>
        <v/>
      </c>
      <c r="CA149" t="str">
        <f t="shared" si="120"/>
        <v/>
      </c>
      <c r="CB149" t="str">
        <f t="shared" si="101"/>
        <v/>
      </c>
      <c r="CC149" t="str">
        <f t="shared" si="121"/>
        <v/>
      </c>
      <c r="CD149" t="str">
        <f t="shared" si="102"/>
        <v/>
      </c>
      <c r="CE149" t="str">
        <f t="shared" si="122"/>
        <v>Bowles 5th edition</v>
      </c>
      <c r="CF149">
        <f t="shared" si="103"/>
        <v>115</v>
      </c>
      <c r="CG149" t="str">
        <f t="shared" si="123"/>
        <v/>
      </c>
      <c r="CH149" t="str">
        <f t="shared" si="104"/>
        <v/>
      </c>
      <c r="CI149" t="str">
        <f t="shared" si="124"/>
        <v/>
      </c>
      <c r="CJ149" t="str">
        <f t="shared" si="138"/>
        <v/>
      </c>
    </row>
    <row r="150" spans="2:88" x14ac:dyDescent="0.3">
      <c r="B150" t="str">
        <f t="shared" si="126"/>
        <v>36.831397-76.119388</v>
      </c>
      <c r="C150" t="s">
        <v>14</v>
      </c>
      <c r="D150">
        <v>36.831397000000003</v>
      </c>
      <c r="E150">
        <v>-76.119388000000001</v>
      </c>
      <c r="F150">
        <v>1</v>
      </c>
      <c r="G150" t="str">
        <f t="shared" si="127"/>
        <v>-32-3436.831397-76.119388</v>
      </c>
      <c r="H150">
        <f t="shared" si="128"/>
        <v>-32</v>
      </c>
      <c r="I150">
        <v>-34</v>
      </c>
      <c r="J150" t="s">
        <v>21</v>
      </c>
      <c r="L150" t="s">
        <v>11</v>
      </c>
      <c r="M150">
        <v>0</v>
      </c>
      <c r="N150">
        <v>35</v>
      </c>
      <c r="O150">
        <v>23</v>
      </c>
      <c r="P150">
        <v>35</v>
      </c>
      <c r="Q150" s="1">
        <f t="shared" si="129"/>
        <v>12</v>
      </c>
      <c r="R150">
        <v>84</v>
      </c>
      <c r="S150" t="str">
        <f t="shared" si="125"/>
        <v>Clay</v>
      </c>
      <c r="T150">
        <f t="shared" si="130"/>
        <v>2</v>
      </c>
      <c r="AA150">
        <v>80</v>
      </c>
      <c r="AB150" s="1">
        <f t="shared" si="131"/>
        <v>0</v>
      </c>
      <c r="AC150">
        <f t="shared" si="132"/>
        <v>0</v>
      </c>
      <c r="AD150">
        <f t="shared" si="133"/>
        <v>1</v>
      </c>
      <c r="AE150" t="str">
        <f t="shared" si="105"/>
        <v/>
      </c>
      <c r="AG150" s="21" t="str">
        <f t="shared" si="106"/>
        <v/>
      </c>
      <c r="AI150" s="6" t="str">
        <f t="shared" si="107"/>
        <v/>
      </c>
      <c r="AM150" s="7" t="str">
        <f t="shared" si="108"/>
        <v/>
      </c>
      <c r="AQ150" s="8" t="str">
        <f t="shared" si="109"/>
        <v/>
      </c>
      <c r="AW150" s="25" t="str">
        <f t="shared" si="110"/>
        <v/>
      </c>
      <c r="AZ150" s="12" t="str">
        <f t="shared" si="111"/>
        <v/>
      </c>
      <c r="BI150" s="17" t="str">
        <f t="shared" si="112"/>
        <v/>
      </c>
      <c r="BM150" t="str">
        <f t="shared" si="113"/>
        <v>SPT Relationship</v>
      </c>
      <c r="BN150">
        <f t="shared" si="98"/>
        <v>95</v>
      </c>
      <c r="BO150" t="str">
        <f t="shared" si="114"/>
        <v>Wolff, 1989</v>
      </c>
      <c r="BP150">
        <f t="shared" si="99"/>
        <v>27</v>
      </c>
      <c r="BQ150" t="str">
        <f t="shared" si="115"/>
        <v>GTENG-2476</v>
      </c>
      <c r="BR150">
        <f t="shared" si="134"/>
        <v>23</v>
      </c>
      <c r="BS150" t="str">
        <f t="shared" si="116"/>
        <v>Stroud 1974 (K=3.5)</v>
      </c>
      <c r="BT150">
        <f t="shared" si="100"/>
        <v>0</v>
      </c>
      <c r="BU150" t="str">
        <f t="shared" si="117"/>
        <v>Kulhawy and Mayne 1990</v>
      </c>
      <c r="BV150">
        <f t="shared" si="135"/>
        <v>0.16200000000000001</v>
      </c>
      <c r="BW150" t="str">
        <f t="shared" si="118"/>
        <v>Kulhawy and Mayne 1990</v>
      </c>
      <c r="BX150">
        <f t="shared" si="136"/>
        <v>3.2000000000000001E-2</v>
      </c>
      <c r="BY150" t="str">
        <f t="shared" si="119"/>
        <v>Mesri 1990</v>
      </c>
      <c r="BZ150">
        <f t="shared" si="137"/>
        <v>4.8999999999999998E-3</v>
      </c>
      <c r="CA150" t="str">
        <f t="shared" si="120"/>
        <v>NAVFAC Vol. 7.1 Figure 4</v>
      </c>
      <c r="CB150">
        <f t="shared" si="101"/>
        <v>0.31585187499999989</v>
      </c>
      <c r="CC150" t="str">
        <f t="shared" si="121"/>
        <v>Stas and Kulhawy 1984</v>
      </c>
      <c r="CD150">
        <f t="shared" si="102"/>
        <v>645.42162140035202</v>
      </c>
      <c r="CE150" t="str">
        <f t="shared" si="122"/>
        <v/>
      </c>
      <c r="CF150" t="str">
        <f t="shared" si="103"/>
        <v/>
      </c>
      <c r="CG150" t="str">
        <f t="shared" si="123"/>
        <v>Relationship (Gs=2.67)</v>
      </c>
      <c r="CH150">
        <f t="shared" si="104"/>
        <v>0.93</v>
      </c>
      <c r="CI150" t="str">
        <f t="shared" si="124"/>
        <v/>
      </c>
      <c r="CJ150" t="str">
        <f t="shared" si="138"/>
        <v/>
      </c>
    </row>
    <row r="151" spans="2:88" x14ac:dyDescent="0.3">
      <c r="B151" t="str">
        <f t="shared" si="126"/>
        <v>36.831397-76.119388</v>
      </c>
      <c r="C151" t="s">
        <v>14</v>
      </c>
      <c r="D151">
        <v>36.831397000000003</v>
      </c>
      <c r="E151">
        <v>-76.119388000000001</v>
      </c>
      <c r="F151">
        <v>1</v>
      </c>
      <c r="G151" t="str">
        <f t="shared" si="127"/>
        <v>-37-3936.831397-76.119388</v>
      </c>
      <c r="H151">
        <f t="shared" si="128"/>
        <v>-37</v>
      </c>
      <c r="I151">
        <v>-39</v>
      </c>
      <c r="J151" t="s">
        <v>21</v>
      </c>
      <c r="L151" t="s">
        <v>11</v>
      </c>
      <c r="M151">
        <v>2</v>
      </c>
      <c r="Q151" s="1" t="str">
        <f t="shared" si="129"/>
        <v/>
      </c>
      <c r="S151" t="str">
        <f t="shared" si="125"/>
        <v>Clay</v>
      </c>
      <c r="T151">
        <f t="shared" si="130"/>
        <v>1</v>
      </c>
      <c r="AA151">
        <v>80</v>
      </c>
      <c r="AB151" s="1">
        <f t="shared" si="131"/>
        <v>3</v>
      </c>
      <c r="AC151">
        <f t="shared" si="132"/>
        <v>2</v>
      </c>
      <c r="AD151" t="str">
        <f t="shared" si="133"/>
        <v/>
      </c>
      <c r="AE151" t="str">
        <f t="shared" si="105"/>
        <v/>
      </c>
      <c r="AG151" s="21" t="str">
        <f t="shared" si="106"/>
        <v/>
      </c>
      <c r="AI151" s="6" t="str">
        <f t="shared" si="107"/>
        <v/>
      </c>
      <c r="AM151" s="7" t="str">
        <f t="shared" si="108"/>
        <v/>
      </c>
      <c r="AQ151" s="8" t="str">
        <f t="shared" si="109"/>
        <v/>
      </c>
      <c r="AW151" s="25" t="str">
        <f t="shared" si="110"/>
        <v/>
      </c>
      <c r="AZ151" s="12" t="str">
        <f t="shared" si="111"/>
        <v/>
      </c>
      <c r="BI151" s="17" t="str">
        <f t="shared" si="112"/>
        <v/>
      </c>
      <c r="BM151" t="str">
        <f t="shared" si="113"/>
        <v>SPT Relationship</v>
      </c>
      <c r="BN151">
        <f t="shared" si="98"/>
        <v>101</v>
      </c>
      <c r="BO151" t="str">
        <f t="shared" si="114"/>
        <v>Wolff, 1989</v>
      </c>
      <c r="BP151">
        <f t="shared" si="99"/>
        <v>27</v>
      </c>
      <c r="BQ151" t="str">
        <f t="shared" si="115"/>
        <v/>
      </c>
      <c r="BR151" t="str">
        <f t="shared" si="134"/>
        <v/>
      </c>
      <c r="BS151" t="str">
        <f t="shared" si="116"/>
        <v>Stroud 1974 (K=3.5)</v>
      </c>
      <c r="BT151">
        <f t="shared" si="100"/>
        <v>219</v>
      </c>
      <c r="BU151" t="str">
        <f t="shared" si="117"/>
        <v/>
      </c>
      <c r="BV151" t="str">
        <f t="shared" si="135"/>
        <v/>
      </c>
      <c r="BW151" t="str">
        <f t="shared" si="118"/>
        <v/>
      </c>
      <c r="BX151" t="str">
        <f t="shared" si="136"/>
        <v/>
      </c>
      <c r="BY151" t="str">
        <f t="shared" si="119"/>
        <v/>
      </c>
      <c r="BZ151" t="str">
        <f t="shared" si="137"/>
        <v/>
      </c>
      <c r="CA151" t="str">
        <f t="shared" si="120"/>
        <v/>
      </c>
      <c r="CB151" t="str">
        <f t="shared" si="101"/>
        <v/>
      </c>
      <c r="CC151" t="str">
        <f t="shared" si="121"/>
        <v/>
      </c>
      <c r="CD151" t="str">
        <f t="shared" si="102"/>
        <v/>
      </c>
      <c r="CE151" t="str">
        <f t="shared" si="122"/>
        <v/>
      </c>
      <c r="CF151" t="str">
        <f t="shared" si="103"/>
        <v/>
      </c>
      <c r="CG151" t="str">
        <f t="shared" si="123"/>
        <v/>
      </c>
      <c r="CH151" t="str">
        <f t="shared" si="104"/>
        <v/>
      </c>
      <c r="CI151" t="str">
        <f t="shared" si="124"/>
        <v/>
      </c>
      <c r="CJ151" t="str">
        <f t="shared" si="138"/>
        <v/>
      </c>
    </row>
    <row r="152" spans="2:88" x14ac:dyDescent="0.3">
      <c r="B152" t="str">
        <f t="shared" si="126"/>
        <v>36.831397-76.119388</v>
      </c>
      <c r="C152" t="s">
        <v>14</v>
      </c>
      <c r="D152">
        <v>36.831397000000003</v>
      </c>
      <c r="E152">
        <v>-76.119388000000001</v>
      </c>
      <c r="F152">
        <v>1</v>
      </c>
      <c r="G152" t="str">
        <f t="shared" si="127"/>
        <v>-42-4436.831397-76.119388</v>
      </c>
      <c r="H152">
        <f t="shared" si="128"/>
        <v>-42</v>
      </c>
      <c r="I152">
        <v>-44</v>
      </c>
      <c r="J152" t="s">
        <v>21</v>
      </c>
      <c r="L152" t="s">
        <v>11</v>
      </c>
      <c r="M152">
        <v>1</v>
      </c>
      <c r="Q152" s="1" t="str">
        <f t="shared" si="129"/>
        <v/>
      </c>
      <c r="S152" t="str">
        <f t="shared" si="125"/>
        <v>Clay</v>
      </c>
      <c r="T152">
        <f t="shared" si="130"/>
        <v>1</v>
      </c>
      <c r="AA152">
        <v>80</v>
      </c>
      <c r="AB152" s="1">
        <f t="shared" si="131"/>
        <v>1</v>
      </c>
      <c r="AC152">
        <f t="shared" si="132"/>
        <v>0</v>
      </c>
      <c r="AD152" t="str">
        <f t="shared" si="133"/>
        <v/>
      </c>
      <c r="AE152" t="str">
        <f t="shared" si="105"/>
        <v/>
      </c>
      <c r="AG152" s="21" t="str">
        <f t="shared" si="106"/>
        <v/>
      </c>
      <c r="AI152" s="6" t="str">
        <f t="shared" si="107"/>
        <v/>
      </c>
      <c r="AM152" s="7" t="str">
        <f t="shared" si="108"/>
        <v/>
      </c>
      <c r="AQ152" s="8" t="str">
        <f t="shared" si="109"/>
        <v/>
      </c>
      <c r="AW152" s="25" t="str">
        <f t="shared" si="110"/>
        <v/>
      </c>
      <c r="AZ152" s="12" t="str">
        <f t="shared" si="111"/>
        <v/>
      </c>
      <c r="BI152" s="17" t="str">
        <f t="shared" si="112"/>
        <v/>
      </c>
      <c r="BM152" t="str">
        <f t="shared" si="113"/>
        <v>SPT Relationship</v>
      </c>
      <c r="BN152">
        <f t="shared" si="98"/>
        <v>95</v>
      </c>
      <c r="BO152" t="str">
        <f t="shared" si="114"/>
        <v>Wolff, 1989</v>
      </c>
      <c r="BP152">
        <f t="shared" si="99"/>
        <v>27</v>
      </c>
      <c r="BQ152" t="str">
        <f t="shared" si="115"/>
        <v/>
      </c>
      <c r="BR152" t="str">
        <f t="shared" si="134"/>
        <v/>
      </c>
      <c r="BS152" t="str">
        <f t="shared" si="116"/>
        <v>Stroud 1974 (K=3.5)</v>
      </c>
      <c r="BT152">
        <f t="shared" si="100"/>
        <v>73</v>
      </c>
      <c r="BU152" t="str">
        <f t="shared" si="117"/>
        <v/>
      </c>
      <c r="BV152" t="str">
        <f t="shared" si="135"/>
        <v/>
      </c>
      <c r="BW152" t="str">
        <f t="shared" si="118"/>
        <v/>
      </c>
      <c r="BX152" t="str">
        <f t="shared" si="136"/>
        <v/>
      </c>
      <c r="BY152" t="str">
        <f t="shared" si="119"/>
        <v/>
      </c>
      <c r="BZ152" t="str">
        <f t="shared" si="137"/>
        <v/>
      </c>
      <c r="CA152" t="str">
        <f t="shared" si="120"/>
        <v/>
      </c>
      <c r="CB152" t="str">
        <f t="shared" si="101"/>
        <v/>
      </c>
      <c r="CC152" t="str">
        <f t="shared" si="121"/>
        <v/>
      </c>
      <c r="CD152" t="str">
        <f t="shared" si="102"/>
        <v/>
      </c>
      <c r="CE152" t="str">
        <f t="shared" si="122"/>
        <v/>
      </c>
      <c r="CF152" t="str">
        <f t="shared" si="103"/>
        <v/>
      </c>
      <c r="CG152" t="str">
        <f t="shared" si="123"/>
        <v/>
      </c>
      <c r="CH152" t="str">
        <f t="shared" si="104"/>
        <v/>
      </c>
      <c r="CI152" t="str">
        <f t="shared" si="124"/>
        <v/>
      </c>
      <c r="CJ152" t="str">
        <f t="shared" si="138"/>
        <v/>
      </c>
    </row>
    <row r="153" spans="2:88" x14ac:dyDescent="0.3">
      <c r="B153" t="str">
        <f t="shared" si="126"/>
        <v>36.831397-76.119388</v>
      </c>
      <c r="C153" t="s">
        <v>14</v>
      </c>
      <c r="D153">
        <v>36.831397000000003</v>
      </c>
      <c r="E153">
        <v>-76.119388000000001</v>
      </c>
      <c r="F153">
        <v>1</v>
      </c>
      <c r="G153" t="str">
        <f t="shared" si="127"/>
        <v>-47-4936.831397-76.119388</v>
      </c>
      <c r="H153">
        <f t="shared" si="128"/>
        <v>-47</v>
      </c>
      <c r="I153">
        <v>-49</v>
      </c>
      <c r="J153" t="s">
        <v>21</v>
      </c>
      <c r="L153" t="s">
        <v>16</v>
      </c>
      <c r="M153">
        <v>4</v>
      </c>
      <c r="Q153" s="1" t="str">
        <f t="shared" si="129"/>
        <v/>
      </c>
      <c r="S153" t="str">
        <f t="shared" si="125"/>
        <v>Sand</v>
      </c>
      <c r="T153">
        <f t="shared" si="130"/>
        <v>1</v>
      </c>
      <c r="AA153">
        <v>80</v>
      </c>
      <c r="AB153" s="1">
        <f t="shared" si="131"/>
        <v>5</v>
      </c>
      <c r="AC153">
        <f t="shared" si="132"/>
        <v>3</v>
      </c>
      <c r="AD153" t="str">
        <f t="shared" si="133"/>
        <v/>
      </c>
      <c r="AE153" t="str">
        <f t="shared" si="105"/>
        <v/>
      </c>
      <c r="AG153" s="21" t="str">
        <f t="shared" si="106"/>
        <v/>
      </c>
      <c r="AI153" s="6" t="str">
        <f t="shared" si="107"/>
        <v/>
      </c>
      <c r="AM153" s="7" t="str">
        <f t="shared" si="108"/>
        <v/>
      </c>
      <c r="AQ153" s="8" t="str">
        <f t="shared" si="109"/>
        <v/>
      </c>
      <c r="AW153" s="25" t="str">
        <f t="shared" si="110"/>
        <v/>
      </c>
      <c r="AZ153" s="12" t="str">
        <f t="shared" si="111"/>
        <v/>
      </c>
      <c r="BI153" s="17" t="str">
        <f t="shared" si="112"/>
        <v/>
      </c>
      <c r="BM153" t="str">
        <f t="shared" si="113"/>
        <v>SPT Relationship</v>
      </c>
      <c r="BN153">
        <f t="shared" si="98"/>
        <v>108</v>
      </c>
      <c r="BO153" t="str">
        <f t="shared" si="114"/>
        <v>Wolff, 1989</v>
      </c>
      <c r="BP153">
        <f t="shared" si="99"/>
        <v>27</v>
      </c>
      <c r="BQ153" t="str">
        <f t="shared" si="115"/>
        <v/>
      </c>
      <c r="BR153" t="str">
        <f t="shared" si="134"/>
        <v/>
      </c>
      <c r="BS153" t="str">
        <f t="shared" si="116"/>
        <v/>
      </c>
      <c r="BT153" t="str">
        <f t="shared" si="100"/>
        <v/>
      </c>
      <c r="BU153" t="str">
        <f t="shared" si="117"/>
        <v/>
      </c>
      <c r="BV153" t="str">
        <f t="shared" si="135"/>
        <v/>
      </c>
      <c r="BW153" t="str">
        <f t="shared" si="118"/>
        <v/>
      </c>
      <c r="BX153" t="str">
        <f t="shared" si="136"/>
        <v/>
      </c>
      <c r="BY153" t="str">
        <f t="shared" si="119"/>
        <v/>
      </c>
      <c r="BZ153" t="str">
        <f t="shared" si="137"/>
        <v/>
      </c>
      <c r="CA153" t="str">
        <f t="shared" si="120"/>
        <v/>
      </c>
      <c r="CB153" t="str">
        <f t="shared" si="101"/>
        <v/>
      </c>
      <c r="CC153" t="str">
        <f t="shared" si="121"/>
        <v/>
      </c>
      <c r="CD153" t="str">
        <f t="shared" si="102"/>
        <v/>
      </c>
      <c r="CE153" t="str">
        <f t="shared" si="122"/>
        <v>Bowles 5th edition</v>
      </c>
      <c r="CF153">
        <f t="shared" si="103"/>
        <v>128</v>
      </c>
      <c r="CG153" t="str">
        <f t="shared" si="123"/>
        <v/>
      </c>
      <c r="CH153" t="str">
        <f t="shared" si="104"/>
        <v/>
      </c>
      <c r="CI153" t="str">
        <f t="shared" si="124"/>
        <v/>
      </c>
      <c r="CJ153" t="str">
        <f t="shared" si="138"/>
        <v/>
      </c>
    </row>
    <row r="154" spans="2:88" x14ac:dyDescent="0.3">
      <c r="B154" t="str">
        <f t="shared" si="126"/>
        <v>36.831397-76.119388</v>
      </c>
      <c r="C154" t="s">
        <v>14</v>
      </c>
      <c r="D154">
        <v>36.831397000000003</v>
      </c>
      <c r="E154">
        <v>-76.119388000000001</v>
      </c>
      <c r="F154">
        <v>1</v>
      </c>
      <c r="G154" t="str">
        <f t="shared" si="127"/>
        <v>-52-5436.831397-76.119388</v>
      </c>
      <c r="H154">
        <f t="shared" si="128"/>
        <v>-52</v>
      </c>
      <c r="I154">
        <v>-54</v>
      </c>
      <c r="J154" t="s">
        <v>21</v>
      </c>
      <c r="L154" t="s">
        <v>8</v>
      </c>
      <c r="M154">
        <v>7</v>
      </c>
      <c r="Q154" s="1" t="str">
        <f t="shared" si="129"/>
        <v/>
      </c>
      <c r="S154" t="str">
        <f t="shared" si="125"/>
        <v>Sand</v>
      </c>
      <c r="T154">
        <f t="shared" si="130"/>
        <v>1</v>
      </c>
      <c r="AA154">
        <v>80</v>
      </c>
      <c r="AB154" s="1">
        <f t="shared" si="131"/>
        <v>9</v>
      </c>
      <c r="AC154">
        <f t="shared" si="132"/>
        <v>5</v>
      </c>
      <c r="AD154" t="str">
        <f t="shared" si="133"/>
        <v/>
      </c>
      <c r="AE154" t="str">
        <f t="shared" si="105"/>
        <v/>
      </c>
      <c r="AG154" s="21" t="str">
        <f t="shared" si="106"/>
        <v/>
      </c>
      <c r="AI154" s="6" t="str">
        <f t="shared" si="107"/>
        <v/>
      </c>
      <c r="AM154" s="7" t="str">
        <f t="shared" si="108"/>
        <v/>
      </c>
      <c r="AQ154" s="8" t="str">
        <f t="shared" si="109"/>
        <v/>
      </c>
      <c r="AW154" s="25" t="str">
        <f t="shared" si="110"/>
        <v/>
      </c>
      <c r="AZ154" s="12" t="str">
        <f t="shared" si="111"/>
        <v/>
      </c>
      <c r="BI154" s="17" t="str">
        <f t="shared" si="112"/>
        <v/>
      </c>
      <c r="BM154" t="str">
        <f t="shared" si="113"/>
        <v>SPT Relationship</v>
      </c>
      <c r="BN154">
        <f t="shared" si="98"/>
        <v>114</v>
      </c>
      <c r="BO154" t="str">
        <f t="shared" si="114"/>
        <v>Wolff, 1989</v>
      </c>
      <c r="BP154">
        <f t="shared" si="99"/>
        <v>28</v>
      </c>
      <c r="BQ154" t="str">
        <f t="shared" si="115"/>
        <v/>
      </c>
      <c r="BR154" t="str">
        <f t="shared" si="134"/>
        <v/>
      </c>
      <c r="BS154" t="str">
        <f t="shared" si="116"/>
        <v/>
      </c>
      <c r="BT154" t="str">
        <f t="shared" si="100"/>
        <v/>
      </c>
      <c r="BU154" t="str">
        <f t="shared" si="117"/>
        <v/>
      </c>
      <c r="BV154" t="str">
        <f t="shared" si="135"/>
        <v/>
      </c>
      <c r="BW154" t="str">
        <f t="shared" si="118"/>
        <v/>
      </c>
      <c r="BX154" t="str">
        <f t="shared" si="136"/>
        <v/>
      </c>
      <c r="BY154" t="str">
        <f t="shared" si="119"/>
        <v/>
      </c>
      <c r="BZ154" t="str">
        <f t="shared" si="137"/>
        <v/>
      </c>
      <c r="CA154" t="str">
        <f t="shared" si="120"/>
        <v/>
      </c>
      <c r="CB154" t="str">
        <f t="shared" si="101"/>
        <v/>
      </c>
      <c r="CC154" t="str">
        <f t="shared" si="121"/>
        <v/>
      </c>
      <c r="CD154" t="str">
        <f t="shared" si="102"/>
        <v/>
      </c>
      <c r="CE154" t="str">
        <f t="shared" si="122"/>
        <v>Bowles 5th edition</v>
      </c>
      <c r="CF154">
        <f t="shared" si="103"/>
        <v>154</v>
      </c>
      <c r="CG154" t="str">
        <f t="shared" si="123"/>
        <v/>
      </c>
      <c r="CH154" t="str">
        <f t="shared" si="104"/>
        <v/>
      </c>
      <c r="CI154" t="str">
        <f t="shared" si="124"/>
        <v/>
      </c>
      <c r="CJ154" t="str">
        <f t="shared" si="138"/>
        <v/>
      </c>
    </row>
    <row r="155" spans="2:88" x14ac:dyDescent="0.3">
      <c r="B155" t="str">
        <f t="shared" si="126"/>
        <v>36.831397-76.119388</v>
      </c>
      <c r="C155" t="s">
        <v>14</v>
      </c>
      <c r="D155">
        <v>36.831397000000003</v>
      </c>
      <c r="E155">
        <v>-76.119388000000001</v>
      </c>
      <c r="F155">
        <v>1</v>
      </c>
      <c r="G155" t="str">
        <f t="shared" si="127"/>
        <v>-57-5936.831397-76.119388</v>
      </c>
      <c r="H155">
        <f t="shared" si="128"/>
        <v>-57</v>
      </c>
      <c r="I155">
        <v>-59</v>
      </c>
      <c r="J155" t="s">
        <v>21</v>
      </c>
      <c r="L155" t="s">
        <v>8</v>
      </c>
      <c r="M155">
        <v>30</v>
      </c>
      <c r="N155">
        <v>22</v>
      </c>
      <c r="Q155" s="1" t="str">
        <f t="shared" si="129"/>
        <v/>
      </c>
      <c r="R155">
        <v>16</v>
      </c>
      <c r="S155" t="str">
        <f t="shared" si="125"/>
        <v>Sand</v>
      </c>
      <c r="T155">
        <f t="shared" si="130"/>
        <v>2</v>
      </c>
      <c r="AA155">
        <v>80</v>
      </c>
      <c r="AB155" s="1">
        <f t="shared" si="131"/>
        <v>40</v>
      </c>
      <c r="AC155">
        <f t="shared" si="132"/>
        <v>22</v>
      </c>
      <c r="AD155" t="str">
        <f t="shared" si="133"/>
        <v/>
      </c>
      <c r="AE155" t="str">
        <f t="shared" si="105"/>
        <v/>
      </c>
      <c r="AG155" s="21" t="str">
        <f t="shared" si="106"/>
        <v/>
      </c>
      <c r="AI155" s="6" t="str">
        <f t="shared" si="107"/>
        <v/>
      </c>
      <c r="AM155" s="7" t="str">
        <f t="shared" si="108"/>
        <v/>
      </c>
      <c r="AQ155" s="8" t="str">
        <f t="shared" si="109"/>
        <v/>
      </c>
      <c r="AW155" s="25" t="str">
        <f t="shared" si="110"/>
        <v/>
      </c>
      <c r="AZ155" s="12" t="str">
        <f t="shared" si="111"/>
        <v/>
      </c>
      <c r="BI155" s="17" t="str">
        <f t="shared" si="112"/>
        <v/>
      </c>
      <c r="BM155" t="str">
        <f t="shared" si="113"/>
        <v>SPT Relationship</v>
      </c>
      <c r="BN155">
        <f t="shared" si="98"/>
        <v>131</v>
      </c>
      <c r="BO155" t="str">
        <f t="shared" si="114"/>
        <v>Wolff, 1989</v>
      </c>
      <c r="BP155">
        <f t="shared" si="99"/>
        <v>33</v>
      </c>
      <c r="BQ155" t="str">
        <f t="shared" si="115"/>
        <v/>
      </c>
      <c r="BR155" t="str">
        <f t="shared" si="134"/>
        <v/>
      </c>
      <c r="BS155" t="str">
        <f t="shared" si="116"/>
        <v/>
      </c>
      <c r="BT155" t="str">
        <f t="shared" si="100"/>
        <v/>
      </c>
      <c r="BU155" t="str">
        <f t="shared" si="117"/>
        <v/>
      </c>
      <c r="BV155" t="str">
        <f t="shared" si="135"/>
        <v/>
      </c>
      <c r="BW155" t="str">
        <f t="shared" si="118"/>
        <v/>
      </c>
      <c r="BX155" t="str">
        <f t="shared" si="136"/>
        <v/>
      </c>
      <c r="BY155" t="str">
        <f t="shared" si="119"/>
        <v/>
      </c>
      <c r="BZ155" t="str">
        <f t="shared" si="137"/>
        <v/>
      </c>
      <c r="CA155" t="str">
        <f t="shared" si="120"/>
        <v/>
      </c>
      <c r="CB155" t="str">
        <f t="shared" si="101"/>
        <v/>
      </c>
      <c r="CC155" t="str">
        <f t="shared" si="121"/>
        <v/>
      </c>
      <c r="CD155" t="str">
        <f t="shared" si="102"/>
        <v/>
      </c>
      <c r="CE155" t="str">
        <f t="shared" si="122"/>
        <v>Bowles 5th edition</v>
      </c>
      <c r="CF155">
        <f t="shared" si="103"/>
        <v>352</v>
      </c>
      <c r="CG155" t="str">
        <f t="shared" si="123"/>
        <v>Relationship (Gs=2.67)</v>
      </c>
      <c r="CH155">
        <f t="shared" si="104"/>
        <v>0.59</v>
      </c>
      <c r="CI155" t="str">
        <f t="shared" si="124"/>
        <v/>
      </c>
      <c r="CJ155" t="str">
        <f t="shared" si="138"/>
        <v/>
      </c>
    </row>
    <row r="156" spans="2:88" x14ac:dyDescent="0.3">
      <c r="B156" t="str">
        <f t="shared" si="126"/>
        <v>36.831397-76.119388</v>
      </c>
      <c r="C156" t="s">
        <v>14</v>
      </c>
      <c r="D156">
        <v>36.831397000000003</v>
      </c>
      <c r="E156">
        <v>-76.119388000000001</v>
      </c>
      <c r="F156">
        <v>1</v>
      </c>
      <c r="G156" t="str">
        <f t="shared" si="127"/>
        <v>-62-6436.831397-76.119388</v>
      </c>
      <c r="H156">
        <f t="shared" si="128"/>
        <v>-62</v>
      </c>
      <c r="I156">
        <v>-64</v>
      </c>
      <c r="J156" t="s">
        <v>21</v>
      </c>
      <c r="L156" t="s">
        <v>10</v>
      </c>
      <c r="M156">
        <v>21</v>
      </c>
      <c r="Q156" s="1" t="str">
        <f t="shared" si="129"/>
        <v/>
      </c>
      <c r="S156" t="str">
        <f t="shared" si="125"/>
        <v>Sand</v>
      </c>
      <c r="T156">
        <f t="shared" si="130"/>
        <v>1</v>
      </c>
      <c r="AA156">
        <v>80</v>
      </c>
      <c r="AB156" s="1">
        <f t="shared" si="131"/>
        <v>28</v>
      </c>
      <c r="AC156">
        <f t="shared" si="132"/>
        <v>15</v>
      </c>
      <c r="AD156" t="str">
        <f t="shared" si="133"/>
        <v/>
      </c>
      <c r="AE156" t="str">
        <f t="shared" si="105"/>
        <v/>
      </c>
      <c r="AG156" s="21" t="str">
        <f t="shared" si="106"/>
        <v/>
      </c>
      <c r="AI156" s="6" t="str">
        <f t="shared" si="107"/>
        <v/>
      </c>
      <c r="AM156" s="7" t="str">
        <f t="shared" si="108"/>
        <v/>
      </c>
      <c r="AQ156" s="8" t="str">
        <f t="shared" si="109"/>
        <v/>
      </c>
      <c r="AW156" s="25" t="str">
        <f t="shared" si="110"/>
        <v/>
      </c>
      <c r="AZ156" s="12" t="str">
        <f t="shared" si="111"/>
        <v/>
      </c>
      <c r="BI156" s="17" t="str">
        <f t="shared" si="112"/>
        <v/>
      </c>
      <c r="BM156" t="str">
        <f t="shared" si="113"/>
        <v>SPT Relationship</v>
      </c>
      <c r="BN156">
        <f t="shared" si="98"/>
        <v>127</v>
      </c>
      <c r="BO156" t="str">
        <f t="shared" si="114"/>
        <v>Wolff, 1989</v>
      </c>
      <c r="BP156">
        <f t="shared" si="99"/>
        <v>31</v>
      </c>
      <c r="BQ156" t="str">
        <f t="shared" si="115"/>
        <v/>
      </c>
      <c r="BR156" t="str">
        <f t="shared" si="134"/>
        <v/>
      </c>
      <c r="BS156" t="str">
        <f t="shared" si="116"/>
        <v/>
      </c>
      <c r="BT156" t="str">
        <f t="shared" si="100"/>
        <v/>
      </c>
      <c r="BU156" t="str">
        <f t="shared" si="117"/>
        <v/>
      </c>
      <c r="BV156" t="str">
        <f t="shared" si="135"/>
        <v/>
      </c>
      <c r="BW156" t="str">
        <f t="shared" si="118"/>
        <v/>
      </c>
      <c r="BX156" t="str">
        <f t="shared" si="136"/>
        <v/>
      </c>
      <c r="BY156" t="str">
        <f t="shared" si="119"/>
        <v/>
      </c>
      <c r="BZ156" t="str">
        <f t="shared" si="137"/>
        <v/>
      </c>
      <c r="CA156" t="str">
        <f t="shared" si="120"/>
        <v/>
      </c>
      <c r="CB156" t="str">
        <f t="shared" si="101"/>
        <v/>
      </c>
      <c r="CC156" t="str">
        <f t="shared" si="121"/>
        <v/>
      </c>
      <c r="CD156" t="str">
        <f t="shared" si="102"/>
        <v/>
      </c>
      <c r="CE156" t="str">
        <f t="shared" si="122"/>
        <v>Bowles 5th edition</v>
      </c>
      <c r="CF156">
        <f t="shared" si="103"/>
        <v>275</v>
      </c>
      <c r="CG156" t="str">
        <f t="shared" si="123"/>
        <v/>
      </c>
      <c r="CH156" t="str">
        <f t="shared" si="104"/>
        <v/>
      </c>
      <c r="CI156" t="str">
        <f t="shared" si="124"/>
        <v/>
      </c>
      <c r="CJ156" t="str">
        <f t="shared" si="138"/>
        <v/>
      </c>
    </row>
    <row r="157" spans="2:88" x14ac:dyDescent="0.3">
      <c r="B157" t="str">
        <f t="shared" si="126"/>
        <v>36.831397-76.119388</v>
      </c>
      <c r="C157" t="s">
        <v>14</v>
      </c>
      <c r="D157">
        <v>36.831397000000003</v>
      </c>
      <c r="E157">
        <v>-76.119388000000001</v>
      </c>
      <c r="F157">
        <v>1</v>
      </c>
      <c r="G157" t="str">
        <f t="shared" si="127"/>
        <v>-67-6936.831397-76.119388</v>
      </c>
      <c r="H157">
        <f t="shared" si="128"/>
        <v>-67</v>
      </c>
      <c r="I157">
        <v>-69</v>
      </c>
      <c r="J157" t="s">
        <v>21</v>
      </c>
      <c r="L157" t="s">
        <v>11</v>
      </c>
      <c r="M157">
        <v>8</v>
      </c>
      <c r="N157">
        <v>30</v>
      </c>
      <c r="O157">
        <v>22</v>
      </c>
      <c r="P157">
        <v>42</v>
      </c>
      <c r="Q157" s="1">
        <f t="shared" si="129"/>
        <v>20</v>
      </c>
      <c r="R157">
        <v>83</v>
      </c>
      <c r="S157" t="str">
        <f t="shared" si="125"/>
        <v>Clay</v>
      </c>
      <c r="T157">
        <f t="shared" si="130"/>
        <v>2</v>
      </c>
      <c r="AA157">
        <v>80</v>
      </c>
      <c r="AB157" s="1">
        <f t="shared" si="131"/>
        <v>11</v>
      </c>
      <c r="AC157">
        <f t="shared" si="132"/>
        <v>5</v>
      </c>
      <c r="AD157">
        <f t="shared" si="133"/>
        <v>0.4</v>
      </c>
      <c r="AE157" t="str">
        <f t="shared" si="105"/>
        <v/>
      </c>
      <c r="AG157" s="21" t="str">
        <f t="shared" si="106"/>
        <v/>
      </c>
      <c r="AI157" s="6" t="str">
        <f t="shared" si="107"/>
        <v/>
      </c>
      <c r="AM157" s="7" t="str">
        <f t="shared" si="108"/>
        <v/>
      </c>
      <c r="AQ157" s="8" t="str">
        <f t="shared" si="109"/>
        <v/>
      </c>
      <c r="AW157" s="25" t="str">
        <f t="shared" si="110"/>
        <v/>
      </c>
      <c r="AZ157" s="12" t="str">
        <f t="shared" si="111"/>
        <v/>
      </c>
      <c r="BI157" s="17" t="str">
        <f t="shared" si="112"/>
        <v/>
      </c>
      <c r="BM157" t="str">
        <f t="shared" si="113"/>
        <v>SPT Relationship</v>
      </c>
      <c r="BN157">
        <f t="shared" si="98"/>
        <v>116</v>
      </c>
      <c r="BO157" t="str">
        <f t="shared" si="114"/>
        <v>Wolff, 1989</v>
      </c>
      <c r="BP157">
        <f t="shared" si="99"/>
        <v>28</v>
      </c>
      <c r="BQ157" t="str">
        <f t="shared" si="115"/>
        <v>GTENG-2476</v>
      </c>
      <c r="BR157">
        <f t="shared" si="134"/>
        <v>22</v>
      </c>
      <c r="BS157" t="str">
        <f t="shared" si="116"/>
        <v>Stroud 1974 (K=3.5)</v>
      </c>
      <c r="BT157">
        <f t="shared" si="100"/>
        <v>804</v>
      </c>
      <c r="BU157" t="str">
        <f t="shared" si="117"/>
        <v>Kulhawy and Mayne 1990</v>
      </c>
      <c r="BV157">
        <f t="shared" si="135"/>
        <v>0.27</v>
      </c>
      <c r="BW157" t="str">
        <f t="shared" si="118"/>
        <v>Kulhawy and Mayne 1990</v>
      </c>
      <c r="BX157">
        <f t="shared" si="136"/>
        <v>5.3999999999999999E-2</v>
      </c>
      <c r="BY157" t="str">
        <f t="shared" si="119"/>
        <v>Mesri 1990</v>
      </c>
      <c r="BZ157">
        <f t="shared" si="137"/>
        <v>8.0999999999999996E-3</v>
      </c>
      <c r="CA157" t="str">
        <f t="shared" si="120"/>
        <v>NAVFAC Vol. 7.1 Figure 4</v>
      </c>
      <c r="CB157">
        <f t="shared" si="101"/>
        <v>0.14575439359999942</v>
      </c>
      <c r="CC157" t="str">
        <f t="shared" si="121"/>
        <v>Stas and Kulhawy 1984</v>
      </c>
      <c r="CD157">
        <f t="shared" si="102"/>
        <v>6051.2279067346999</v>
      </c>
      <c r="CE157" t="str">
        <f t="shared" si="122"/>
        <v/>
      </c>
      <c r="CF157" t="str">
        <f t="shared" si="103"/>
        <v/>
      </c>
      <c r="CG157" t="str">
        <f t="shared" si="123"/>
        <v>Relationship (Gs=2.67)</v>
      </c>
      <c r="CH157">
        <f t="shared" si="104"/>
        <v>0.8</v>
      </c>
      <c r="CI157" t="str">
        <f t="shared" si="124"/>
        <v/>
      </c>
      <c r="CJ157" t="str">
        <f t="shared" si="138"/>
        <v/>
      </c>
    </row>
    <row r="158" spans="2:88" x14ac:dyDescent="0.3">
      <c r="B158" t="str">
        <f t="shared" si="126"/>
        <v>36.831397-76.119388</v>
      </c>
      <c r="C158" t="s">
        <v>14</v>
      </c>
      <c r="D158">
        <v>36.831397000000003</v>
      </c>
      <c r="E158">
        <v>-76.119388000000001</v>
      </c>
      <c r="F158">
        <v>1</v>
      </c>
      <c r="G158" t="str">
        <f t="shared" si="127"/>
        <v>-72-7436.831397-76.119388</v>
      </c>
      <c r="H158">
        <f t="shared" si="128"/>
        <v>-72</v>
      </c>
      <c r="I158">
        <v>-74</v>
      </c>
      <c r="J158" t="s">
        <v>21</v>
      </c>
      <c r="L158" t="s">
        <v>11</v>
      </c>
      <c r="M158">
        <v>9</v>
      </c>
      <c r="Q158" s="1" t="str">
        <f t="shared" si="129"/>
        <v/>
      </c>
      <c r="S158" t="str">
        <f t="shared" si="125"/>
        <v>Clay</v>
      </c>
      <c r="T158">
        <f t="shared" si="130"/>
        <v>1</v>
      </c>
      <c r="AA158">
        <v>80</v>
      </c>
      <c r="AB158" s="1">
        <f t="shared" si="131"/>
        <v>12</v>
      </c>
      <c r="AC158">
        <f t="shared" si="132"/>
        <v>6</v>
      </c>
      <c r="AD158" t="str">
        <f t="shared" si="133"/>
        <v/>
      </c>
      <c r="AE158" t="str">
        <f t="shared" si="105"/>
        <v/>
      </c>
      <c r="AG158" s="21" t="str">
        <f t="shared" si="106"/>
        <v/>
      </c>
      <c r="AI158" s="6" t="str">
        <f t="shared" si="107"/>
        <v/>
      </c>
      <c r="AM158" s="7" t="str">
        <f t="shared" si="108"/>
        <v/>
      </c>
      <c r="AQ158" s="8" t="str">
        <f t="shared" si="109"/>
        <v/>
      </c>
      <c r="AW158" s="25" t="str">
        <f t="shared" si="110"/>
        <v/>
      </c>
      <c r="AZ158" s="12" t="str">
        <f t="shared" si="111"/>
        <v/>
      </c>
      <c r="BI158" s="17" t="str">
        <f t="shared" si="112"/>
        <v/>
      </c>
      <c r="BM158" t="str">
        <f t="shared" si="113"/>
        <v>SPT Relationship</v>
      </c>
      <c r="BN158">
        <f t="shared" si="98"/>
        <v>117</v>
      </c>
      <c r="BO158" t="str">
        <f t="shared" si="114"/>
        <v>Wolff, 1989</v>
      </c>
      <c r="BP158">
        <f t="shared" si="99"/>
        <v>28</v>
      </c>
      <c r="BQ158" t="str">
        <f t="shared" si="115"/>
        <v/>
      </c>
      <c r="BR158" t="str">
        <f t="shared" si="134"/>
        <v/>
      </c>
      <c r="BS158" t="str">
        <f t="shared" si="116"/>
        <v>Stroud 1974 (K=3.5)</v>
      </c>
      <c r="BT158">
        <f t="shared" si="100"/>
        <v>877</v>
      </c>
      <c r="BU158" t="str">
        <f t="shared" si="117"/>
        <v/>
      </c>
      <c r="BV158" t="str">
        <f t="shared" si="135"/>
        <v/>
      </c>
      <c r="BW158" t="str">
        <f t="shared" si="118"/>
        <v/>
      </c>
      <c r="BX158" t="str">
        <f t="shared" si="136"/>
        <v/>
      </c>
      <c r="BY158" t="str">
        <f t="shared" si="119"/>
        <v/>
      </c>
      <c r="BZ158" t="str">
        <f t="shared" si="137"/>
        <v/>
      </c>
      <c r="CA158" t="str">
        <f t="shared" si="120"/>
        <v/>
      </c>
      <c r="CB158" t="str">
        <f t="shared" si="101"/>
        <v/>
      </c>
      <c r="CC158" t="str">
        <f t="shared" si="121"/>
        <v/>
      </c>
      <c r="CD158" t="str">
        <f t="shared" si="102"/>
        <v/>
      </c>
      <c r="CE158" t="str">
        <f t="shared" si="122"/>
        <v/>
      </c>
      <c r="CF158" t="str">
        <f t="shared" si="103"/>
        <v/>
      </c>
      <c r="CG158" t="str">
        <f t="shared" si="123"/>
        <v/>
      </c>
      <c r="CH158" t="str">
        <f t="shared" si="104"/>
        <v/>
      </c>
      <c r="CI158" t="str">
        <f t="shared" si="124"/>
        <v/>
      </c>
      <c r="CJ158" t="str">
        <f t="shared" si="138"/>
        <v/>
      </c>
    </row>
    <row r="159" spans="2:88" x14ac:dyDescent="0.3">
      <c r="B159" t="str">
        <f t="shared" si="126"/>
        <v>36.831397-76.119388</v>
      </c>
      <c r="C159" t="s">
        <v>14</v>
      </c>
      <c r="D159">
        <v>36.831397000000003</v>
      </c>
      <c r="E159">
        <v>-76.119388000000001</v>
      </c>
      <c r="F159">
        <v>1</v>
      </c>
      <c r="G159" t="str">
        <f t="shared" si="127"/>
        <v>-77-7936.831397-76.119388</v>
      </c>
      <c r="H159">
        <f t="shared" si="128"/>
        <v>-77</v>
      </c>
      <c r="I159">
        <v>-79</v>
      </c>
      <c r="J159" t="s">
        <v>21</v>
      </c>
      <c r="L159" t="s">
        <v>17</v>
      </c>
      <c r="M159">
        <v>16</v>
      </c>
      <c r="Q159" s="1" t="str">
        <f t="shared" si="129"/>
        <v/>
      </c>
      <c r="S159" t="str">
        <f t="shared" si="125"/>
        <v>Sand</v>
      </c>
      <c r="T159">
        <f t="shared" si="130"/>
        <v>1</v>
      </c>
      <c r="AA159">
        <v>80</v>
      </c>
      <c r="AB159" s="1">
        <f t="shared" si="131"/>
        <v>21</v>
      </c>
      <c r="AC159">
        <f t="shared" si="132"/>
        <v>10</v>
      </c>
      <c r="AD159" t="str">
        <f t="shared" si="133"/>
        <v/>
      </c>
      <c r="AE159" t="str">
        <f t="shared" si="105"/>
        <v/>
      </c>
      <c r="AG159" s="21" t="str">
        <f t="shared" si="106"/>
        <v/>
      </c>
      <c r="AI159" s="6" t="str">
        <f t="shared" si="107"/>
        <v/>
      </c>
      <c r="AM159" s="7" t="str">
        <f t="shared" si="108"/>
        <v/>
      </c>
      <c r="AQ159" s="8" t="str">
        <f t="shared" si="109"/>
        <v/>
      </c>
      <c r="AW159" s="25" t="str">
        <f t="shared" si="110"/>
        <v/>
      </c>
      <c r="AZ159" s="12" t="str">
        <f t="shared" si="111"/>
        <v/>
      </c>
      <c r="BI159" s="17" t="str">
        <f t="shared" si="112"/>
        <v/>
      </c>
      <c r="BM159" t="str">
        <f t="shared" si="113"/>
        <v>SPT Relationship</v>
      </c>
      <c r="BN159">
        <f t="shared" si="98"/>
        <v>124</v>
      </c>
      <c r="BO159" t="str">
        <f t="shared" si="114"/>
        <v>Wolff, 1989</v>
      </c>
      <c r="BP159">
        <f t="shared" si="99"/>
        <v>30</v>
      </c>
      <c r="BQ159" t="str">
        <f t="shared" si="115"/>
        <v/>
      </c>
      <c r="BR159" t="str">
        <f t="shared" si="134"/>
        <v/>
      </c>
      <c r="BS159" t="str">
        <f t="shared" si="116"/>
        <v/>
      </c>
      <c r="BT159" t="str">
        <f t="shared" si="100"/>
        <v/>
      </c>
      <c r="BU159" t="str">
        <f t="shared" si="117"/>
        <v/>
      </c>
      <c r="BV159" t="str">
        <f t="shared" si="135"/>
        <v/>
      </c>
      <c r="BW159" t="str">
        <f t="shared" si="118"/>
        <v/>
      </c>
      <c r="BX159" t="str">
        <f t="shared" si="136"/>
        <v/>
      </c>
      <c r="BY159" t="str">
        <f t="shared" si="119"/>
        <v/>
      </c>
      <c r="BZ159" t="str">
        <f t="shared" si="137"/>
        <v/>
      </c>
      <c r="CA159" t="str">
        <f t="shared" si="120"/>
        <v/>
      </c>
      <c r="CB159" t="str">
        <f t="shared" si="101"/>
        <v/>
      </c>
      <c r="CC159" t="str">
        <f t="shared" si="121"/>
        <v/>
      </c>
      <c r="CD159" t="str">
        <f t="shared" si="102"/>
        <v/>
      </c>
      <c r="CE159" t="str">
        <f t="shared" si="122"/>
        <v>Bowles 5th edition</v>
      </c>
      <c r="CF159">
        <f t="shared" si="103"/>
        <v>230</v>
      </c>
      <c r="CG159" t="str">
        <f t="shared" si="123"/>
        <v/>
      </c>
      <c r="CH159" t="str">
        <f t="shared" si="104"/>
        <v/>
      </c>
      <c r="CI159" t="str">
        <f t="shared" si="124"/>
        <v/>
      </c>
      <c r="CJ159" t="str">
        <f t="shared" si="138"/>
        <v/>
      </c>
    </row>
    <row r="160" spans="2:88" x14ac:dyDescent="0.3">
      <c r="B160" t="str">
        <f t="shared" si="126"/>
        <v>36.831397-76.119388</v>
      </c>
      <c r="C160" t="s">
        <v>14</v>
      </c>
      <c r="D160">
        <v>36.831397000000003</v>
      </c>
      <c r="E160">
        <v>-76.119388000000001</v>
      </c>
      <c r="F160">
        <v>1</v>
      </c>
      <c r="G160" t="str">
        <f t="shared" si="127"/>
        <v>-82-8436.831397-76.119388</v>
      </c>
      <c r="H160">
        <f t="shared" si="128"/>
        <v>-82</v>
      </c>
      <c r="I160">
        <v>-84</v>
      </c>
      <c r="J160" t="s">
        <v>21</v>
      </c>
      <c r="L160" t="s">
        <v>17</v>
      </c>
      <c r="M160">
        <v>16</v>
      </c>
      <c r="Q160" s="1" t="str">
        <f t="shared" si="129"/>
        <v/>
      </c>
      <c r="S160" t="str">
        <f t="shared" si="125"/>
        <v>Sand</v>
      </c>
      <c r="T160">
        <f t="shared" si="130"/>
        <v>1</v>
      </c>
      <c r="AA160">
        <v>80</v>
      </c>
      <c r="AB160" s="1">
        <f t="shared" si="131"/>
        <v>21</v>
      </c>
      <c r="AC160">
        <f t="shared" si="132"/>
        <v>9</v>
      </c>
      <c r="AD160" t="str">
        <f t="shared" si="133"/>
        <v/>
      </c>
      <c r="AE160" t="str">
        <f t="shared" si="105"/>
        <v/>
      </c>
      <c r="AG160" s="21" t="str">
        <f t="shared" si="106"/>
        <v/>
      </c>
      <c r="AI160" s="6" t="str">
        <f t="shared" si="107"/>
        <v/>
      </c>
      <c r="AM160" s="7" t="str">
        <f t="shared" si="108"/>
        <v/>
      </c>
      <c r="AQ160" s="8" t="str">
        <f t="shared" si="109"/>
        <v/>
      </c>
      <c r="AW160" s="25" t="str">
        <f t="shared" si="110"/>
        <v/>
      </c>
      <c r="AZ160" s="12" t="str">
        <f t="shared" si="111"/>
        <v/>
      </c>
      <c r="BI160" s="17" t="str">
        <f t="shared" si="112"/>
        <v/>
      </c>
      <c r="BM160" t="str">
        <f t="shared" si="113"/>
        <v>SPT Relationship</v>
      </c>
      <c r="BN160">
        <f t="shared" si="98"/>
        <v>124</v>
      </c>
      <c r="BO160" t="str">
        <f t="shared" si="114"/>
        <v>Wolff, 1989</v>
      </c>
      <c r="BP160">
        <f t="shared" si="99"/>
        <v>29</v>
      </c>
      <c r="BQ160" t="str">
        <f t="shared" si="115"/>
        <v/>
      </c>
      <c r="BR160" t="str">
        <f t="shared" si="134"/>
        <v/>
      </c>
      <c r="BS160" t="str">
        <f t="shared" si="116"/>
        <v/>
      </c>
      <c r="BT160" t="str">
        <f t="shared" si="100"/>
        <v/>
      </c>
      <c r="BU160" t="str">
        <f t="shared" si="117"/>
        <v/>
      </c>
      <c r="BV160" t="str">
        <f t="shared" si="135"/>
        <v/>
      </c>
      <c r="BW160" t="str">
        <f t="shared" si="118"/>
        <v/>
      </c>
      <c r="BX160" t="str">
        <f t="shared" si="136"/>
        <v/>
      </c>
      <c r="BY160" t="str">
        <f t="shared" si="119"/>
        <v/>
      </c>
      <c r="BZ160" t="str">
        <f t="shared" si="137"/>
        <v/>
      </c>
      <c r="CA160" t="str">
        <f t="shared" si="120"/>
        <v/>
      </c>
      <c r="CB160" t="str">
        <f t="shared" si="101"/>
        <v/>
      </c>
      <c r="CC160" t="str">
        <f t="shared" si="121"/>
        <v/>
      </c>
      <c r="CD160" t="str">
        <f t="shared" si="102"/>
        <v/>
      </c>
      <c r="CE160" t="str">
        <f t="shared" si="122"/>
        <v>Bowles 5th edition</v>
      </c>
      <c r="CF160">
        <f t="shared" si="103"/>
        <v>230</v>
      </c>
      <c r="CG160" t="str">
        <f t="shared" si="123"/>
        <v/>
      </c>
      <c r="CH160" t="str">
        <f t="shared" si="104"/>
        <v/>
      </c>
      <c r="CI160" t="str">
        <f t="shared" si="124"/>
        <v/>
      </c>
      <c r="CJ160" t="str">
        <f t="shared" si="138"/>
        <v/>
      </c>
    </row>
    <row r="161" spans="2:88" x14ac:dyDescent="0.3">
      <c r="B161" t="str">
        <f t="shared" si="126"/>
        <v>36.831397-76.119388</v>
      </c>
      <c r="C161" t="s">
        <v>14</v>
      </c>
      <c r="D161">
        <v>36.831397000000003</v>
      </c>
      <c r="E161">
        <v>-76.119388000000001</v>
      </c>
      <c r="F161">
        <v>1</v>
      </c>
      <c r="G161" t="str">
        <f t="shared" si="127"/>
        <v>-87-8936.831397-76.119388</v>
      </c>
      <c r="H161">
        <f t="shared" si="128"/>
        <v>-87</v>
      </c>
      <c r="I161">
        <v>-89</v>
      </c>
      <c r="J161" t="s">
        <v>21</v>
      </c>
      <c r="L161" t="s">
        <v>17</v>
      </c>
      <c r="M161">
        <v>16</v>
      </c>
      <c r="N161">
        <v>31</v>
      </c>
      <c r="O161">
        <v>15</v>
      </c>
      <c r="P161">
        <v>25</v>
      </c>
      <c r="Q161" s="1">
        <f t="shared" si="129"/>
        <v>10</v>
      </c>
      <c r="R161">
        <v>35</v>
      </c>
      <c r="S161" t="str">
        <f t="shared" si="125"/>
        <v>Sand</v>
      </c>
      <c r="T161">
        <f t="shared" si="130"/>
        <v>2</v>
      </c>
      <c r="AA161">
        <v>80</v>
      </c>
      <c r="AB161" s="1">
        <f t="shared" si="131"/>
        <v>21</v>
      </c>
      <c r="AC161">
        <f t="shared" si="132"/>
        <v>9</v>
      </c>
      <c r="AD161">
        <f t="shared" si="133"/>
        <v>1.6</v>
      </c>
      <c r="AE161" t="str">
        <f t="shared" si="105"/>
        <v/>
      </c>
      <c r="AG161" s="21" t="str">
        <f t="shared" si="106"/>
        <v/>
      </c>
      <c r="AI161" s="6" t="str">
        <f t="shared" si="107"/>
        <v/>
      </c>
      <c r="AM161" s="7" t="str">
        <f t="shared" si="108"/>
        <v/>
      </c>
      <c r="AQ161" s="8" t="str">
        <f t="shared" si="109"/>
        <v/>
      </c>
      <c r="AW161" s="25" t="str">
        <f t="shared" si="110"/>
        <v/>
      </c>
      <c r="AZ161" s="12" t="str">
        <f t="shared" si="111"/>
        <v/>
      </c>
      <c r="BI161" s="17" t="str">
        <f t="shared" si="112"/>
        <v/>
      </c>
      <c r="BM161" t="str">
        <f t="shared" si="113"/>
        <v>SPT Relationship</v>
      </c>
      <c r="BN161">
        <f t="shared" si="98"/>
        <v>124</v>
      </c>
      <c r="BO161" t="str">
        <f t="shared" si="114"/>
        <v>Wolff, 1989</v>
      </c>
      <c r="BP161">
        <f t="shared" si="99"/>
        <v>29</v>
      </c>
      <c r="BQ161" t="str">
        <f t="shared" si="115"/>
        <v>GTENG-2476</v>
      </c>
      <c r="BR161">
        <f t="shared" si="134"/>
        <v>24</v>
      </c>
      <c r="BS161" t="str">
        <f t="shared" si="116"/>
        <v/>
      </c>
      <c r="BT161" t="str">
        <f t="shared" si="100"/>
        <v/>
      </c>
      <c r="BU161" t="str">
        <f t="shared" si="117"/>
        <v>Kulhawy and Mayne 1990</v>
      </c>
      <c r="BV161">
        <f t="shared" si="135"/>
        <v>0.13500000000000001</v>
      </c>
      <c r="BW161" t="str">
        <f t="shared" si="118"/>
        <v>Kulhawy and Mayne 1990</v>
      </c>
      <c r="BX161">
        <f t="shared" si="136"/>
        <v>2.7E-2</v>
      </c>
      <c r="BY161" t="str">
        <f t="shared" si="119"/>
        <v>Mesri 1990</v>
      </c>
      <c r="BZ161">
        <f t="shared" si="137"/>
        <v>4.1000000000000003E-3</v>
      </c>
      <c r="CA161" t="str">
        <f t="shared" si="120"/>
        <v>NAVFAC Vol. 7.1 Figure 4</v>
      </c>
      <c r="CB161">
        <f t="shared" si="101"/>
        <v>0.62850312499999994</v>
      </c>
      <c r="CC161" t="str">
        <f t="shared" si="121"/>
        <v>Stas and Kulhawy 1984</v>
      </c>
      <c r="CD161">
        <f t="shared" si="102"/>
        <v>68.840419794375876</v>
      </c>
      <c r="CE161" t="str">
        <f t="shared" si="122"/>
        <v>Bowles 5th edition</v>
      </c>
      <c r="CF161">
        <f t="shared" si="103"/>
        <v>230</v>
      </c>
      <c r="CG161" t="str">
        <f t="shared" si="123"/>
        <v>Relationship (Gs=2.67)</v>
      </c>
      <c r="CH161">
        <f t="shared" si="104"/>
        <v>0.83</v>
      </c>
      <c r="CI161" t="str">
        <f t="shared" si="124"/>
        <v/>
      </c>
      <c r="CJ161" t="str">
        <f t="shared" si="138"/>
        <v/>
      </c>
    </row>
    <row r="162" spans="2:88" x14ac:dyDescent="0.3">
      <c r="B162" t="str">
        <f t="shared" si="126"/>
        <v>36.831397-76.119388</v>
      </c>
      <c r="C162" t="s">
        <v>14</v>
      </c>
      <c r="D162">
        <v>36.831397000000003</v>
      </c>
      <c r="E162">
        <v>-76.119388000000001</v>
      </c>
      <c r="F162">
        <v>1</v>
      </c>
      <c r="G162" t="str">
        <f t="shared" si="127"/>
        <v>-92-9436.831397-76.119388</v>
      </c>
      <c r="H162">
        <f t="shared" si="128"/>
        <v>-92</v>
      </c>
      <c r="I162">
        <v>-94</v>
      </c>
      <c r="J162" t="s">
        <v>21</v>
      </c>
      <c r="L162" t="s">
        <v>17</v>
      </c>
      <c r="M162">
        <v>25</v>
      </c>
      <c r="Q162" s="1" t="str">
        <f t="shared" si="129"/>
        <v/>
      </c>
      <c r="S162" t="str">
        <f t="shared" si="125"/>
        <v>Sand</v>
      </c>
      <c r="T162">
        <f t="shared" si="130"/>
        <v>1</v>
      </c>
      <c r="AA162">
        <v>80</v>
      </c>
      <c r="AB162" s="1">
        <f t="shared" si="131"/>
        <v>33</v>
      </c>
      <c r="AC162">
        <f t="shared" si="132"/>
        <v>14</v>
      </c>
      <c r="AD162" t="str">
        <f t="shared" si="133"/>
        <v/>
      </c>
      <c r="AE162" t="str">
        <f t="shared" si="105"/>
        <v/>
      </c>
      <c r="AG162" s="21" t="str">
        <f t="shared" si="106"/>
        <v/>
      </c>
      <c r="AI162" s="6" t="str">
        <f t="shared" si="107"/>
        <v/>
      </c>
      <c r="AM162" s="7" t="str">
        <f t="shared" si="108"/>
        <v/>
      </c>
      <c r="AQ162" s="8" t="str">
        <f t="shared" si="109"/>
        <v/>
      </c>
      <c r="AW162" s="25" t="str">
        <f t="shared" si="110"/>
        <v/>
      </c>
      <c r="AZ162" s="12" t="str">
        <f t="shared" si="111"/>
        <v/>
      </c>
      <c r="BI162" s="17" t="str">
        <f t="shared" si="112"/>
        <v/>
      </c>
      <c r="BM162" t="str">
        <f t="shared" si="113"/>
        <v>SPT Relationship</v>
      </c>
      <c r="BN162">
        <f t="shared" si="98"/>
        <v>129</v>
      </c>
      <c r="BO162" t="str">
        <f t="shared" si="114"/>
        <v>Wolff, 1989</v>
      </c>
      <c r="BP162">
        <f t="shared" si="99"/>
        <v>31</v>
      </c>
      <c r="BQ162" t="str">
        <f t="shared" si="115"/>
        <v/>
      </c>
      <c r="BR162" t="str">
        <f t="shared" si="134"/>
        <v/>
      </c>
      <c r="BS162" t="str">
        <f t="shared" si="116"/>
        <v/>
      </c>
      <c r="BT162" t="str">
        <f t="shared" si="100"/>
        <v/>
      </c>
      <c r="BU162" t="str">
        <f t="shared" si="117"/>
        <v/>
      </c>
      <c r="BV162" t="str">
        <f t="shared" si="135"/>
        <v/>
      </c>
      <c r="BW162" t="str">
        <f t="shared" si="118"/>
        <v/>
      </c>
      <c r="BX162" t="str">
        <f t="shared" si="136"/>
        <v/>
      </c>
      <c r="BY162" t="str">
        <f t="shared" si="119"/>
        <v/>
      </c>
      <c r="BZ162" t="str">
        <f t="shared" si="137"/>
        <v/>
      </c>
      <c r="CA162" t="str">
        <f t="shared" si="120"/>
        <v/>
      </c>
      <c r="CB162" t="str">
        <f t="shared" si="101"/>
        <v/>
      </c>
      <c r="CC162" t="str">
        <f t="shared" si="121"/>
        <v/>
      </c>
      <c r="CD162" t="str">
        <f t="shared" si="102"/>
        <v/>
      </c>
      <c r="CE162" t="str">
        <f t="shared" si="122"/>
        <v>Bowles 5th edition</v>
      </c>
      <c r="CF162">
        <f t="shared" si="103"/>
        <v>307</v>
      </c>
      <c r="CG162" t="str">
        <f t="shared" si="123"/>
        <v/>
      </c>
      <c r="CH162" t="str">
        <f t="shared" si="104"/>
        <v/>
      </c>
      <c r="CI162" t="str">
        <f t="shared" si="124"/>
        <v/>
      </c>
      <c r="CJ162" t="str">
        <f t="shared" si="138"/>
        <v/>
      </c>
    </row>
    <row r="163" spans="2:88" x14ac:dyDescent="0.3">
      <c r="B163" t="str">
        <f t="shared" si="126"/>
        <v>36.831397-76.119388</v>
      </c>
      <c r="C163" t="s">
        <v>14</v>
      </c>
      <c r="D163">
        <v>36.831397000000003</v>
      </c>
      <c r="E163">
        <v>-76.119388000000001</v>
      </c>
      <c r="F163">
        <v>1</v>
      </c>
      <c r="G163" t="str">
        <f t="shared" si="127"/>
        <v>-97-9936.831397-76.119388</v>
      </c>
      <c r="H163">
        <f t="shared" si="128"/>
        <v>-97</v>
      </c>
      <c r="I163">
        <v>-99</v>
      </c>
      <c r="J163" t="s">
        <v>21</v>
      </c>
      <c r="L163" t="s">
        <v>17</v>
      </c>
      <c r="M163">
        <v>18</v>
      </c>
      <c r="Q163" s="1" t="str">
        <f t="shared" si="129"/>
        <v/>
      </c>
      <c r="S163" t="str">
        <f t="shared" si="125"/>
        <v>Sand</v>
      </c>
      <c r="T163">
        <f t="shared" si="130"/>
        <v>1</v>
      </c>
      <c r="AA163">
        <v>80</v>
      </c>
      <c r="AB163" s="1">
        <f t="shared" si="131"/>
        <v>24</v>
      </c>
      <c r="AC163">
        <f t="shared" si="132"/>
        <v>10</v>
      </c>
      <c r="AD163" t="str">
        <f t="shared" si="133"/>
        <v/>
      </c>
      <c r="AE163" t="str">
        <f t="shared" si="105"/>
        <v/>
      </c>
      <c r="AG163" s="21" t="str">
        <f t="shared" si="106"/>
        <v/>
      </c>
      <c r="AI163" s="6" t="str">
        <f t="shared" si="107"/>
        <v/>
      </c>
      <c r="AM163" s="7" t="str">
        <f t="shared" si="108"/>
        <v/>
      </c>
      <c r="AQ163" s="8" t="str">
        <f t="shared" si="109"/>
        <v/>
      </c>
      <c r="AW163" s="25" t="str">
        <f t="shared" si="110"/>
        <v/>
      </c>
      <c r="AZ163" s="12" t="str">
        <f t="shared" si="111"/>
        <v/>
      </c>
      <c r="BI163" s="17" t="str">
        <f t="shared" si="112"/>
        <v/>
      </c>
      <c r="BM163" t="str">
        <f t="shared" si="113"/>
        <v>SPT Relationship</v>
      </c>
      <c r="BN163">
        <f t="shared" si="98"/>
        <v>125</v>
      </c>
      <c r="BO163" t="str">
        <f t="shared" si="114"/>
        <v>Wolff, 1989</v>
      </c>
      <c r="BP163">
        <f t="shared" si="99"/>
        <v>30</v>
      </c>
      <c r="BQ163" t="str">
        <f t="shared" si="115"/>
        <v/>
      </c>
      <c r="BR163" t="str">
        <f t="shared" si="134"/>
        <v/>
      </c>
      <c r="BS163" t="str">
        <f t="shared" si="116"/>
        <v/>
      </c>
      <c r="BT163" t="str">
        <f t="shared" si="100"/>
        <v/>
      </c>
      <c r="BU163" t="str">
        <f t="shared" si="117"/>
        <v/>
      </c>
      <c r="BV163" t="str">
        <f t="shared" si="135"/>
        <v/>
      </c>
      <c r="BW163" t="str">
        <f t="shared" si="118"/>
        <v/>
      </c>
      <c r="BX163" t="str">
        <f t="shared" si="136"/>
        <v/>
      </c>
      <c r="BY163" t="str">
        <f t="shared" si="119"/>
        <v/>
      </c>
      <c r="BZ163" t="str">
        <f t="shared" si="137"/>
        <v/>
      </c>
      <c r="CA163" t="str">
        <f t="shared" si="120"/>
        <v/>
      </c>
      <c r="CB163" t="str">
        <f t="shared" si="101"/>
        <v/>
      </c>
      <c r="CC163" t="str">
        <f t="shared" si="121"/>
        <v/>
      </c>
      <c r="CD163" t="str">
        <f t="shared" si="102"/>
        <v/>
      </c>
      <c r="CE163" t="str">
        <f t="shared" si="122"/>
        <v>Bowles 5th edition</v>
      </c>
      <c r="CF163">
        <f t="shared" si="103"/>
        <v>250</v>
      </c>
      <c r="CG163" t="str">
        <f t="shared" si="123"/>
        <v/>
      </c>
      <c r="CH163" t="str">
        <f t="shared" si="104"/>
        <v/>
      </c>
      <c r="CI163" t="str">
        <f t="shared" si="124"/>
        <v/>
      </c>
      <c r="CJ163" t="str">
        <f t="shared" si="138"/>
        <v/>
      </c>
    </row>
    <row r="164" spans="2:88" x14ac:dyDescent="0.3">
      <c r="B164" t="str">
        <f t="shared" si="126"/>
        <v>36.831397-76.119388</v>
      </c>
      <c r="C164" t="s">
        <v>14</v>
      </c>
      <c r="D164">
        <v>36.831397000000003</v>
      </c>
      <c r="E164">
        <v>-76.119388000000001</v>
      </c>
      <c r="F164">
        <v>1</v>
      </c>
      <c r="G164" t="str">
        <f t="shared" si="127"/>
        <v>-102-10436.831397-76.119388</v>
      </c>
      <c r="H164">
        <f t="shared" si="128"/>
        <v>-102</v>
      </c>
      <c r="I164">
        <v>-104</v>
      </c>
      <c r="J164" t="s">
        <v>21</v>
      </c>
      <c r="L164" t="s">
        <v>17</v>
      </c>
      <c r="M164">
        <v>16</v>
      </c>
      <c r="Q164" s="1" t="str">
        <f t="shared" si="129"/>
        <v/>
      </c>
      <c r="S164" t="str">
        <f t="shared" si="125"/>
        <v>Sand</v>
      </c>
      <c r="T164">
        <f t="shared" si="130"/>
        <v>1</v>
      </c>
      <c r="AA164">
        <v>80</v>
      </c>
      <c r="AB164" s="1">
        <f t="shared" si="131"/>
        <v>21</v>
      </c>
      <c r="AC164">
        <f t="shared" si="132"/>
        <v>8</v>
      </c>
      <c r="AD164" t="str">
        <f t="shared" si="133"/>
        <v/>
      </c>
      <c r="AE164" t="str">
        <f t="shared" si="105"/>
        <v/>
      </c>
      <c r="AG164" s="21" t="str">
        <f t="shared" si="106"/>
        <v/>
      </c>
      <c r="AI164" s="6" t="str">
        <f t="shared" si="107"/>
        <v/>
      </c>
      <c r="AM164" s="7" t="str">
        <f t="shared" si="108"/>
        <v/>
      </c>
      <c r="AQ164" s="8" t="str">
        <f t="shared" si="109"/>
        <v/>
      </c>
      <c r="AW164" s="25" t="str">
        <f t="shared" si="110"/>
        <v/>
      </c>
      <c r="AZ164" s="12" t="str">
        <f t="shared" si="111"/>
        <v/>
      </c>
      <c r="BI164" s="17" t="str">
        <f t="shared" si="112"/>
        <v/>
      </c>
      <c r="BM164" t="str">
        <f t="shared" si="113"/>
        <v>SPT Relationship</v>
      </c>
      <c r="BN164">
        <f t="shared" si="98"/>
        <v>124</v>
      </c>
      <c r="BO164" t="str">
        <f t="shared" si="114"/>
        <v>Wolff, 1989</v>
      </c>
      <c r="BP164">
        <f t="shared" si="99"/>
        <v>29</v>
      </c>
      <c r="BQ164" t="str">
        <f t="shared" si="115"/>
        <v/>
      </c>
      <c r="BR164" t="str">
        <f t="shared" si="134"/>
        <v/>
      </c>
      <c r="BS164" t="str">
        <f t="shared" si="116"/>
        <v/>
      </c>
      <c r="BT164" t="str">
        <f t="shared" si="100"/>
        <v/>
      </c>
      <c r="BU164" t="str">
        <f t="shared" si="117"/>
        <v/>
      </c>
      <c r="BV164" t="str">
        <f t="shared" si="135"/>
        <v/>
      </c>
      <c r="BW164" t="str">
        <f t="shared" si="118"/>
        <v/>
      </c>
      <c r="BX164" t="str">
        <f t="shared" si="136"/>
        <v/>
      </c>
      <c r="BY164" t="str">
        <f t="shared" si="119"/>
        <v/>
      </c>
      <c r="BZ164" t="str">
        <f t="shared" si="137"/>
        <v/>
      </c>
      <c r="CA164" t="str">
        <f t="shared" si="120"/>
        <v/>
      </c>
      <c r="CB164" t="str">
        <f t="shared" si="101"/>
        <v/>
      </c>
      <c r="CC164" t="str">
        <f t="shared" si="121"/>
        <v/>
      </c>
      <c r="CD164" t="str">
        <f t="shared" si="102"/>
        <v/>
      </c>
      <c r="CE164" t="str">
        <f t="shared" si="122"/>
        <v>Bowles 5th edition</v>
      </c>
      <c r="CF164">
        <f t="shared" si="103"/>
        <v>230</v>
      </c>
      <c r="CG164" t="str">
        <f t="shared" si="123"/>
        <v/>
      </c>
      <c r="CH164" t="str">
        <f t="shared" si="104"/>
        <v/>
      </c>
      <c r="CI164" t="str">
        <f t="shared" si="124"/>
        <v/>
      </c>
      <c r="CJ164" t="str">
        <f t="shared" si="138"/>
        <v/>
      </c>
    </row>
    <row r="165" spans="2:88" x14ac:dyDescent="0.3">
      <c r="B165" t="str">
        <f t="shared" si="126"/>
        <v>36.831397-76.119388</v>
      </c>
      <c r="C165" t="s">
        <v>14</v>
      </c>
      <c r="D165">
        <v>36.831397000000003</v>
      </c>
      <c r="E165">
        <v>-76.119388000000001</v>
      </c>
      <c r="F165">
        <v>1</v>
      </c>
      <c r="G165" t="str">
        <f t="shared" si="127"/>
        <v>-107-10936.831397-76.119388</v>
      </c>
      <c r="H165">
        <f t="shared" si="128"/>
        <v>-107</v>
      </c>
      <c r="I165">
        <v>-109</v>
      </c>
      <c r="J165" t="s">
        <v>21</v>
      </c>
      <c r="L165" t="s">
        <v>16</v>
      </c>
      <c r="M165">
        <v>31</v>
      </c>
      <c r="Q165" s="1" t="str">
        <f t="shared" si="129"/>
        <v/>
      </c>
      <c r="S165" t="str">
        <f t="shared" si="125"/>
        <v>Sand</v>
      </c>
      <c r="T165">
        <f t="shared" si="130"/>
        <v>1</v>
      </c>
      <c r="AA165">
        <v>80</v>
      </c>
      <c r="AB165" s="1">
        <f t="shared" si="131"/>
        <v>41</v>
      </c>
      <c r="AC165">
        <f t="shared" si="132"/>
        <v>17</v>
      </c>
      <c r="AD165" t="str">
        <f t="shared" si="133"/>
        <v/>
      </c>
      <c r="AE165" t="str">
        <f t="shared" si="105"/>
        <v/>
      </c>
      <c r="AG165" s="21" t="str">
        <f t="shared" si="106"/>
        <v/>
      </c>
      <c r="AI165" s="6" t="str">
        <f t="shared" si="107"/>
        <v/>
      </c>
      <c r="AM165" s="7" t="str">
        <f t="shared" si="108"/>
        <v/>
      </c>
      <c r="AQ165" s="8" t="str">
        <f t="shared" si="109"/>
        <v/>
      </c>
      <c r="AW165" s="25" t="str">
        <f t="shared" si="110"/>
        <v/>
      </c>
      <c r="AZ165" s="12" t="str">
        <f t="shared" si="111"/>
        <v/>
      </c>
      <c r="BI165" s="17" t="str">
        <f t="shared" si="112"/>
        <v/>
      </c>
      <c r="BM165" t="str">
        <f t="shared" si="113"/>
        <v>SPT Relationship</v>
      </c>
      <c r="BN165">
        <f t="shared" si="98"/>
        <v>132</v>
      </c>
      <c r="BO165" t="str">
        <f t="shared" si="114"/>
        <v>Wolff, 1989</v>
      </c>
      <c r="BP165">
        <f t="shared" si="99"/>
        <v>32</v>
      </c>
      <c r="BQ165" t="str">
        <f t="shared" si="115"/>
        <v/>
      </c>
      <c r="BR165" t="str">
        <f t="shared" si="134"/>
        <v/>
      </c>
      <c r="BS165" t="str">
        <f t="shared" si="116"/>
        <v/>
      </c>
      <c r="BT165" t="str">
        <f t="shared" si="100"/>
        <v/>
      </c>
      <c r="BU165" t="str">
        <f t="shared" si="117"/>
        <v/>
      </c>
      <c r="BV165" t="str">
        <f t="shared" si="135"/>
        <v/>
      </c>
      <c r="BW165" t="str">
        <f t="shared" si="118"/>
        <v/>
      </c>
      <c r="BX165" t="str">
        <f t="shared" si="136"/>
        <v/>
      </c>
      <c r="BY165" t="str">
        <f t="shared" si="119"/>
        <v/>
      </c>
      <c r="BZ165" t="str">
        <f t="shared" si="137"/>
        <v/>
      </c>
      <c r="CA165" t="str">
        <f t="shared" si="120"/>
        <v/>
      </c>
      <c r="CB165" t="str">
        <f t="shared" si="101"/>
        <v/>
      </c>
      <c r="CC165" t="str">
        <f t="shared" si="121"/>
        <v/>
      </c>
      <c r="CD165" t="str">
        <f t="shared" si="102"/>
        <v/>
      </c>
      <c r="CE165" t="str">
        <f t="shared" si="122"/>
        <v>Bowles 5th edition</v>
      </c>
      <c r="CF165">
        <f t="shared" si="103"/>
        <v>358</v>
      </c>
      <c r="CG165" t="str">
        <f t="shared" si="123"/>
        <v/>
      </c>
      <c r="CH165" t="str">
        <f t="shared" si="104"/>
        <v/>
      </c>
      <c r="CI165" t="str">
        <f t="shared" si="124"/>
        <v/>
      </c>
      <c r="CJ165" t="str">
        <f t="shared" si="138"/>
        <v/>
      </c>
    </row>
    <row r="166" spans="2:88" x14ac:dyDescent="0.3">
      <c r="B166" t="str">
        <f t="shared" si="126"/>
        <v>36.831397-76.119388</v>
      </c>
      <c r="C166" t="s">
        <v>14</v>
      </c>
      <c r="D166">
        <v>36.831397000000003</v>
      </c>
      <c r="E166">
        <v>-76.119388000000001</v>
      </c>
      <c r="F166">
        <v>1</v>
      </c>
      <c r="G166" t="str">
        <f t="shared" si="127"/>
        <v>-112-11436.831397-76.119388</v>
      </c>
      <c r="H166">
        <f t="shared" si="128"/>
        <v>-112</v>
      </c>
      <c r="I166">
        <v>-114</v>
      </c>
      <c r="J166" t="s">
        <v>21</v>
      </c>
      <c r="L166" t="s">
        <v>16</v>
      </c>
      <c r="M166">
        <v>23</v>
      </c>
      <c r="Q166" s="1" t="str">
        <f t="shared" si="129"/>
        <v/>
      </c>
      <c r="S166" t="str">
        <f t="shared" si="125"/>
        <v>Sand</v>
      </c>
      <c r="T166">
        <f t="shared" si="130"/>
        <v>1</v>
      </c>
      <c r="AA166">
        <v>80</v>
      </c>
      <c r="AB166" s="1">
        <f t="shared" si="131"/>
        <v>31</v>
      </c>
      <c r="AC166">
        <f t="shared" si="132"/>
        <v>12</v>
      </c>
      <c r="AD166" t="str">
        <f t="shared" si="133"/>
        <v/>
      </c>
      <c r="AE166" t="str">
        <f t="shared" si="105"/>
        <v/>
      </c>
      <c r="AG166" s="21" t="str">
        <f t="shared" si="106"/>
        <v/>
      </c>
      <c r="AI166" s="6" t="str">
        <f t="shared" si="107"/>
        <v/>
      </c>
      <c r="AM166" s="7" t="str">
        <f t="shared" si="108"/>
        <v/>
      </c>
      <c r="AQ166" s="8" t="str">
        <f t="shared" si="109"/>
        <v/>
      </c>
      <c r="AW166" s="25" t="str">
        <f t="shared" si="110"/>
        <v/>
      </c>
      <c r="AZ166" s="12" t="str">
        <f t="shared" si="111"/>
        <v/>
      </c>
      <c r="BI166" s="17" t="str">
        <f t="shared" si="112"/>
        <v/>
      </c>
      <c r="BM166" t="str">
        <f t="shared" si="113"/>
        <v>SPT Relationship</v>
      </c>
      <c r="BN166">
        <f t="shared" si="98"/>
        <v>128</v>
      </c>
      <c r="BO166" t="str">
        <f t="shared" si="114"/>
        <v>Wolff, 1989</v>
      </c>
      <c r="BP166">
        <f t="shared" si="99"/>
        <v>30</v>
      </c>
      <c r="BQ166" t="str">
        <f t="shared" si="115"/>
        <v/>
      </c>
      <c r="BR166" t="str">
        <f t="shared" si="134"/>
        <v/>
      </c>
      <c r="BS166" t="str">
        <f t="shared" si="116"/>
        <v/>
      </c>
      <c r="BT166" t="str">
        <f t="shared" si="100"/>
        <v/>
      </c>
      <c r="BU166" t="str">
        <f t="shared" si="117"/>
        <v/>
      </c>
      <c r="BV166" t="str">
        <f t="shared" si="135"/>
        <v/>
      </c>
      <c r="BW166" t="str">
        <f t="shared" si="118"/>
        <v/>
      </c>
      <c r="BX166" t="str">
        <f t="shared" si="136"/>
        <v/>
      </c>
      <c r="BY166" t="str">
        <f t="shared" si="119"/>
        <v/>
      </c>
      <c r="BZ166" t="str">
        <f t="shared" si="137"/>
        <v/>
      </c>
      <c r="CA166" t="str">
        <f t="shared" si="120"/>
        <v/>
      </c>
      <c r="CB166" t="str">
        <f t="shared" si="101"/>
        <v/>
      </c>
      <c r="CC166" t="str">
        <f t="shared" si="121"/>
        <v/>
      </c>
      <c r="CD166" t="str">
        <f t="shared" si="102"/>
        <v/>
      </c>
      <c r="CE166" t="str">
        <f t="shared" si="122"/>
        <v>Bowles 5th edition</v>
      </c>
      <c r="CF166">
        <f t="shared" si="103"/>
        <v>294</v>
      </c>
      <c r="CG166" t="str">
        <f t="shared" si="123"/>
        <v/>
      </c>
      <c r="CH166" t="str">
        <f t="shared" si="104"/>
        <v/>
      </c>
      <c r="CI166" t="str">
        <f t="shared" si="124"/>
        <v/>
      </c>
      <c r="CJ166" t="str">
        <f t="shared" si="138"/>
        <v/>
      </c>
    </row>
    <row r="167" spans="2:88" x14ac:dyDescent="0.3">
      <c r="B167" t="str">
        <f t="shared" si="126"/>
        <v>36.831397-76.119388</v>
      </c>
      <c r="C167" t="s">
        <v>14</v>
      </c>
      <c r="D167">
        <v>36.831397000000003</v>
      </c>
      <c r="E167">
        <v>-76.119388000000001</v>
      </c>
      <c r="F167">
        <v>1</v>
      </c>
      <c r="G167" t="str">
        <f t="shared" si="127"/>
        <v>-117-11936.831397-76.119388</v>
      </c>
      <c r="H167">
        <f t="shared" si="128"/>
        <v>-117</v>
      </c>
      <c r="I167">
        <v>-119</v>
      </c>
      <c r="J167" t="s">
        <v>21</v>
      </c>
      <c r="L167" t="s">
        <v>16</v>
      </c>
      <c r="M167">
        <v>18</v>
      </c>
      <c r="Q167" s="1" t="str">
        <f t="shared" si="129"/>
        <v/>
      </c>
      <c r="S167" t="str">
        <f t="shared" si="125"/>
        <v>Sand</v>
      </c>
      <c r="T167">
        <f t="shared" si="130"/>
        <v>1</v>
      </c>
      <c r="AA167">
        <v>80</v>
      </c>
      <c r="AB167" s="1">
        <f t="shared" si="131"/>
        <v>24</v>
      </c>
      <c r="AC167">
        <f t="shared" si="132"/>
        <v>9</v>
      </c>
      <c r="AD167" t="str">
        <f t="shared" si="133"/>
        <v/>
      </c>
      <c r="AE167" t="str">
        <f t="shared" si="105"/>
        <v/>
      </c>
      <c r="AG167" s="21" t="str">
        <f t="shared" si="106"/>
        <v/>
      </c>
      <c r="AI167" s="6" t="str">
        <f t="shared" si="107"/>
        <v/>
      </c>
      <c r="AM167" s="7" t="str">
        <f t="shared" si="108"/>
        <v/>
      </c>
      <c r="AQ167" s="8" t="str">
        <f t="shared" si="109"/>
        <v/>
      </c>
      <c r="AW167" s="25" t="str">
        <f t="shared" si="110"/>
        <v/>
      </c>
      <c r="AZ167" s="12" t="str">
        <f t="shared" si="111"/>
        <v/>
      </c>
      <c r="BI167" s="17" t="str">
        <f t="shared" si="112"/>
        <v/>
      </c>
      <c r="BM167" t="str">
        <f t="shared" si="113"/>
        <v>SPT Relationship</v>
      </c>
      <c r="BN167">
        <f t="shared" si="98"/>
        <v>125</v>
      </c>
      <c r="BO167" t="str">
        <f t="shared" si="114"/>
        <v>Wolff, 1989</v>
      </c>
      <c r="BP167">
        <f t="shared" si="99"/>
        <v>29</v>
      </c>
      <c r="BQ167" t="str">
        <f t="shared" si="115"/>
        <v/>
      </c>
      <c r="BR167" t="str">
        <f t="shared" si="134"/>
        <v/>
      </c>
      <c r="BS167" t="str">
        <f t="shared" si="116"/>
        <v/>
      </c>
      <c r="BT167" t="str">
        <f t="shared" si="100"/>
        <v/>
      </c>
      <c r="BU167" t="str">
        <f t="shared" si="117"/>
        <v/>
      </c>
      <c r="BV167" t="str">
        <f t="shared" si="135"/>
        <v/>
      </c>
      <c r="BW167" t="str">
        <f t="shared" si="118"/>
        <v/>
      </c>
      <c r="BX167" t="str">
        <f t="shared" si="136"/>
        <v/>
      </c>
      <c r="BY167" t="str">
        <f t="shared" si="119"/>
        <v/>
      </c>
      <c r="BZ167" t="str">
        <f t="shared" si="137"/>
        <v/>
      </c>
      <c r="CA167" t="str">
        <f t="shared" si="120"/>
        <v/>
      </c>
      <c r="CB167" t="str">
        <f t="shared" si="101"/>
        <v/>
      </c>
      <c r="CC167" t="str">
        <f t="shared" si="121"/>
        <v/>
      </c>
      <c r="CD167" t="str">
        <f t="shared" si="102"/>
        <v/>
      </c>
      <c r="CE167" t="str">
        <f t="shared" si="122"/>
        <v>Bowles 5th edition</v>
      </c>
      <c r="CF167">
        <f t="shared" si="103"/>
        <v>250</v>
      </c>
      <c r="CG167" t="str">
        <f t="shared" si="123"/>
        <v/>
      </c>
      <c r="CH167" t="str">
        <f t="shared" si="104"/>
        <v/>
      </c>
      <c r="CI167" t="str">
        <f t="shared" si="124"/>
        <v/>
      </c>
      <c r="CJ167" t="str">
        <f t="shared" si="138"/>
        <v/>
      </c>
    </row>
    <row r="168" spans="2:88" x14ac:dyDescent="0.3">
      <c r="B168" t="str">
        <f t="shared" si="126"/>
        <v>36.831397-76.119388</v>
      </c>
      <c r="C168" t="s">
        <v>14</v>
      </c>
      <c r="D168">
        <v>36.831397000000003</v>
      </c>
      <c r="E168">
        <v>-76.119388000000001</v>
      </c>
      <c r="F168">
        <v>1</v>
      </c>
      <c r="G168" t="str">
        <f t="shared" si="127"/>
        <v>-122-12436.831397-76.119388</v>
      </c>
      <c r="H168">
        <f t="shared" si="128"/>
        <v>-122</v>
      </c>
      <c r="I168">
        <v>-124</v>
      </c>
      <c r="J168" t="s">
        <v>21</v>
      </c>
      <c r="L168" t="s">
        <v>16</v>
      </c>
      <c r="M168">
        <v>33</v>
      </c>
      <c r="Q168" s="1" t="str">
        <f t="shared" si="129"/>
        <v/>
      </c>
      <c r="S168" t="str">
        <f t="shared" ref="S168:S231" si="139">IF(OR(L168="CL",L168="CH",L168="CL_ML"),"Clay",IF(OR(L168="SM",L168="SC",L168="SP",L168="SP-SM",L168="SP-SC",L168="SC-SM",L168="SW",L168="SW-SM"),"Sand",IF(OR(L168="GP", L168="GM",L168="GC", L168="GP-GM",L168="GW"),"Gravel",IF(OR(L168="ML",L168="MH"),"Silt",IF(OR(L168="OL",L168="OH",L168="PT"),"Organic")))))</f>
        <v>Sand</v>
      </c>
      <c r="T168">
        <f t="shared" si="130"/>
        <v>1</v>
      </c>
      <c r="AA168">
        <v>80</v>
      </c>
      <c r="AB168" s="1">
        <f t="shared" si="131"/>
        <v>44</v>
      </c>
      <c r="AC168">
        <f t="shared" si="132"/>
        <v>17</v>
      </c>
      <c r="AD168" t="str">
        <f t="shared" si="133"/>
        <v/>
      </c>
      <c r="AE168" t="str">
        <f t="shared" si="105"/>
        <v/>
      </c>
      <c r="AG168" s="21" t="str">
        <f t="shared" si="106"/>
        <v/>
      </c>
      <c r="AI168" s="6" t="str">
        <f t="shared" si="107"/>
        <v/>
      </c>
      <c r="AM168" s="7" t="str">
        <f t="shared" si="108"/>
        <v/>
      </c>
      <c r="AQ168" s="8" t="str">
        <f t="shared" si="109"/>
        <v/>
      </c>
      <c r="AW168" s="25" t="str">
        <f t="shared" si="110"/>
        <v/>
      </c>
      <c r="AZ168" s="12" t="str">
        <f t="shared" si="111"/>
        <v/>
      </c>
      <c r="BI168" s="17" t="str">
        <f t="shared" si="112"/>
        <v/>
      </c>
      <c r="BM168" t="str">
        <f t="shared" si="113"/>
        <v>SPT Relationship</v>
      </c>
      <c r="BN168">
        <f t="shared" si="98"/>
        <v>132</v>
      </c>
      <c r="BO168" t="str">
        <f t="shared" si="114"/>
        <v>Wolff, 1989</v>
      </c>
      <c r="BP168">
        <f t="shared" si="99"/>
        <v>32</v>
      </c>
      <c r="BQ168" t="str">
        <f t="shared" si="115"/>
        <v/>
      </c>
      <c r="BR168" t="str">
        <f t="shared" si="134"/>
        <v/>
      </c>
      <c r="BS168" t="str">
        <f t="shared" si="116"/>
        <v/>
      </c>
      <c r="BT168" t="str">
        <f t="shared" si="100"/>
        <v/>
      </c>
      <c r="BU168" t="str">
        <f t="shared" si="117"/>
        <v/>
      </c>
      <c r="BV168" t="str">
        <f t="shared" si="135"/>
        <v/>
      </c>
      <c r="BW168" t="str">
        <f t="shared" si="118"/>
        <v/>
      </c>
      <c r="BX168" t="str">
        <f t="shared" si="136"/>
        <v/>
      </c>
      <c r="BY168" t="str">
        <f t="shared" si="119"/>
        <v/>
      </c>
      <c r="BZ168" t="str">
        <f t="shared" si="137"/>
        <v/>
      </c>
      <c r="CA168" t="str">
        <f t="shared" si="120"/>
        <v/>
      </c>
      <c r="CB168" t="str">
        <f t="shared" si="101"/>
        <v/>
      </c>
      <c r="CC168" t="str">
        <f t="shared" si="121"/>
        <v/>
      </c>
      <c r="CD168" t="str">
        <f t="shared" si="102"/>
        <v/>
      </c>
      <c r="CE168" t="str">
        <f t="shared" si="122"/>
        <v>Bowles 5th edition</v>
      </c>
      <c r="CF168">
        <f t="shared" si="103"/>
        <v>378</v>
      </c>
      <c r="CG168" t="str">
        <f t="shared" si="123"/>
        <v/>
      </c>
      <c r="CH168" t="str">
        <f t="shared" si="104"/>
        <v/>
      </c>
      <c r="CI168" t="str">
        <f t="shared" si="124"/>
        <v/>
      </c>
      <c r="CJ168" t="str">
        <f t="shared" si="138"/>
        <v/>
      </c>
    </row>
    <row r="169" spans="2:88" x14ac:dyDescent="0.3">
      <c r="B169" t="str">
        <f t="shared" si="126"/>
        <v>36.831397-76.119388</v>
      </c>
      <c r="C169" t="s">
        <v>14</v>
      </c>
      <c r="D169">
        <v>36.831397000000003</v>
      </c>
      <c r="E169">
        <v>-76.119388000000001</v>
      </c>
      <c r="F169">
        <v>1</v>
      </c>
      <c r="G169" t="str">
        <f t="shared" si="127"/>
        <v>-127-12936.831397-76.119388</v>
      </c>
      <c r="H169">
        <f t="shared" si="128"/>
        <v>-127</v>
      </c>
      <c r="I169">
        <v>-129</v>
      </c>
      <c r="J169" t="s">
        <v>21</v>
      </c>
      <c r="L169" t="s">
        <v>16</v>
      </c>
      <c r="M169">
        <v>31</v>
      </c>
      <c r="Q169" s="1" t="str">
        <f t="shared" si="129"/>
        <v/>
      </c>
      <c r="S169" t="str">
        <f t="shared" si="139"/>
        <v>Sand</v>
      </c>
      <c r="T169">
        <f t="shared" si="130"/>
        <v>1</v>
      </c>
      <c r="AA169">
        <v>80</v>
      </c>
      <c r="AB169" s="1">
        <f t="shared" si="131"/>
        <v>41</v>
      </c>
      <c r="AC169">
        <f t="shared" si="132"/>
        <v>15</v>
      </c>
      <c r="AD169" t="str">
        <f t="shared" si="133"/>
        <v/>
      </c>
      <c r="AE169" t="str">
        <f t="shared" si="105"/>
        <v/>
      </c>
      <c r="AG169" s="21" t="str">
        <f t="shared" si="106"/>
        <v/>
      </c>
      <c r="AI169" s="6" t="str">
        <f t="shared" si="107"/>
        <v/>
      </c>
      <c r="AM169" s="7" t="str">
        <f t="shared" si="108"/>
        <v/>
      </c>
      <c r="AQ169" s="8" t="str">
        <f t="shared" si="109"/>
        <v/>
      </c>
      <c r="AW169" s="25" t="str">
        <f t="shared" si="110"/>
        <v/>
      </c>
      <c r="AZ169" s="12" t="str">
        <f t="shared" si="111"/>
        <v/>
      </c>
      <c r="BI169" s="17" t="str">
        <f t="shared" si="112"/>
        <v/>
      </c>
      <c r="BM169" t="str">
        <f t="shared" si="113"/>
        <v>SPT Relationship</v>
      </c>
      <c r="BN169">
        <f t="shared" si="98"/>
        <v>132</v>
      </c>
      <c r="BO169" t="str">
        <f t="shared" si="114"/>
        <v>Wolff, 1989</v>
      </c>
      <c r="BP169">
        <f t="shared" si="99"/>
        <v>31</v>
      </c>
      <c r="BQ169" t="str">
        <f t="shared" si="115"/>
        <v/>
      </c>
      <c r="BR169" t="str">
        <f t="shared" si="134"/>
        <v/>
      </c>
      <c r="BS169" t="str">
        <f t="shared" si="116"/>
        <v/>
      </c>
      <c r="BT169" t="str">
        <f t="shared" si="100"/>
        <v/>
      </c>
      <c r="BU169" t="str">
        <f t="shared" si="117"/>
        <v/>
      </c>
      <c r="BV169" t="str">
        <f>IF(Q169="","",ROUND(Q169/74,3))</f>
        <v/>
      </c>
      <c r="BW169" t="str">
        <f t="shared" si="118"/>
        <v/>
      </c>
      <c r="BX169" t="str">
        <f t="shared" si="136"/>
        <v/>
      </c>
      <c r="BY169" t="str">
        <f t="shared" si="119"/>
        <v/>
      </c>
      <c r="BZ169" t="str">
        <f t="shared" si="137"/>
        <v/>
      </c>
      <c r="CA169" t="str">
        <f t="shared" si="120"/>
        <v/>
      </c>
      <c r="CB169" t="str">
        <f t="shared" si="101"/>
        <v/>
      </c>
      <c r="CC169" t="str">
        <f t="shared" si="121"/>
        <v/>
      </c>
      <c r="CD169" t="str">
        <f t="shared" si="102"/>
        <v/>
      </c>
      <c r="CE169" t="str">
        <f t="shared" si="122"/>
        <v>Bowles 5th edition</v>
      </c>
      <c r="CF169">
        <f t="shared" si="103"/>
        <v>358</v>
      </c>
      <c r="CG169" t="str">
        <f t="shared" si="123"/>
        <v/>
      </c>
      <c r="CH169" t="str">
        <f t="shared" si="104"/>
        <v/>
      </c>
      <c r="CI169" t="str">
        <f t="shared" si="124"/>
        <v/>
      </c>
      <c r="CJ169" t="str">
        <f t="shared" si="138"/>
        <v/>
      </c>
    </row>
    <row r="170" spans="2:88" x14ac:dyDescent="0.3">
      <c r="B170" t="str">
        <f t="shared" si="126"/>
        <v>36.831397-76.119388</v>
      </c>
      <c r="C170" t="s">
        <v>14</v>
      </c>
      <c r="D170">
        <v>36.831397000000003</v>
      </c>
      <c r="E170">
        <v>-76.119388000000001</v>
      </c>
      <c r="F170">
        <v>1</v>
      </c>
      <c r="G170" t="str">
        <f t="shared" si="127"/>
        <v>-132-13436.831397-76.119388</v>
      </c>
      <c r="H170">
        <f t="shared" si="128"/>
        <v>-132</v>
      </c>
      <c r="I170">
        <v>-134</v>
      </c>
      <c r="J170" t="s">
        <v>21</v>
      </c>
      <c r="L170" t="s">
        <v>16</v>
      </c>
      <c r="M170">
        <v>20</v>
      </c>
      <c r="Q170" s="1" t="str">
        <f t="shared" si="129"/>
        <v/>
      </c>
      <c r="S170" t="str">
        <f t="shared" si="139"/>
        <v>Sand</v>
      </c>
      <c r="T170">
        <f t="shared" si="130"/>
        <v>1</v>
      </c>
      <c r="AA170">
        <v>80</v>
      </c>
      <c r="AB170" s="1">
        <f t="shared" si="131"/>
        <v>27</v>
      </c>
      <c r="AC170">
        <f t="shared" si="132"/>
        <v>10</v>
      </c>
      <c r="AD170" t="str">
        <f t="shared" si="133"/>
        <v/>
      </c>
      <c r="AE170" t="str">
        <f t="shared" si="105"/>
        <v/>
      </c>
      <c r="AG170" s="21" t="str">
        <f t="shared" si="106"/>
        <v/>
      </c>
      <c r="AI170" s="6" t="str">
        <f t="shared" si="107"/>
        <v/>
      </c>
      <c r="AM170" s="7" t="str">
        <f t="shared" si="108"/>
        <v/>
      </c>
      <c r="AQ170" s="8" t="str">
        <f t="shared" si="109"/>
        <v/>
      </c>
      <c r="AW170" s="25" t="str">
        <f t="shared" si="110"/>
        <v/>
      </c>
      <c r="AZ170" s="12" t="str">
        <f t="shared" si="111"/>
        <v/>
      </c>
      <c r="BI170" s="17" t="str">
        <f t="shared" si="112"/>
        <v/>
      </c>
      <c r="BM170" t="str">
        <f t="shared" si="113"/>
        <v>SPT Relationship</v>
      </c>
      <c r="BN170">
        <f t="shared" si="98"/>
        <v>126</v>
      </c>
      <c r="BO170" t="str">
        <f t="shared" si="114"/>
        <v>Wolff, 1989</v>
      </c>
      <c r="BP170">
        <f t="shared" si="99"/>
        <v>30</v>
      </c>
      <c r="BQ170" t="str">
        <f t="shared" si="115"/>
        <v/>
      </c>
      <c r="BR170" t="str">
        <f t="shared" si="134"/>
        <v/>
      </c>
      <c r="BS170" t="str">
        <f t="shared" si="116"/>
        <v/>
      </c>
      <c r="BT170" t="str">
        <f t="shared" si="100"/>
        <v/>
      </c>
      <c r="BU170" t="str">
        <f t="shared" si="117"/>
        <v/>
      </c>
      <c r="BV170" t="str">
        <f t="shared" si="135"/>
        <v/>
      </c>
      <c r="BW170" t="str">
        <f t="shared" si="118"/>
        <v/>
      </c>
      <c r="BX170" t="str">
        <f t="shared" si="136"/>
        <v/>
      </c>
      <c r="BY170" t="str">
        <f t="shared" si="119"/>
        <v/>
      </c>
      <c r="BZ170" t="str">
        <f t="shared" si="137"/>
        <v/>
      </c>
      <c r="CA170" t="str">
        <f t="shared" si="120"/>
        <v/>
      </c>
      <c r="CB170" t="str">
        <f t="shared" si="101"/>
        <v/>
      </c>
      <c r="CC170" t="str">
        <f t="shared" si="121"/>
        <v/>
      </c>
      <c r="CD170" t="str">
        <f t="shared" si="102"/>
        <v/>
      </c>
      <c r="CE170" t="str">
        <f t="shared" si="122"/>
        <v>Bowles 5th edition</v>
      </c>
      <c r="CF170">
        <f t="shared" si="103"/>
        <v>269</v>
      </c>
      <c r="CG170" t="str">
        <f t="shared" si="123"/>
        <v/>
      </c>
      <c r="CH170" t="str">
        <f t="shared" si="104"/>
        <v/>
      </c>
      <c r="CI170" t="str">
        <f t="shared" si="124"/>
        <v/>
      </c>
      <c r="CJ170" t="str">
        <f t="shared" si="138"/>
        <v/>
      </c>
    </row>
    <row r="171" spans="2:88" x14ac:dyDescent="0.3">
      <c r="B171" t="str">
        <f t="shared" si="126"/>
        <v>36.831397-76.119388</v>
      </c>
      <c r="C171" t="s">
        <v>14</v>
      </c>
      <c r="D171">
        <v>36.831397000000003</v>
      </c>
      <c r="E171">
        <v>-76.119388000000001</v>
      </c>
      <c r="F171">
        <v>1</v>
      </c>
      <c r="G171" t="str">
        <f t="shared" si="127"/>
        <v>-137-13936.831397-76.119388</v>
      </c>
      <c r="H171">
        <f t="shared" si="128"/>
        <v>-137</v>
      </c>
      <c r="I171">
        <v>-139</v>
      </c>
      <c r="J171" t="s">
        <v>21</v>
      </c>
      <c r="L171" t="s">
        <v>16</v>
      </c>
      <c r="M171">
        <v>34</v>
      </c>
      <c r="Q171" s="1" t="str">
        <f t="shared" si="129"/>
        <v/>
      </c>
      <c r="S171" t="str">
        <f t="shared" si="139"/>
        <v>Sand</v>
      </c>
      <c r="T171">
        <f t="shared" si="130"/>
        <v>1</v>
      </c>
      <c r="AA171">
        <v>80</v>
      </c>
      <c r="AB171" s="1">
        <f t="shared" si="131"/>
        <v>45</v>
      </c>
      <c r="AC171">
        <f t="shared" si="132"/>
        <v>16</v>
      </c>
      <c r="AD171" t="str">
        <f t="shared" si="133"/>
        <v/>
      </c>
      <c r="AE171" t="str">
        <f t="shared" si="105"/>
        <v/>
      </c>
      <c r="AG171" s="21" t="str">
        <f t="shared" si="106"/>
        <v/>
      </c>
      <c r="AI171" s="6" t="str">
        <f t="shared" si="107"/>
        <v/>
      </c>
      <c r="AM171" s="7" t="str">
        <f t="shared" si="108"/>
        <v/>
      </c>
      <c r="AQ171" s="8" t="str">
        <f t="shared" si="109"/>
        <v/>
      </c>
      <c r="AW171" s="25" t="str">
        <f t="shared" si="110"/>
        <v/>
      </c>
      <c r="AZ171" s="12" t="str">
        <f t="shared" si="111"/>
        <v/>
      </c>
      <c r="BI171" s="17" t="str">
        <f t="shared" si="112"/>
        <v/>
      </c>
      <c r="BM171" t="str">
        <f t="shared" si="113"/>
        <v>SPT Relationship</v>
      </c>
      <c r="BN171">
        <f t="shared" si="98"/>
        <v>133</v>
      </c>
      <c r="BO171" t="str">
        <f t="shared" si="114"/>
        <v>Wolff, 1989</v>
      </c>
      <c r="BP171">
        <f t="shared" si="99"/>
        <v>31</v>
      </c>
      <c r="BQ171" t="str">
        <f t="shared" si="115"/>
        <v/>
      </c>
      <c r="BR171" t="str">
        <f t="shared" si="134"/>
        <v/>
      </c>
      <c r="BS171" t="str">
        <f t="shared" si="116"/>
        <v/>
      </c>
      <c r="BT171" t="str">
        <f t="shared" si="100"/>
        <v/>
      </c>
      <c r="BU171" t="str">
        <f t="shared" si="117"/>
        <v/>
      </c>
      <c r="BV171" t="str">
        <f t="shared" si="135"/>
        <v/>
      </c>
      <c r="BW171" t="str">
        <f t="shared" si="118"/>
        <v/>
      </c>
      <c r="BX171" t="str">
        <f t="shared" si="136"/>
        <v/>
      </c>
      <c r="BY171" t="str">
        <f t="shared" si="119"/>
        <v/>
      </c>
      <c r="BZ171" t="str">
        <f t="shared" si="137"/>
        <v/>
      </c>
      <c r="CA171" t="str">
        <f t="shared" si="120"/>
        <v/>
      </c>
      <c r="CB171" t="str">
        <f t="shared" si="101"/>
        <v/>
      </c>
      <c r="CC171" t="str">
        <f t="shared" si="121"/>
        <v/>
      </c>
      <c r="CD171" t="str">
        <f t="shared" si="102"/>
        <v/>
      </c>
      <c r="CE171" t="str">
        <f t="shared" si="122"/>
        <v>Bowles 5th edition</v>
      </c>
      <c r="CF171">
        <f t="shared" si="103"/>
        <v>384</v>
      </c>
      <c r="CG171" t="str">
        <f t="shared" si="123"/>
        <v/>
      </c>
      <c r="CH171" t="str">
        <f t="shared" si="104"/>
        <v/>
      </c>
      <c r="CI171" t="str">
        <f t="shared" si="124"/>
        <v/>
      </c>
      <c r="CJ171" t="str">
        <f t="shared" si="138"/>
        <v/>
      </c>
    </row>
    <row r="172" spans="2:88" x14ac:dyDescent="0.3">
      <c r="B172" t="str">
        <f t="shared" si="126"/>
        <v>36.831397-76.119388</v>
      </c>
      <c r="C172" t="s">
        <v>14</v>
      </c>
      <c r="D172">
        <v>36.831397000000003</v>
      </c>
      <c r="E172">
        <v>-76.119388000000001</v>
      </c>
      <c r="F172">
        <v>1</v>
      </c>
      <c r="G172" t="str">
        <f t="shared" si="127"/>
        <v>-142-14436.831397-76.119388</v>
      </c>
      <c r="H172">
        <f t="shared" si="128"/>
        <v>-142</v>
      </c>
      <c r="I172">
        <v>-144</v>
      </c>
      <c r="J172" t="s">
        <v>21</v>
      </c>
      <c r="L172" t="s">
        <v>16</v>
      </c>
      <c r="M172">
        <v>40</v>
      </c>
      <c r="Q172" s="1" t="str">
        <f t="shared" si="129"/>
        <v/>
      </c>
      <c r="S172" t="str">
        <f t="shared" si="139"/>
        <v>Sand</v>
      </c>
      <c r="T172">
        <f t="shared" si="130"/>
        <v>1</v>
      </c>
      <c r="AA172">
        <v>80</v>
      </c>
      <c r="AB172" s="1">
        <f t="shared" si="131"/>
        <v>53</v>
      </c>
      <c r="AC172">
        <f t="shared" si="132"/>
        <v>19</v>
      </c>
      <c r="AD172" t="str">
        <f t="shared" si="133"/>
        <v/>
      </c>
      <c r="AE172" t="str">
        <f t="shared" si="105"/>
        <v/>
      </c>
      <c r="AG172" s="21" t="str">
        <f t="shared" si="106"/>
        <v/>
      </c>
      <c r="AI172" s="6" t="str">
        <f t="shared" si="107"/>
        <v/>
      </c>
      <c r="AM172" s="7" t="str">
        <f t="shared" si="108"/>
        <v/>
      </c>
      <c r="AQ172" s="8" t="str">
        <f t="shared" si="109"/>
        <v/>
      </c>
      <c r="AW172" s="25" t="str">
        <f t="shared" si="110"/>
        <v/>
      </c>
      <c r="AZ172" s="12" t="str">
        <f t="shared" si="111"/>
        <v/>
      </c>
      <c r="BI172" s="17" t="str">
        <f t="shared" si="112"/>
        <v/>
      </c>
      <c r="BM172" t="str">
        <f t="shared" si="113"/>
        <v>SPT Relationship</v>
      </c>
      <c r="BN172">
        <f t="shared" si="98"/>
        <v>135</v>
      </c>
      <c r="BO172" t="str">
        <f t="shared" si="114"/>
        <v>Wolff, 1989</v>
      </c>
      <c r="BP172">
        <f t="shared" si="99"/>
        <v>32</v>
      </c>
      <c r="BQ172" t="str">
        <f t="shared" si="115"/>
        <v/>
      </c>
      <c r="BR172" t="str">
        <f t="shared" si="134"/>
        <v/>
      </c>
      <c r="BS172" t="str">
        <f t="shared" si="116"/>
        <v/>
      </c>
      <c r="BT172" t="str">
        <f t="shared" si="100"/>
        <v/>
      </c>
      <c r="BU172" t="str">
        <f t="shared" si="117"/>
        <v/>
      </c>
      <c r="BV172" t="str">
        <f t="shared" si="135"/>
        <v/>
      </c>
      <c r="BW172" t="str">
        <f t="shared" si="118"/>
        <v/>
      </c>
      <c r="BX172" t="str">
        <f t="shared" si="136"/>
        <v/>
      </c>
      <c r="BY172" t="str">
        <f t="shared" si="119"/>
        <v/>
      </c>
      <c r="BZ172" t="str">
        <f t="shared" si="137"/>
        <v/>
      </c>
      <c r="CA172" t="str">
        <f t="shared" si="120"/>
        <v/>
      </c>
      <c r="CB172" t="str">
        <f t="shared" si="101"/>
        <v/>
      </c>
      <c r="CC172" t="str">
        <f t="shared" si="121"/>
        <v/>
      </c>
      <c r="CD172" t="str">
        <f t="shared" si="102"/>
        <v/>
      </c>
      <c r="CE172" t="str">
        <f t="shared" si="122"/>
        <v>Bowles 5th edition</v>
      </c>
      <c r="CF172">
        <f t="shared" si="103"/>
        <v>435</v>
      </c>
      <c r="CG172" t="str">
        <f t="shared" si="123"/>
        <v/>
      </c>
      <c r="CH172" t="str">
        <f t="shared" si="104"/>
        <v/>
      </c>
      <c r="CI172" t="str">
        <f t="shared" si="124"/>
        <v/>
      </c>
      <c r="CJ172" t="str">
        <f t="shared" si="138"/>
        <v/>
      </c>
    </row>
    <row r="173" spans="2:88" x14ac:dyDescent="0.3">
      <c r="B173" t="str">
        <f t="shared" si="126"/>
        <v>36.831397-76.119388</v>
      </c>
      <c r="C173" t="s">
        <v>14</v>
      </c>
      <c r="D173">
        <v>36.831397000000003</v>
      </c>
      <c r="E173">
        <v>-76.119388000000001</v>
      </c>
      <c r="F173">
        <v>1</v>
      </c>
      <c r="G173" t="str">
        <f t="shared" si="127"/>
        <v>-147-14936.831397-76.119388</v>
      </c>
      <c r="H173">
        <f t="shared" si="128"/>
        <v>-147</v>
      </c>
      <c r="I173">
        <v>-149</v>
      </c>
      <c r="J173" t="s">
        <v>21</v>
      </c>
      <c r="L173" t="s">
        <v>16</v>
      </c>
      <c r="M173">
        <v>30</v>
      </c>
      <c r="Q173" s="1" t="str">
        <f t="shared" si="129"/>
        <v/>
      </c>
      <c r="S173" t="str">
        <f t="shared" si="139"/>
        <v>Sand</v>
      </c>
      <c r="T173">
        <f t="shared" si="130"/>
        <v>1</v>
      </c>
      <c r="AA173">
        <v>80</v>
      </c>
      <c r="AB173" s="1">
        <f t="shared" si="131"/>
        <v>40</v>
      </c>
      <c r="AC173">
        <f t="shared" si="132"/>
        <v>14</v>
      </c>
      <c r="AD173" t="str">
        <f t="shared" si="133"/>
        <v/>
      </c>
      <c r="AE173" t="str">
        <f t="shared" si="105"/>
        <v/>
      </c>
      <c r="AG173" s="21" t="str">
        <f t="shared" si="106"/>
        <v/>
      </c>
      <c r="AI173" s="6" t="str">
        <f t="shared" si="107"/>
        <v/>
      </c>
      <c r="AM173" s="7" t="str">
        <f t="shared" si="108"/>
        <v/>
      </c>
      <c r="AQ173" s="8" t="str">
        <f t="shared" si="109"/>
        <v/>
      </c>
      <c r="AW173" s="25" t="str">
        <f t="shared" si="110"/>
        <v/>
      </c>
      <c r="AZ173" s="12" t="str">
        <f t="shared" si="111"/>
        <v/>
      </c>
      <c r="BI173" s="17" t="str">
        <f t="shared" si="112"/>
        <v/>
      </c>
      <c r="BM173" t="str">
        <f t="shared" si="113"/>
        <v>SPT Relationship</v>
      </c>
      <c r="BN173">
        <f t="shared" si="98"/>
        <v>131</v>
      </c>
      <c r="BO173" t="str">
        <f t="shared" si="114"/>
        <v>Wolff, 1989</v>
      </c>
      <c r="BP173">
        <f t="shared" si="99"/>
        <v>31</v>
      </c>
      <c r="BQ173" t="str">
        <f t="shared" si="115"/>
        <v/>
      </c>
      <c r="BR173" t="str">
        <f t="shared" si="134"/>
        <v/>
      </c>
      <c r="BS173" t="str">
        <f t="shared" si="116"/>
        <v/>
      </c>
      <c r="BT173" t="str">
        <f t="shared" si="100"/>
        <v/>
      </c>
      <c r="BU173" t="str">
        <f t="shared" si="117"/>
        <v/>
      </c>
      <c r="BV173" t="str">
        <f t="shared" si="135"/>
        <v/>
      </c>
      <c r="BW173" t="str">
        <f t="shared" si="118"/>
        <v/>
      </c>
      <c r="BX173" t="str">
        <f t="shared" si="136"/>
        <v/>
      </c>
      <c r="BY173" t="str">
        <f t="shared" si="119"/>
        <v/>
      </c>
      <c r="BZ173" t="str">
        <f t="shared" si="137"/>
        <v/>
      </c>
      <c r="CA173" t="str">
        <f t="shared" si="120"/>
        <v/>
      </c>
      <c r="CB173" t="str">
        <f t="shared" si="101"/>
        <v/>
      </c>
      <c r="CC173" t="str">
        <f t="shared" si="121"/>
        <v/>
      </c>
      <c r="CD173" t="str">
        <f t="shared" si="102"/>
        <v/>
      </c>
      <c r="CE173" t="str">
        <f t="shared" si="122"/>
        <v>Bowles 5th edition</v>
      </c>
      <c r="CF173">
        <f t="shared" si="103"/>
        <v>352</v>
      </c>
      <c r="CG173" t="str">
        <f t="shared" si="123"/>
        <v/>
      </c>
      <c r="CH173" t="str">
        <f t="shared" si="104"/>
        <v/>
      </c>
      <c r="CI173" t="str">
        <f t="shared" si="124"/>
        <v/>
      </c>
      <c r="CJ173" t="str">
        <f t="shared" si="138"/>
        <v/>
      </c>
    </row>
    <row r="174" spans="2:88" x14ac:dyDescent="0.3">
      <c r="B174" t="str">
        <f t="shared" si="126"/>
        <v>36.831397-76.119388</v>
      </c>
      <c r="C174" t="s">
        <v>14</v>
      </c>
      <c r="D174">
        <v>36.831397000000003</v>
      </c>
      <c r="E174">
        <v>-76.119388000000001</v>
      </c>
      <c r="F174">
        <v>1</v>
      </c>
      <c r="G174" t="str">
        <f t="shared" si="127"/>
        <v>-152-15436.831397-76.119388</v>
      </c>
      <c r="H174">
        <f t="shared" si="128"/>
        <v>-152</v>
      </c>
      <c r="I174">
        <v>-154</v>
      </c>
      <c r="J174" t="s">
        <v>21</v>
      </c>
      <c r="L174" t="s">
        <v>16</v>
      </c>
      <c r="M174">
        <v>31</v>
      </c>
      <c r="Q174" s="1" t="str">
        <f t="shared" si="129"/>
        <v/>
      </c>
      <c r="S174" t="str">
        <f t="shared" si="139"/>
        <v>Sand</v>
      </c>
      <c r="T174">
        <f t="shared" si="130"/>
        <v>1</v>
      </c>
      <c r="AA174">
        <v>80</v>
      </c>
      <c r="AB174" s="1">
        <f t="shared" si="131"/>
        <v>41</v>
      </c>
      <c r="AC174">
        <f t="shared" si="132"/>
        <v>14</v>
      </c>
      <c r="AD174" t="str">
        <f t="shared" si="133"/>
        <v/>
      </c>
      <c r="AE174" t="str">
        <f t="shared" si="105"/>
        <v/>
      </c>
      <c r="AG174" s="21" t="str">
        <f t="shared" si="106"/>
        <v/>
      </c>
      <c r="AI174" s="6" t="str">
        <f t="shared" si="107"/>
        <v/>
      </c>
      <c r="AM174" s="7" t="str">
        <f t="shared" si="108"/>
        <v/>
      </c>
      <c r="AQ174" s="8" t="str">
        <f t="shared" si="109"/>
        <v/>
      </c>
      <c r="AW174" s="25" t="str">
        <f t="shared" si="110"/>
        <v/>
      </c>
      <c r="AZ174" s="12" t="str">
        <f t="shared" si="111"/>
        <v/>
      </c>
      <c r="BI174" s="17" t="str">
        <f t="shared" si="112"/>
        <v/>
      </c>
      <c r="BM174" t="str">
        <f t="shared" si="113"/>
        <v>SPT Relationship</v>
      </c>
      <c r="BN174">
        <f t="shared" si="98"/>
        <v>132</v>
      </c>
      <c r="BO174" t="str">
        <f t="shared" si="114"/>
        <v>Wolff, 1989</v>
      </c>
      <c r="BP174">
        <f t="shared" si="99"/>
        <v>31</v>
      </c>
      <c r="BQ174" t="str">
        <f t="shared" si="115"/>
        <v/>
      </c>
      <c r="BR174" t="str">
        <f t="shared" si="134"/>
        <v/>
      </c>
      <c r="BS174" t="str">
        <f t="shared" si="116"/>
        <v/>
      </c>
      <c r="BT174" t="str">
        <f t="shared" si="100"/>
        <v/>
      </c>
      <c r="BU174" t="str">
        <f t="shared" si="117"/>
        <v/>
      </c>
      <c r="BV174" t="str">
        <f t="shared" si="135"/>
        <v/>
      </c>
      <c r="BW174" t="str">
        <f t="shared" si="118"/>
        <v/>
      </c>
      <c r="BX174" t="str">
        <f t="shared" si="136"/>
        <v/>
      </c>
      <c r="BY174" t="str">
        <f t="shared" si="119"/>
        <v/>
      </c>
      <c r="BZ174" t="str">
        <f t="shared" si="137"/>
        <v/>
      </c>
      <c r="CA174" t="str">
        <f t="shared" si="120"/>
        <v/>
      </c>
      <c r="CB174" t="str">
        <f t="shared" si="101"/>
        <v/>
      </c>
      <c r="CC174" t="str">
        <f t="shared" si="121"/>
        <v/>
      </c>
      <c r="CD174" t="str">
        <f t="shared" si="102"/>
        <v/>
      </c>
      <c r="CE174" t="str">
        <f t="shared" si="122"/>
        <v>Bowles 5th edition</v>
      </c>
      <c r="CF174">
        <f t="shared" si="103"/>
        <v>358</v>
      </c>
      <c r="CG174" t="str">
        <f t="shared" si="123"/>
        <v/>
      </c>
      <c r="CH174" t="str">
        <f t="shared" si="104"/>
        <v/>
      </c>
      <c r="CI174" t="str">
        <f t="shared" si="124"/>
        <v/>
      </c>
      <c r="CJ174" t="str">
        <f t="shared" si="138"/>
        <v/>
      </c>
    </row>
    <row r="175" spans="2:88" x14ac:dyDescent="0.3">
      <c r="B175" t="str">
        <f t="shared" si="126"/>
        <v>36.8322-76.1161</v>
      </c>
      <c r="C175" t="s">
        <v>102</v>
      </c>
      <c r="D175">
        <v>36.8322</v>
      </c>
      <c r="E175">
        <v>-76.116100000000003</v>
      </c>
      <c r="F175">
        <v>7</v>
      </c>
      <c r="G175" t="str">
        <f t="shared" si="127"/>
        <v>76.736.8322-76.1161</v>
      </c>
      <c r="H175">
        <v>7</v>
      </c>
      <c r="I175">
        <v>6.7</v>
      </c>
      <c r="J175" t="s">
        <v>21</v>
      </c>
      <c r="K175" t="s">
        <v>112</v>
      </c>
      <c r="L175" t="s">
        <v>11</v>
      </c>
      <c r="M175">
        <v>13</v>
      </c>
      <c r="N175">
        <v>12</v>
      </c>
      <c r="O175">
        <v>11</v>
      </c>
      <c r="P175">
        <v>25</v>
      </c>
      <c r="Q175" s="1">
        <f t="shared" si="129"/>
        <v>14</v>
      </c>
      <c r="R175">
        <v>75</v>
      </c>
      <c r="S175" t="str">
        <f t="shared" si="139"/>
        <v>Clay</v>
      </c>
      <c r="T175">
        <f t="shared" si="130"/>
        <v>2</v>
      </c>
      <c r="AA175">
        <v>80</v>
      </c>
      <c r="AB175" s="1">
        <f t="shared" si="131"/>
        <v>17</v>
      </c>
      <c r="AC175">
        <f t="shared" si="132"/>
        <v>135</v>
      </c>
      <c r="AD175">
        <f t="shared" si="133"/>
        <v>7.1428571428571425E-2</v>
      </c>
      <c r="AG175" s="21" t="str">
        <f t="shared" si="106"/>
        <v/>
      </c>
      <c r="AI175" s="6" t="str">
        <f t="shared" si="107"/>
        <v/>
      </c>
      <c r="AM175" s="7" t="str">
        <f t="shared" si="108"/>
        <v/>
      </c>
      <c r="AQ175" s="8" t="str">
        <f t="shared" si="109"/>
        <v/>
      </c>
      <c r="AW175" s="25" t="str">
        <f t="shared" si="110"/>
        <v/>
      </c>
      <c r="AZ175" s="12" t="str">
        <f t="shared" si="111"/>
        <v/>
      </c>
      <c r="BI175" s="17" t="str">
        <f t="shared" si="112"/>
        <v/>
      </c>
      <c r="BM175" t="str">
        <f t="shared" si="113"/>
        <v>SPT Relationship</v>
      </c>
      <c r="BN175">
        <f t="shared" si="98"/>
        <v>121</v>
      </c>
      <c r="BO175" t="str">
        <f t="shared" si="114"/>
        <v>Wolff, 1989</v>
      </c>
      <c r="BP175">
        <f t="shared" si="99"/>
        <v>57</v>
      </c>
      <c r="BQ175" t="str">
        <f t="shared" si="115"/>
        <v>GTENG-2476</v>
      </c>
      <c r="BR175">
        <f t="shared" si="134"/>
        <v>24</v>
      </c>
      <c r="BS175" t="str">
        <f t="shared" si="116"/>
        <v>Stroud 1974 (K=3.5)</v>
      </c>
      <c r="BT175">
        <f t="shared" si="100"/>
        <v>1243</v>
      </c>
      <c r="BU175" t="str">
        <f t="shared" si="117"/>
        <v>Kulhawy and Mayne 1990</v>
      </c>
      <c r="BV175">
        <f t="shared" si="135"/>
        <v>0.189</v>
      </c>
      <c r="BW175" t="str">
        <f t="shared" si="118"/>
        <v>Kulhawy and Mayne 1990</v>
      </c>
      <c r="BX175">
        <f t="shared" si="136"/>
        <v>3.7999999999999999E-2</v>
      </c>
      <c r="BY175" t="str">
        <f t="shared" si="119"/>
        <v>Mesri 1990</v>
      </c>
      <c r="BZ175">
        <f t="shared" si="137"/>
        <v>5.7000000000000002E-3</v>
      </c>
      <c r="CA175" t="str">
        <f t="shared" si="120"/>
        <v>NAVFAC Vol. 7.1 Figure 4</v>
      </c>
      <c r="CB175">
        <f t="shared" si="101"/>
        <v>0.62850312499999994</v>
      </c>
      <c r="CC175" t="str">
        <f t="shared" si="121"/>
        <v>Stas and Kulhawy 1984</v>
      </c>
      <c r="CD175">
        <f t="shared" si="102"/>
        <v>20612.431448758191</v>
      </c>
      <c r="CE175" t="str">
        <f t="shared" si="122"/>
        <v/>
      </c>
      <c r="CF175" t="str">
        <f t="shared" si="103"/>
        <v/>
      </c>
      <c r="CG175" t="str">
        <f t="shared" si="123"/>
        <v>Relationship (Gs=2.67)</v>
      </c>
      <c r="CH175">
        <f t="shared" si="104"/>
        <v>0.32</v>
      </c>
      <c r="CI175" t="str">
        <f t="shared" si="124"/>
        <v/>
      </c>
      <c r="CJ175" t="str">
        <f t="shared" si="138"/>
        <v/>
      </c>
    </row>
    <row r="176" spans="2:88" x14ac:dyDescent="0.3">
      <c r="B176" t="str">
        <f t="shared" si="126"/>
        <v>36.8322-76.1161</v>
      </c>
      <c r="C176" t="s">
        <v>102</v>
      </c>
      <c r="D176">
        <v>36.8322</v>
      </c>
      <c r="E176">
        <v>-76.116100000000003</v>
      </c>
      <c r="F176">
        <v>7</v>
      </c>
      <c r="G176" t="str">
        <f t="shared" si="127"/>
        <v>6.7336.8322-76.1161</v>
      </c>
      <c r="H176">
        <v>6.7</v>
      </c>
      <c r="I176">
        <v>3</v>
      </c>
      <c r="J176" t="s">
        <v>21</v>
      </c>
      <c r="L176" t="s">
        <v>11</v>
      </c>
      <c r="M176">
        <v>13</v>
      </c>
      <c r="Q176" s="1" t="str">
        <f t="shared" si="129"/>
        <v/>
      </c>
      <c r="S176" t="str">
        <f t="shared" si="139"/>
        <v>Clay</v>
      </c>
      <c r="T176">
        <f t="shared" si="130"/>
        <v>1</v>
      </c>
      <c r="AA176">
        <v>80</v>
      </c>
      <c r="AB176" s="1">
        <f t="shared" si="131"/>
        <v>17</v>
      </c>
      <c r="AC176">
        <f t="shared" si="132"/>
        <v>37</v>
      </c>
      <c r="AD176" t="str">
        <f t="shared" si="133"/>
        <v/>
      </c>
      <c r="AG176" s="21" t="str">
        <f t="shared" si="106"/>
        <v/>
      </c>
      <c r="AI176" s="6" t="str">
        <f t="shared" si="107"/>
        <v/>
      </c>
      <c r="AM176" s="7" t="str">
        <f t="shared" si="108"/>
        <v/>
      </c>
      <c r="AQ176" s="8" t="str">
        <f t="shared" si="109"/>
        <v/>
      </c>
      <c r="AW176" s="25" t="str">
        <f t="shared" si="110"/>
        <v/>
      </c>
      <c r="AZ176" s="12" t="str">
        <f t="shared" si="111"/>
        <v/>
      </c>
      <c r="BI176" s="17" t="str">
        <f t="shared" si="112"/>
        <v/>
      </c>
      <c r="BM176" t="str">
        <f t="shared" si="113"/>
        <v>SPT Relationship</v>
      </c>
      <c r="BN176">
        <f t="shared" si="98"/>
        <v>121</v>
      </c>
      <c r="BO176" t="str">
        <f t="shared" si="114"/>
        <v>Wolff, 1989</v>
      </c>
      <c r="BP176">
        <f t="shared" si="99"/>
        <v>37</v>
      </c>
      <c r="BQ176" t="str">
        <f t="shared" si="115"/>
        <v/>
      </c>
      <c r="BR176" t="str">
        <f t="shared" si="134"/>
        <v/>
      </c>
      <c r="BS176" t="str">
        <f t="shared" si="116"/>
        <v>Stroud 1974 (K=3.5)</v>
      </c>
      <c r="BT176">
        <f t="shared" si="100"/>
        <v>1243</v>
      </c>
      <c r="BU176" t="str">
        <f t="shared" si="117"/>
        <v/>
      </c>
      <c r="BV176" t="str">
        <f t="shared" si="135"/>
        <v/>
      </c>
      <c r="BW176" t="str">
        <f t="shared" si="118"/>
        <v/>
      </c>
      <c r="BX176" t="str">
        <f t="shared" si="136"/>
        <v/>
      </c>
      <c r="BY176" t="str">
        <f t="shared" si="119"/>
        <v/>
      </c>
      <c r="BZ176" t="str">
        <f t="shared" si="137"/>
        <v/>
      </c>
      <c r="CA176" t="str">
        <f t="shared" si="120"/>
        <v/>
      </c>
      <c r="CB176" t="str">
        <f t="shared" si="101"/>
        <v/>
      </c>
      <c r="CC176" t="str">
        <f t="shared" si="121"/>
        <v/>
      </c>
      <c r="CD176" t="str">
        <f t="shared" si="102"/>
        <v/>
      </c>
      <c r="CE176" t="str">
        <f t="shared" si="122"/>
        <v/>
      </c>
      <c r="CF176" t="str">
        <f t="shared" si="103"/>
        <v/>
      </c>
      <c r="CG176" t="str">
        <f t="shared" si="123"/>
        <v/>
      </c>
      <c r="CH176" t="str">
        <f t="shared" si="104"/>
        <v/>
      </c>
      <c r="CI176" t="str">
        <f t="shared" si="124"/>
        <v/>
      </c>
      <c r="CJ176" t="str">
        <f t="shared" si="138"/>
        <v/>
      </c>
    </row>
    <row r="177" spans="2:88" x14ac:dyDescent="0.3">
      <c r="B177" t="str">
        <f t="shared" si="126"/>
        <v>36.8322-76.1161</v>
      </c>
      <c r="C177" t="s">
        <v>102</v>
      </c>
      <c r="D177">
        <v>36.8322</v>
      </c>
      <c r="E177">
        <v>-76.116100000000003</v>
      </c>
      <c r="F177">
        <v>7</v>
      </c>
      <c r="G177" t="str">
        <f t="shared" si="127"/>
        <v>3136.8322-76.1161</v>
      </c>
      <c r="H177">
        <v>3</v>
      </c>
      <c r="I177">
        <v>1</v>
      </c>
      <c r="J177" t="s">
        <v>21</v>
      </c>
      <c r="L177" t="s">
        <v>113</v>
      </c>
      <c r="M177">
        <v>16</v>
      </c>
      <c r="Q177" s="1" t="str">
        <f t="shared" si="129"/>
        <v/>
      </c>
      <c r="S177" t="str">
        <f t="shared" si="139"/>
        <v>Clay</v>
      </c>
      <c r="T177">
        <f t="shared" si="130"/>
        <v>1</v>
      </c>
      <c r="AA177">
        <v>80</v>
      </c>
      <c r="AB177" s="1">
        <f t="shared" si="131"/>
        <v>21</v>
      </c>
      <c r="AC177">
        <f t="shared" si="132"/>
        <v>37</v>
      </c>
      <c r="AD177" t="str">
        <f t="shared" si="133"/>
        <v/>
      </c>
      <c r="AG177" s="21" t="str">
        <f t="shared" si="106"/>
        <v/>
      </c>
      <c r="AI177" s="6" t="str">
        <f t="shared" si="107"/>
        <v/>
      </c>
      <c r="AM177" s="7" t="str">
        <f t="shared" si="108"/>
        <v/>
      </c>
      <c r="AQ177" s="8" t="str">
        <f t="shared" si="109"/>
        <v/>
      </c>
      <c r="AW177" s="25" t="str">
        <f t="shared" si="110"/>
        <v/>
      </c>
      <c r="AZ177" s="12" t="str">
        <f t="shared" si="111"/>
        <v/>
      </c>
      <c r="BI177" s="17" t="str">
        <f t="shared" si="112"/>
        <v/>
      </c>
      <c r="BM177" t="str">
        <f t="shared" si="113"/>
        <v>SPT Relationship</v>
      </c>
      <c r="BN177">
        <f t="shared" si="98"/>
        <v>124</v>
      </c>
      <c r="BO177" t="str">
        <f t="shared" si="114"/>
        <v>Wolff, 1989</v>
      </c>
      <c r="BP177">
        <f t="shared" si="99"/>
        <v>37</v>
      </c>
      <c r="BQ177" t="str">
        <f t="shared" si="115"/>
        <v/>
      </c>
      <c r="BR177" t="str">
        <f t="shared" si="134"/>
        <v/>
      </c>
      <c r="BS177" t="str">
        <f t="shared" si="116"/>
        <v>Stroud 1974 (K=3.5)</v>
      </c>
      <c r="BT177">
        <f t="shared" si="100"/>
        <v>1535</v>
      </c>
      <c r="BU177" t="str">
        <f t="shared" si="117"/>
        <v/>
      </c>
      <c r="BV177" t="str">
        <f t="shared" si="135"/>
        <v/>
      </c>
      <c r="BW177" t="str">
        <f t="shared" si="118"/>
        <v/>
      </c>
      <c r="BX177" t="str">
        <f t="shared" si="136"/>
        <v/>
      </c>
      <c r="BY177" t="str">
        <f t="shared" si="119"/>
        <v/>
      </c>
      <c r="BZ177" t="str">
        <f t="shared" si="137"/>
        <v/>
      </c>
      <c r="CA177" t="str">
        <f t="shared" si="120"/>
        <v/>
      </c>
      <c r="CB177" t="str">
        <f t="shared" si="101"/>
        <v/>
      </c>
      <c r="CC177" t="str">
        <f t="shared" si="121"/>
        <v/>
      </c>
      <c r="CD177" t="str">
        <f t="shared" si="102"/>
        <v/>
      </c>
      <c r="CE177" t="str">
        <f t="shared" si="122"/>
        <v/>
      </c>
      <c r="CF177" t="str">
        <f t="shared" si="103"/>
        <v/>
      </c>
      <c r="CG177" t="str">
        <f t="shared" si="123"/>
        <v/>
      </c>
      <c r="CH177" t="str">
        <f t="shared" si="104"/>
        <v/>
      </c>
      <c r="CI177" t="str">
        <f t="shared" si="124"/>
        <v/>
      </c>
      <c r="CJ177" t="str">
        <f t="shared" si="138"/>
        <v/>
      </c>
    </row>
    <row r="178" spans="2:88" x14ac:dyDescent="0.3">
      <c r="B178" t="str">
        <f t="shared" si="126"/>
        <v>36.8322-76.1161</v>
      </c>
      <c r="C178" t="s">
        <v>102</v>
      </c>
      <c r="D178">
        <v>36.8322</v>
      </c>
      <c r="E178">
        <v>-76.116100000000003</v>
      </c>
      <c r="F178">
        <v>7</v>
      </c>
      <c r="G178" t="str">
        <f t="shared" si="127"/>
        <v>10.536.8322-76.1161</v>
      </c>
      <c r="H178">
        <v>1</v>
      </c>
      <c r="I178">
        <v>0.5</v>
      </c>
      <c r="J178" t="s">
        <v>21</v>
      </c>
      <c r="L178" t="s">
        <v>17</v>
      </c>
      <c r="M178">
        <v>13</v>
      </c>
      <c r="Q178" s="1" t="str">
        <f t="shared" si="129"/>
        <v/>
      </c>
      <c r="S178" t="str">
        <f t="shared" si="139"/>
        <v>Sand</v>
      </c>
      <c r="T178">
        <f t="shared" si="130"/>
        <v>1</v>
      </c>
      <c r="AA178">
        <v>80</v>
      </c>
      <c r="AB178" s="1">
        <f t="shared" si="131"/>
        <v>17</v>
      </c>
      <c r="AC178">
        <f t="shared" si="132"/>
        <v>29</v>
      </c>
      <c r="AD178" t="str">
        <f t="shared" si="133"/>
        <v/>
      </c>
      <c r="AG178" s="21" t="str">
        <f t="shared" si="106"/>
        <v/>
      </c>
      <c r="AI178" s="6" t="str">
        <f t="shared" si="107"/>
        <v/>
      </c>
      <c r="AM178" s="7" t="str">
        <f t="shared" si="108"/>
        <v/>
      </c>
      <c r="AQ178" s="8" t="str">
        <f t="shared" si="109"/>
        <v/>
      </c>
      <c r="AW178" s="25" t="str">
        <f t="shared" si="110"/>
        <v/>
      </c>
      <c r="AZ178" s="12" t="str">
        <f t="shared" si="111"/>
        <v/>
      </c>
      <c r="BI178" s="17" t="str">
        <f t="shared" si="112"/>
        <v/>
      </c>
      <c r="BM178" t="str">
        <f t="shared" si="113"/>
        <v>SPT Relationship</v>
      </c>
      <c r="BN178">
        <f t="shared" si="98"/>
        <v>121</v>
      </c>
      <c r="BO178" t="str">
        <f t="shared" si="114"/>
        <v>Wolff, 1989</v>
      </c>
      <c r="BP178">
        <f t="shared" si="99"/>
        <v>35</v>
      </c>
      <c r="BQ178" t="str">
        <f t="shared" si="115"/>
        <v/>
      </c>
      <c r="BR178" t="str">
        <f t="shared" si="134"/>
        <v/>
      </c>
      <c r="BS178" t="str">
        <f t="shared" si="116"/>
        <v/>
      </c>
      <c r="BT178" t="str">
        <f t="shared" si="100"/>
        <v/>
      </c>
      <c r="BU178" t="str">
        <f t="shared" si="117"/>
        <v/>
      </c>
      <c r="BV178" t="str">
        <f t="shared" si="135"/>
        <v/>
      </c>
      <c r="BW178" t="str">
        <f t="shared" si="118"/>
        <v/>
      </c>
      <c r="BX178" t="str">
        <f t="shared" si="136"/>
        <v/>
      </c>
      <c r="BY178" t="str">
        <f t="shared" si="119"/>
        <v/>
      </c>
      <c r="BZ178" t="str">
        <f t="shared" si="137"/>
        <v/>
      </c>
      <c r="CA178" t="str">
        <f t="shared" si="120"/>
        <v/>
      </c>
      <c r="CB178" t="str">
        <f t="shared" si="101"/>
        <v/>
      </c>
      <c r="CC178" t="str">
        <f t="shared" si="121"/>
        <v/>
      </c>
      <c r="CD178" t="str">
        <f t="shared" si="102"/>
        <v/>
      </c>
      <c r="CE178" t="str">
        <f t="shared" si="122"/>
        <v>Bowles 5th edition</v>
      </c>
      <c r="CF178">
        <f t="shared" si="103"/>
        <v>205</v>
      </c>
      <c r="CG178" t="str">
        <f t="shared" si="123"/>
        <v/>
      </c>
      <c r="CH178" t="str">
        <f t="shared" si="104"/>
        <v/>
      </c>
      <c r="CI178" t="str">
        <f t="shared" si="124"/>
        <v/>
      </c>
      <c r="CJ178" t="str">
        <f t="shared" si="138"/>
        <v/>
      </c>
    </row>
    <row r="179" spans="2:88" x14ac:dyDescent="0.3">
      <c r="B179" t="str">
        <f t="shared" si="126"/>
        <v>36.8322-76.1161</v>
      </c>
      <c r="C179" t="s">
        <v>102</v>
      </c>
      <c r="D179">
        <v>36.8322</v>
      </c>
      <c r="E179">
        <v>-76.116100000000003</v>
      </c>
      <c r="F179">
        <v>7</v>
      </c>
      <c r="G179" t="str">
        <f t="shared" si="127"/>
        <v>0.5-136.8322-76.1161</v>
      </c>
      <c r="H179">
        <v>0.5</v>
      </c>
      <c r="I179">
        <v>-1</v>
      </c>
      <c r="J179" t="s">
        <v>21</v>
      </c>
      <c r="L179" t="s">
        <v>10</v>
      </c>
      <c r="M179">
        <v>13</v>
      </c>
      <c r="Q179" s="1" t="str">
        <f t="shared" si="129"/>
        <v/>
      </c>
      <c r="S179" t="str">
        <f t="shared" si="139"/>
        <v>Sand</v>
      </c>
      <c r="T179">
        <f t="shared" si="130"/>
        <v>1</v>
      </c>
      <c r="AA179">
        <v>80</v>
      </c>
      <c r="AB179" s="1">
        <f t="shared" si="131"/>
        <v>17</v>
      </c>
      <c r="AC179">
        <f t="shared" si="132"/>
        <v>26</v>
      </c>
      <c r="AD179" t="str">
        <f t="shared" si="133"/>
        <v/>
      </c>
      <c r="AG179" s="21" t="str">
        <f t="shared" si="106"/>
        <v/>
      </c>
      <c r="AI179" s="6" t="str">
        <f t="shared" si="107"/>
        <v/>
      </c>
      <c r="AM179" s="7" t="str">
        <f t="shared" si="108"/>
        <v/>
      </c>
      <c r="AQ179" s="8" t="str">
        <f t="shared" si="109"/>
        <v/>
      </c>
      <c r="AW179" s="25" t="str">
        <f t="shared" si="110"/>
        <v/>
      </c>
      <c r="AZ179" s="12" t="str">
        <f t="shared" si="111"/>
        <v/>
      </c>
      <c r="BI179" s="17" t="str">
        <f t="shared" si="112"/>
        <v/>
      </c>
      <c r="BM179" t="str">
        <f t="shared" si="113"/>
        <v>SPT Relationship</v>
      </c>
      <c r="BN179">
        <f t="shared" si="98"/>
        <v>121</v>
      </c>
      <c r="BO179" t="str">
        <f t="shared" si="114"/>
        <v>Wolff, 1989</v>
      </c>
      <c r="BP179">
        <f t="shared" si="99"/>
        <v>34</v>
      </c>
      <c r="BQ179" t="str">
        <f t="shared" si="115"/>
        <v/>
      </c>
      <c r="BR179" t="str">
        <f t="shared" si="134"/>
        <v/>
      </c>
      <c r="BS179" t="str">
        <f t="shared" si="116"/>
        <v/>
      </c>
      <c r="BT179" t="str">
        <f t="shared" si="100"/>
        <v/>
      </c>
      <c r="BU179" t="str">
        <f t="shared" si="117"/>
        <v/>
      </c>
      <c r="BV179" t="str">
        <f t="shared" si="135"/>
        <v/>
      </c>
      <c r="BW179" t="str">
        <f t="shared" si="118"/>
        <v/>
      </c>
      <c r="BX179" t="str">
        <f t="shared" si="136"/>
        <v/>
      </c>
      <c r="BY179" t="str">
        <f t="shared" si="119"/>
        <v/>
      </c>
      <c r="BZ179" t="str">
        <f t="shared" si="137"/>
        <v/>
      </c>
      <c r="CA179" t="str">
        <f t="shared" si="120"/>
        <v/>
      </c>
      <c r="CB179" t="str">
        <f t="shared" si="101"/>
        <v/>
      </c>
      <c r="CC179" t="str">
        <f t="shared" si="121"/>
        <v/>
      </c>
      <c r="CD179" t="str">
        <f t="shared" si="102"/>
        <v/>
      </c>
      <c r="CE179" t="str">
        <f t="shared" si="122"/>
        <v>Bowles 5th edition</v>
      </c>
      <c r="CF179">
        <f t="shared" si="103"/>
        <v>205</v>
      </c>
      <c r="CG179" t="str">
        <f t="shared" si="123"/>
        <v/>
      </c>
      <c r="CH179" t="str">
        <f t="shared" si="104"/>
        <v/>
      </c>
      <c r="CI179" t="str">
        <f t="shared" si="124"/>
        <v/>
      </c>
      <c r="CJ179" t="str">
        <f t="shared" si="138"/>
        <v/>
      </c>
    </row>
    <row r="180" spans="2:88" x14ac:dyDescent="0.3">
      <c r="B180" t="str">
        <f t="shared" si="126"/>
        <v>36.8322-76.1161</v>
      </c>
      <c r="C180" t="s">
        <v>102</v>
      </c>
      <c r="D180">
        <v>36.8322</v>
      </c>
      <c r="E180">
        <v>-76.116100000000003</v>
      </c>
      <c r="F180">
        <v>7</v>
      </c>
      <c r="G180" t="str">
        <f t="shared" si="127"/>
        <v>-1-236.8322-76.1161</v>
      </c>
      <c r="H180">
        <v>-1</v>
      </c>
      <c r="I180">
        <v>-2</v>
      </c>
      <c r="J180" t="s">
        <v>21</v>
      </c>
      <c r="L180" t="s">
        <v>11</v>
      </c>
      <c r="M180">
        <v>3</v>
      </c>
      <c r="Q180" s="1" t="str">
        <f t="shared" si="129"/>
        <v/>
      </c>
      <c r="S180" t="str">
        <f t="shared" si="139"/>
        <v>Clay</v>
      </c>
      <c r="T180">
        <f t="shared" si="130"/>
        <v>1</v>
      </c>
      <c r="AA180">
        <v>80</v>
      </c>
      <c r="AB180" s="1">
        <f t="shared" si="131"/>
        <v>4</v>
      </c>
      <c r="AC180">
        <f t="shared" si="132"/>
        <v>5</v>
      </c>
      <c r="AD180" t="str">
        <f t="shared" si="133"/>
        <v/>
      </c>
      <c r="AG180" s="21" t="str">
        <f t="shared" si="106"/>
        <v/>
      </c>
      <c r="AI180" s="6" t="str">
        <f t="shared" si="107"/>
        <v/>
      </c>
      <c r="AM180" s="7" t="str">
        <f t="shared" si="108"/>
        <v/>
      </c>
      <c r="AQ180" s="8" t="str">
        <f t="shared" si="109"/>
        <v/>
      </c>
      <c r="AW180" s="25" t="str">
        <f t="shared" si="110"/>
        <v/>
      </c>
      <c r="AZ180" s="12" t="str">
        <f t="shared" si="111"/>
        <v/>
      </c>
      <c r="BI180" s="17" t="str">
        <f t="shared" si="112"/>
        <v/>
      </c>
      <c r="BM180" t="str">
        <f t="shared" si="113"/>
        <v>SPT Relationship</v>
      </c>
      <c r="BN180">
        <f t="shared" si="98"/>
        <v>105</v>
      </c>
      <c r="BO180" t="str">
        <f t="shared" si="114"/>
        <v>Wolff, 1989</v>
      </c>
      <c r="BP180">
        <f t="shared" si="99"/>
        <v>28</v>
      </c>
      <c r="BQ180" t="str">
        <f t="shared" si="115"/>
        <v/>
      </c>
      <c r="BR180" t="str">
        <f t="shared" si="134"/>
        <v/>
      </c>
      <c r="BS180" t="str">
        <f t="shared" si="116"/>
        <v>Stroud 1974 (K=3.5)</v>
      </c>
      <c r="BT180">
        <f t="shared" si="100"/>
        <v>292</v>
      </c>
      <c r="BU180" t="str">
        <f t="shared" si="117"/>
        <v/>
      </c>
      <c r="BV180" t="str">
        <f t="shared" si="135"/>
        <v/>
      </c>
      <c r="BW180" t="str">
        <f t="shared" si="118"/>
        <v/>
      </c>
      <c r="BX180" t="str">
        <f t="shared" si="136"/>
        <v/>
      </c>
      <c r="BY180" t="str">
        <f t="shared" si="119"/>
        <v/>
      </c>
      <c r="BZ180" t="str">
        <f t="shared" si="137"/>
        <v/>
      </c>
      <c r="CA180" t="str">
        <f t="shared" si="120"/>
        <v/>
      </c>
      <c r="CB180" t="str">
        <f t="shared" si="101"/>
        <v/>
      </c>
      <c r="CC180" t="str">
        <f t="shared" si="121"/>
        <v/>
      </c>
      <c r="CD180" t="str">
        <f t="shared" si="102"/>
        <v/>
      </c>
      <c r="CE180" t="str">
        <f t="shared" si="122"/>
        <v/>
      </c>
      <c r="CF180" t="str">
        <f t="shared" si="103"/>
        <v/>
      </c>
      <c r="CG180" t="str">
        <f t="shared" si="123"/>
        <v/>
      </c>
      <c r="CH180" t="str">
        <f t="shared" si="104"/>
        <v/>
      </c>
      <c r="CI180" t="str">
        <f t="shared" si="124"/>
        <v/>
      </c>
      <c r="CJ180" t="str">
        <f t="shared" si="138"/>
        <v/>
      </c>
    </row>
    <row r="181" spans="2:88" x14ac:dyDescent="0.3">
      <c r="B181" t="str">
        <f t="shared" si="126"/>
        <v>36.8322-76.1161</v>
      </c>
      <c r="C181" t="s">
        <v>102</v>
      </c>
      <c r="D181">
        <v>36.8322</v>
      </c>
      <c r="E181">
        <v>-76.116100000000003</v>
      </c>
      <c r="F181">
        <v>7</v>
      </c>
      <c r="G181" t="str">
        <f t="shared" si="127"/>
        <v>-2-1136.8322-76.1161</v>
      </c>
      <c r="H181">
        <v>-2</v>
      </c>
      <c r="I181">
        <v>-11</v>
      </c>
      <c r="J181" t="s">
        <v>21</v>
      </c>
      <c r="L181" t="s">
        <v>16</v>
      </c>
      <c r="M181">
        <v>12</v>
      </c>
      <c r="Q181" s="1" t="str">
        <f t="shared" si="129"/>
        <v/>
      </c>
      <c r="S181" t="str">
        <f t="shared" si="139"/>
        <v>Sand</v>
      </c>
      <c r="T181">
        <f t="shared" si="130"/>
        <v>1</v>
      </c>
      <c r="AA181">
        <v>80</v>
      </c>
      <c r="AB181" s="1">
        <f t="shared" si="131"/>
        <v>16</v>
      </c>
      <c r="AC181">
        <f t="shared" si="132"/>
        <v>16</v>
      </c>
      <c r="AD181" t="str">
        <f t="shared" si="133"/>
        <v/>
      </c>
      <c r="AG181" s="21" t="str">
        <f t="shared" si="106"/>
        <v/>
      </c>
      <c r="AI181" s="6" t="str">
        <f t="shared" si="107"/>
        <v/>
      </c>
      <c r="AM181" s="7" t="str">
        <f t="shared" si="108"/>
        <v/>
      </c>
      <c r="AQ181" s="8" t="str">
        <f t="shared" si="109"/>
        <v/>
      </c>
      <c r="AW181" s="25" t="str">
        <f t="shared" si="110"/>
        <v/>
      </c>
      <c r="AZ181" s="12" t="str">
        <f t="shared" si="111"/>
        <v/>
      </c>
      <c r="BI181" s="17" t="str">
        <f t="shared" si="112"/>
        <v/>
      </c>
      <c r="BM181" t="str">
        <f t="shared" si="113"/>
        <v>SPT Relationship</v>
      </c>
      <c r="BN181">
        <f t="shared" si="98"/>
        <v>120</v>
      </c>
      <c r="BO181" t="str">
        <f t="shared" si="114"/>
        <v>Wolff, 1989</v>
      </c>
      <c r="BP181">
        <f t="shared" si="99"/>
        <v>31</v>
      </c>
      <c r="BQ181" t="str">
        <f t="shared" si="115"/>
        <v/>
      </c>
      <c r="BR181" t="str">
        <f t="shared" si="134"/>
        <v/>
      </c>
      <c r="BS181" t="str">
        <f t="shared" si="116"/>
        <v/>
      </c>
      <c r="BT181" t="str">
        <f t="shared" si="100"/>
        <v/>
      </c>
      <c r="BU181" t="str">
        <f t="shared" si="117"/>
        <v/>
      </c>
      <c r="BV181" t="str">
        <f t="shared" si="135"/>
        <v/>
      </c>
      <c r="BW181" t="str">
        <f t="shared" si="118"/>
        <v/>
      </c>
      <c r="BX181" t="str">
        <f t="shared" si="136"/>
        <v/>
      </c>
      <c r="BY181" t="str">
        <f t="shared" si="119"/>
        <v/>
      </c>
      <c r="BZ181" t="str">
        <f t="shared" si="137"/>
        <v/>
      </c>
      <c r="CA181" t="str">
        <f t="shared" si="120"/>
        <v/>
      </c>
      <c r="CB181" t="str">
        <f t="shared" si="101"/>
        <v/>
      </c>
      <c r="CC181" t="str">
        <f t="shared" si="121"/>
        <v/>
      </c>
      <c r="CD181" t="str">
        <f t="shared" si="102"/>
        <v/>
      </c>
      <c r="CE181" t="str">
        <f t="shared" si="122"/>
        <v>Bowles 5th edition</v>
      </c>
      <c r="CF181">
        <f t="shared" si="103"/>
        <v>198</v>
      </c>
      <c r="CG181" t="str">
        <f t="shared" si="123"/>
        <v/>
      </c>
      <c r="CH181" t="str">
        <f t="shared" si="104"/>
        <v/>
      </c>
      <c r="CI181" t="str">
        <f t="shared" si="124"/>
        <v/>
      </c>
      <c r="CJ181" t="str">
        <f t="shared" si="138"/>
        <v/>
      </c>
    </row>
    <row r="182" spans="2:88" x14ac:dyDescent="0.3">
      <c r="B182" t="str">
        <f t="shared" si="126"/>
        <v>36.8322-76.1161</v>
      </c>
      <c r="C182" t="s">
        <v>102</v>
      </c>
      <c r="D182">
        <v>36.8322</v>
      </c>
      <c r="E182">
        <v>-76.116100000000003</v>
      </c>
      <c r="F182">
        <v>7</v>
      </c>
      <c r="G182" t="str">
        <f t="shared" si="127"/>
        <v>-11-1536.8322-76.1161</v>
      </c>
      <c r="H182">
        <v>-11</v>
      </c>
      <c r="I182">
        <v>-15</v>
      </c>
      <c r="J182" t="s">
        <v>21</v>
      </c>
      <c r="L182" t="s">
        <v>8</v>
      </c>
      <c r="M182">
        <v>4</v>
      </c>
      <c r="Q182" s="1" t="str">
        <f t="shared" si="129"/>
        <v/>
      </c>
      <c r="S182" t="str">
        <f t="shared" si="139"/>
        <v>Sand</v>
      </c>
      <c r="T182">
        <f t="shared" si="130"/>
        <v>1</v>
      </c>
      <c r="AA182">
        <v>80</v>
      </c>
      <c r="AB182" s="1">
        <f t="shared" si="131"/>
        <v>5</v>
      </c>
      <c r="AC182">
        <f t="shared" si="132"/>
        <v>4</v>
      </c>
      <c r="AD182" t="str">
        <f t="shared" si="133"/>
        <v/>
      </c>
      <c r="AG182" s="21" t="str">
        <f t="shared" si="106"/>
        <v/>
      </c>
      <c r="AI182" s="6" t="str">
        <f t="shared" si="107"/>
        <v/>
      </c>
      <c r="AM182" s="7" t="str">
        <f t="shared" si="108"/>
        <v/>
      </c>
      <c r="AQ182" s="8" t="str">
        <f t="shared" si="109"/>
        <v/>
      </c>
      <c r="AW182" s="25" t="str">
        <f t="shared" si="110"/>
        <v/>
      </c>
      <c r="AZ182" s="12" t="str">
        <f t="shared" si="111"/>
        <v/>
      </c>
      <c r="BI182" s="17" t="str">
        <f t="shared" si="112"/>
        <v/>
      </c>
      <c r="BM182" t="str">
        <f t="shared" si="113"/>
        <v>SPT Relationship</v>
      </c>
      <c r="BN182">
        <f t="shared" si="98"/>
        <v>108</v>
      </c>
      <c r="BO182" t="str">
        <f t="shared" si="114"/>
        <v>Wolff, 1989</v>
      </c>
      <c r="BP182">
        <f t="shared" si="99"/>
        <v>28</v>
      </c>
      <c r="BQ182" t="str">
        <f t="shared" si="115"/>
        <v/>
      </c>
      <c r="BR182" t="str">
        <f t="shared" si="134"/>
        <v/>
      </c>
      <c r="BS182" t="str">
        <f t="shared" si="116"/>
        <v/>
      </c>
      <c r="BT182" t="str">
        <f t="shared" si="100"/>
        <v/>
      </c>
      <c r="BU182" t="str">
        <f t="shared" si="117"/>
        <v/>
      </c>
      <c r="BV182" t="str">
        <f t="shared" si="135"/>
        <v/>
      </c>
      <c r="BW182" t="str">
        <f t="shared" si="118"/>
        <v/>
      </c>
      <c r="BX182" t="str">
        <f t="shared" si="136"/>
        <v/>
      </c>
      <c r="BY182" t="str">
        <f t="shared" si="119"/>
        <v/>
      </c>
      <c r="BZ182" t="str">
        <f t="shared" si="137"/>
        <v/>
      </c>
      <c r="CA182" t="str">
        <f t="shared" si="120"/>
        <v/>
      </c>
      <c r="CB182" t="str">
        <f t="shared" si="101"/>
        <v/>
      </c>
      <c r="CC182" t="str">
        <f t="shared" si="121"/>
        <v/>
      </c>
      <c r="CD182" t="str">
        <f t="shared" si="102"/>
        <v/>
      </c>
      <c r="CE182" t="str">
        <f t="shared" si="122"/>
        <v>Bowles 5th edition</v>
      </c>
      <c r="CF182">
        <f t="shared" si="103"/>
        <v>128</v>
      </c>
      <c r="CG182" t="str">
        <f t="shared" si="123"/>
        <v/>
      </c>
      <c r="CH182" t="str">
        <f t="shared" si="104"/>
        <v/>
      </c>
      <c r="CI182" t="str">
        <f t="shared" si="124"/>
        <v/>
      </c>
      <c r="CJ182" t="str">
        <f t="shared" si="138"/>
        <v/>
      </c>
    </row>
    <row r="183" spans="2:88" x14ac:dyDescent="0.3">
      <c r="B183" t="str">
        <f t="shared" si="126"/>
        <v>36.8322-76.1161</v>
      </c>
      <c r="C183" t="s">
        <v>102</v>
      </c>
      <c r="D183">
        <v>36.8322</v>
      </c>
      <c r="E183">
        <v>-76.116100000000003</v>
      </c>
      <c r="F183">
        <v>7</v>
      </c>
      <c r="G183" t="str">
        <f t="shared" si="127"/>
        <v>-15-2336.8322-76.1161</v>
      </c>
      <c r="H183">
        <v>-15</v>
      </c>
      <c r="I183">
        <v>-23</v>
      </c>
      <c r="J183" t="s">
        <v>21</v>
      </c>
      <c r="L183" t="s">
        <v>10</v>
      </c>
      <c r="M183">
        <v>16</v>
      </c>
      <c r="Q183" s="1" t="str">
        <f t="shared" si="129"/>
        <v/>
      </c>
      <c r="S183" t="str">
        <f t="shared" si="139"/>
        <v>Sand</v>
      </c>
      <c r="T183">
        <f t="shared" si="130"/>
        <v>1</v>
      </c>
      <c r="AA183">
        <v>80</v>
      </c>
      <c r="AB183" s="1">
        <f t="shared" si="131"/>
        <v>21</v>
      </c>
      <c r="AC183">
        <f t="shared" si="132"/>
        <v>16</v>
      </c>
      <c r="AD183" t="str">
        <f t="shared" si="133"/>
        <v/>
      </c>
      <c r="AG183" s="21" t="str">
        <f t="shared" si="106"/>
        <v/>
      </c>
      <c r="AI183" s="6" t="str">
        <f t="shared" si="107"/>
        <v/>
      </c>
      <c r="AM183" s="7" t="str">
        <f t="shared" si="108"/>
        <v/>
      </c>
      <c r="AQ183" s="8" t="str">
        <f t="shared" si="109"/>
        <v/>
      </c>
      <c r="AW183" s="25" t="str">
        <f t="shared" si="110"/>
        <v/>
      </c>
      <c r="AZ183" s="12" t="str">
        <f t="shared" si="111"/>
        <v/>
      </c>
      <c r="BI183" s="17" t="str">
        <f t="shared" si="112"/>
        <v/>
      </c>
      <c r="BM183" t="str">
        <f t="shared" si="113"/>
        <v>SPT Relationship</v>
      </c>
      <c r="BN183">
        <f t="shared" si="98"/>
        <v>124</v>
      </c>
      <c r="BO183" t="str">
        <f t="shared" si="114"/>
        <v>Wolff, 1989</v>
      </c>
      <c r="BP183">
        <f t="shared" si="99"/>
        <v>31</v>
      </c>
      <c r="BQ183" t="str">
        <f t="shared" si="115"/>
        <v/>
      </c>
      <c r="BR183" t="str">
        <f t="shared" si="134"/>
        <v/>
      </c>
      <c r="BS183" t="str">
        <f t="shared" si="116"/>
        <v/>
      </c>
      <c r="BT183" t="str">
        <f t="shared" si="100"/>
        <v/>
      </c>
      <c r="BU183" t="str">
        <f t="shared" si="117"/>
        <v/>
      </c>
      <c r="BV183" t="str">
        <f t="shared" si="135"/>
        <v/>
      </c>
      <c r="BW183" t="str">
        <f t="shared" si="118"/>
        <v/>
      </c>
      <c r="BX183" t="str">
        <f t="shared" si="136"/>
        <v/>
      </c>
      <c r="BY183" t="str">
        <f t="shared" si="119"/>
        <v/>
      </c>
      <c r="BZ183" t="str">
        <f t="shared" si="137"/>
        <v/>
      </c>
      <c r="CA183" t="str">
        <f t="shared" si="120"/>
        <v/>
      </c>
      <c r="CB183" t="str">
        <f t="shared" si="101"/>
        <v/>
      </c>
      <c r="CC183" t="str">
        <f t="shared" si="121"/>
        <v/>
      </c>
      <c r="CD183" t="str">
        <f t="shared" si="102"/>
        <v/>
      </c>
      <c r="CE183" t="str">
        <f t="shared" si="122"/>
        <v>Bowles 5th edition</v>
      </c>
      <c r="CF183">
        <f t="shared" si="103"/>
        <v>230</v>
      </c>
      <c r="CG183" t="str">
        <f t="shared" si="123"/>
        <v/>
      </c>
      <c r="CH183" t="str">
        <f t="shared" si="104"/>
        <v/>
      </c>
      <c r="CI183" t="str">
        <f t="shared" si="124"/>
        <v/>
      </c>
      <c r="CJ183" t="str">
        <f t="shared" si="138"/>
        <v/>
      </c>
    </row>
    <row r="184" spans="2:88" x14ac:dyDescent="0.3">
      <c r="B184" t="str">
        <f t="shared" si="126"/>
        <v>36.8311-76.1201</v>
      </c>
      <c r="C184" t="s">
        <v>103</v>
      </c>
      <c r="D184">
        <v>36.831099999999999</v>
      </c>
      <c r="E184">
        <v>-76.120099999999994</v>
      </c>
      <c r="F184">
        <v>8</v>
      </c>
      <c r="G184" t="str">
        <f t="shared" si="127"/>
        <v>87.536.8311-76.1201</v>
      </c>
      <c r="H184">
        <v>8</v>
      </c>
      <c r="I184">
        <v>7.5</v>
      </c>
      <c r="J184" t="s">
        <v>21</v>
      </c>
      <c r="K184" t="s">
        <v>114</v>
      </c>
      <c r="L184" t="s">
        <v>11</v>
      </c>
      <c r="M184">
        <v>7</v>
      </c>
      <c r="Q184" s="1" t="str">
        <f t="shared" si="129"/>
        <v/>
      </c>
      <c r="S184" t="str">
        <f t="shared" si="139"/>
        <v>Clay</v>
      </c>
      <c r="T184">
        <f t="shared" si="130"/>
        <v>1</v>
      </c>
      <c r="AA184">
        <v>80</v>
      </c>
      <c r="AB184" s="1">
        <f t="shared" si="131"/>
        <v>9</v>
      </c>
      <c r="AC184">
        <f t="shared" si="132"/>
        <v>55</v>
      </c>
      <c r="AD184" t="str">
        <f t="shared" si="133"/>
        <v/>
      </c>
      <c r="AG184" s="21" t="str">
        <f t="shared" si="106"/>
        <v/>
      </c>
      <c r="AI184" s="6" t="str">
        <f t="shared" si="107"/>
        <v/>
      </c>
      <c r="AM184" s="7" t="str">
        <f t="shared" si="108"/>
        <v/>
      </c>
      <c r="AQ184" s="8" t="str">
        <f t="shared" si="109"/>
        <v/>
      </c>
      <c r="AW184" s="25" t="str">
        <f t="shared" si="110"/>
        <v/>
      </c>
      <c r="AZ184" s="12" t="str">
        <f t="shared" si="111"/>
        <v/>
      </c>
      <c r="BI184" s="17" t="str">
        <f t="shared" si="112"/>
        <v/>
      </c>
      <c r="BM184" t="str">
        <f t="shared" si="113"/>
        <v>SPT Relationship</v>
      </c>
      <c r="BN184">
        <f t="shared" si="98"/>
        <v>114</v>
      </c>
      <c r="BO184" t="str">
        <f t="shared" si="114"/>
        <v>Wolff, 1989</v>
      </c>
      <c r="BP184">
        <f t="shared" si="99"/>
        <v>41</v>
      </c>
      <c r="BQ184" t="str">
        <f t="shared" si="115"/>
        <v/>
      </c>
      <c r="BR184" t="str">
        <f t="shared" si="134"/>
        <v/>
      </c>
      <c r="BS184" t="str">
        <f t="shared" si="116"/>
        <v>Stroud 1974 (K=3.5)</v>
      </c>
      <c r="BT184">
        <f t="shared" si="100"/>
        <v>658</v>
      </c>
      <c r="BU184" t="str">
        <f t="shared" si="117"/>
        <v/>
      </c>
      <c r="BV184" t="str">
        <f t="shared" si="135"/>
        <v/>
      </c>
      <c r="BW184" t="str">
        <f t="shared" si="118"/>
        <v/>
      </c>
      <c r="BX184" t="str">
        <f t="shared" si="136"/>
        <v/>
      </c>
      <c r="BY184" t="str">
        <f t="shared" si="119"/>
        <v/>
      </c>
      <c r="BZ184" t="str">
        <f t="shared" si="137"/>
        <v/>
      </c>
      <c r="CA184" t="str">
        <f t="shared" si="120"/>
        <v/>
      </c>
      <c r="CB184" t="str">
        <f t="shared" si="101"/>
        <v/>
      </c>
      <c r="CC184" t="str">
        <f t="shared" si="121"/>
        <v/>
      </c>
      <c r="CD184" t="str">
        <f t="shared" si="102"/>
        <v/>
      </c>
      <c r="CE184" t="str">
        <f t="shared" si="122"/>
        <v/>
      </c>
      <c r="CF184" t="str">
        <f t="shared" si="103"/>
        <v/>
      </c>
      <c r="CG184" t="str">
        <f t="shared" si="123"/>
        <v/>
      </c>
      <c r="CH184" t="str">
        <f t="shared" si="104"/>
        <v/>
      </c>
      <c r="CI184" t="str">
        <f t="shared" si="124"/>
        <v/>
      </c>
      <c r="CJ184" t="str">
        <f t="shared" si="138"/>
        <v/>
      </c>
    </row>
    <row r="185" spans="2:88" x14ac:dyDescent="0.3">
      <c r="B185" t="str">
        <f t="shared" si="126"/>
        <v>36.8311-76.1201</v>
      </c>
      <c r="C185" t="s">
        <v>103</v>
      </c>
      <c r="D185">
        <v>36.831099999999999</v>
      </c>
      <c r="E185">
        <v>-76.120099999999994</v>
      </c>
      <c r="F185">
        <v>8</v>
      </c>
      <c r="G185" t="str">
        <f t="shared" si="127"/>
        <v>7.5636.8311-76.1201</v>
      </c>
      <c r="H185">
        <v>7.5</v>
      </c>
      <c r="I185">
        <v>6</v>
      </c>
      <c r="J185" t="s">
        <v>21</v>
      </c>
      <c r="L185" t="s">
        <v>11</v>
      </c>
      <c r="M185">
        <v>7</v>
      </c>
      <c r="Q185" s="1" t="str">
        <f t="shared" si="129"/>
        <v/>
      </c>
      <c r="S185" t="str">
        <f t="shared" si="139"/>
        <v>Clay</v>
      </c>
      <c r="T185">
        <f t="shared" si="130"/>
        <v>1</v>
      </c>
      <c r="AA185">
        <v>80</v>
      </c>
      <c r="AB185" s="1">
        <f t="shared" si="131"/>
        <v>9</v>
      </c>
      <c r="AC185">
        <f t="shared" si="132"/>
        <v>27</v>
      </c>
      <c r="AD185" t="str">
        <f t="shared" si="133"/>
        <v/>
      </c>
      <c r="AG185" s="21" t="str">
        <f t="shared" si="106"/>
        <v/>
      </c>
      <c r="AI185" s="6" t="str">
        <f t="shared" si="107"/>
        <v/>
      </c>
      <c r="AM185" s="7" t="str">
        <f t="shared" si="108"/>
        <v/>
      </c>
      <c r="AQ185" s="8" t="str">
        <f t="shared" si="109"/>
        <v/>
      </c>
      <c r="AW185" s="25" t="str">
        <f t="shared" si="110"/>
        <v/>
      </c>
      <c r="AZ185" s="12" t="str">
        <f t="shared" si="111"/>
        <v/>
      </c>
      <c r="BI185" s="17" t="str">
        <f t="shared" si="112"/>
        <v/>
      </c>
      <c r="BM185" t="str">
        <f t="shared" si="113"/>
        <v>SPT Relationship</v>
      </c>
      <c r="BN185">
        <f t="shared" si="98"/>
        <v>114</v>
      </c>
      <c r="BO185" t="str">
        <f t="shared" si="114"/>
        <v>Wolff, 1989</v>
      </c>
      <c r="BP185">
        <f t="shared" si="99"/>
        <v>34</v>
      </c>
      <c r="BQ185" t="str">
        <f t="shared" si="115"/>
        <v/>
      </c>
      <c r="BR185" t="str">
        <f t="shared" si="134"/>
        <v/>
      </c>
      <c r="BS185" t="str">
        <f t="shared" si="116"/>
        <v>Stroud 1974 (K=3.5)</v>
      </c>
      <c r="BT185">
        <f t="shared" si="100"/>
        <v>658</v>
      </c>
      <c r="BU185" t="str">
        <f t="shared" si="117"/>
        <v/>
      </c>
      <c r="BV185" t="str">
        <f t="shared" si="135"/>
        <v/>
      </c>
      <c r="BW185" t="str">
        <f t="shared" si="118"/>
        <v/>
      </c>
      <c r="BX185" t="str">
        <f t="shared" si="136"/>
        <v/>
      </c>
      <c r="BY185" t="str">
        <f t="shared" si="119"/>
        <v/>
      </c>
      <c r="BZ185" t="str">
        <f t="shared" si="137"/>
        <v/>
      </c>
      <c r="CA185" t="str">
        <f t="shared" si="120"/>
        <v/>
      </c>
      <c r="CB185" t="str">
        <f t="shared" si="101"/>
        <v/>
      </c>
      <c r="CC185" t="str">
        <f t="shared" si="121"/>
        <v/>
      </c>
      <c r="CD185" t="str">
        <f t="shared" si="102"/>
        <v/>
      </c>
      <c r="CE185" t="str">
        <f t="shared" si="122"/>
        <v/>
      </c>
      <c r="CF185" t="str">
        <f t="shared" si="103"/>
        <v/>
      </c>
      <c r="CG185" t="str">
        <f t="shared" si="123"/>
        <v/>
      </c>
      <c r="CH185" t="str">
        <f t="shared" si="104"/>
        <v/>
      </c>
      <c r="CI185" t="str">
        <f t="shared" si="124"/>
        <v/>
      </c>
      <c r="CJ185" t="str">
        <f t="shared" si="138"/>
        <v/>
      </c>
    </row>
    <row r="186" spans="2:88" x14ac:dyDescent="0.3">
      <c r="B186" t="str">
        <f t="shared" si="126"/>
        <v>36.8311-76.1201</v>
      </c>
      <c r="C186" t="s">
        <v>103</v>
      </c>
      <c r="D186">
        <v>36.831099999999999</v>
      </c>
      <c r="E186">
        <v>-76.120099999999994</v>
      </c>
      <c r="F186">
        <v>8</v>
      </c>
      <c r="G186" t="str">
        <f t="shared" si="127"/>
        <v>6236.8311-76.1201</v>
      </c>
      <c r="H186">
        <v>6</v>
      </c>
      <c r="I186">
        <v>2</v>
      </c>
      <c r="J186" t="s">
        <v>21</v>
      </c>
      <c r="L186" t="s">
        <v>17</v>
      </c>
      <c r="M186">
        <v>10</v>
      </c>
      <c r="Q186" s="1" t="str">
        <f t="shared" si="129"/>
        <v/>
      </c>
      <c r="S186" t="str">
        <f t="shared" si="139"/>
        <v>Sand</v>
      </c>
      <c r="T186">
        <f t="shared" si="130"/>
        <v>1</v>
      </c>
      <c r="AA186">
        <v>80</v>
      </c>
      <c r="AB186" s="1">
        <f t="shared" si="131"/>
        <v>13</v>
      </c>
      <c r="AC186">
        <f t="shared" si="132"/>
        <v>23</v>
      </c>
      <c r="AD186" t="str">
        <f t="shared" si="133"/>
        <v/>
      </c>
      <c r="AG186" s="21" t="str">
        <f t="shared" si="106"/>
        <v/>
      </c>
      <c r="AI186" s="6" t="str">
        <f t="shared" si="107"/>
        <v/>
      </c>
      <c r="AM186" s="7" t="str">
        <f t="shared" si="108"/>
        <v/>
      </c>
      <c r="AQ186" s="8" t="str">
        <f t="shared" si="109"/>
        <v/>
      </c>
      <c r="AW186" s="25" t="str">
        <f t="shared" si="110"/>
        <v/>
      </c>
      <c r="AZ186" s="12" t="str">
        <f t="shared" si="111"/>
        <v/>
      </c>
      <c r="BI186" s="17" t="str">
        <f t="shared" si="112"/>
        <v/>
      </c>
      <c r="BM186" t="str">
        <f t="shared" si="113"/>
        <v>SPT Relationship</v>
      </c>
      <c r="BN186">
        <f t="shared" si="98"/>
        <v>118</v>
      </c>
      <c r="BO186" t="str">
        <f t="shared" si="114"/>
        <v>Wolff, 1989</v>
      </c>
      <c r="BP186">
        <f t="shared" si="99"/>
        <v>33</v>
      </c>
      <c r="BQ186" t="str">
        <f t="shared" si="115"/>
        <v/>
      </c>
      <c r="BR186" t="str">
        <f t="shared" si="134"/>
        <v/>
      </c>
      <c r="BS186" t="str">
        <f t="shared" si="116"/>
        <v/>
      </c>
      <c r="BT186" t="str">
        <f t="shared" si="100"/>
        <v/>
      </c>
      <c r="BU186" t="str">
        <f t="shared" si="117"/>
        <v/>
      </c>
      <c r="BV186" t="str">
        <f t="shared" si="135"/>
        <v/>
      </c>
      <c r="BW186" t="str">
        <f t="shared" si="118"/>
        <v/>
      </c>
      <c r="BX186" t="str">
        <f t="shared" si="136"/>
        <v/>
      </c>
      <c r="BY186" t="str">
        <f t="shared" si="119"/>
        <v/>
      </c>
      <c r="BZ186" t="str">
        <f t="shared" si="137"/>
        <v/>
      </c>
      <c r="CA186" t="str">
        <f t="shared" si="120"/>
        <v/>
      </c>
      <c r="CB186" t="str">
        <f t="shared" si="101"/>
        <v/>
      </c>
      <c r="CC186" t="str">
        <f t="shared" si="121"/>
        <v/>
      </c>
      <c r="CD186" t="str">
        <f t="shared" si="102"/>
        <v/>
      </c>
      <c r="CE186" t="str">
        <f t="shared" si="122"/>
        <v>Bowles 5th edition</v>
      </c>
      <c r="CF186">
        <f t="shared" si="103"/>
        <v>179</v>
      </c>
      <c r="CG186" t="str">
        <f t="shared" si="123"/>
        <v/>
      </c>
      <c r="CH186" t="str">
        <f t="shared" si="104"/>
        <v/>
      </c>
      <c r="CI186" t="str">
        <f t="shared" si="124"/>
        <v/>
      </c>
      <c r="CJ186" t="str">
        <f t="shared" si="138"/>
        <v/>
      </c>
    </row>
    <row r="187" spans="2:88" x14ac:dyDescent="0.3">
      <c r="B187" t="str">
        <f t="shared" si="126"/>
        <v>36.8311-76.1201</v>
      </c>
      <c r="C187" t="s">
        <v>103</v>
      </c>
      <c r="D187">
        <v>36.831099999999999</v>
      </c>
      <c r="E187">
        <v>-76.120099999999994</v>
      </c>
      <c r="F187">
        <v>8</v>
      </c>
      <c r="G187" t="str">
        <f t="shared" si="127"/>
        <v>0-236.8311-76.1201</v>
      </c>
      <c r="H187">
        <v>0</v>
      </c>
      <c r="I187">
        <v>-2</v>
      </c>
      <c r="J187" t="s">
        <v>21</v>
      </c>
      <c r="L187" t="s">
        <v>16</v>
      </c>
      <c r="M187">
        <v>17</v>
      </c>
      <c r="Q187" s="1" t="str">
        <f t="shared" si="129"/>
        <v/>
      </c>
      <c r="S187" t="str">
        <f t="shared" si="139"/>
        <v>Sand</v>
      </c>
      <c r="T187">
        <f t="shared" si="130"/>
        <v>1</v>
      </c>
      <c r="AA187">
        <v>80</v>
      </c>
      <c r="AB187" s="1">
        <f t="shared" si="131"/>
        <v>23</v>
      </c>
      <c r="AC187">
        <f t="shared" si="132"/>
        <v>31</v>
      </c>
      <c r="AD187" t="str">
        <f t="shared" si="133"/>
        <v/>
      </c>
      <c r="AG187" s="21" t="str">
        <f t="shared" si="106"/>
        <v/>
      </c>
      <c r="AI187" s="6" t="str">
        <f t="shared" si="107"/>
        <v/>
      </c>
      <c r="AM187" s="7" t="str">
        <f t="shared" si="108"/>
        <v/>
      </c>
      <c r="AQ187" s="8" t="str">
        <f t="shared" si="109"/>
        <v/>
      </c>
      <c r="AW187" s="25" t="str">
        <f t="shared" si="110"/>
        <v/>
      </c>
      <c r="AZ187" s="12" t="str">
        <f t="shared" si="111"/>
        <v/>
      </c>
      <c r="BI187" s="17" t="str">
        <f t="shared" si="112"/>
        <v/>
      </c>
      <c r="BM187" t="str">
        <f t="shared" si="113"/>
        <v>SPT Relationship</v>
      </c>
      <c r="BN187">
        <f t="shared" si="98"/>
        <v>124</v>
      </c>
      <c r="BO187" t="str">
        <f t="shared" si="114"/>
        <v>Wolff, 1989</v>
      </c>
      <c r="BP187">
        <f t="shared" si="99"/>
        <v>35</v>
      </c>
      <c r="BQ187" t="str">
        <f t="shared" si="115"/>
        <v/>
      </c>
      <c r="BR187" t="str">
        <f t="shared" si="134"/>
        <v/>
      </c>
      <c r="BS187" t="str">
        <f t="shared" si="116"/>
        <v/>
      </c>
      <c r="BT187" t="str">
        <f t="shared" si="100"/>
        <v/>
      </c>
      <c r="BU187" t="str">
        <f t="shared" si="117"/>
        <v/>
      </c>
      <c r="BV187" t="str">
        <f t="shared" si="135"/>
        <v/>
      </c>
      <c r="BW187" t="str">
        <f t="shared" si="118"/>
        <v/>
      </c>
      <c r="BX187" t="str">
        <f t="shared" si="136"/>
        <v/>
      </c>
      <c r="BY187" t="str">
        <f t="shared" si="119"/>
        <v/>
      </c>
      <c r="BZ187" t="str">
        <f t="shared" si="137"/>
        <v/>
      </c>
      <c r="CA187" t="str">
        <f t="shared" si="120"/>
        <v/>
      </c>
      <c r="CB187" t="str">
        <f t="shared" si="101"/>
        <v/>
      </c>
      <c r="CC187" t="str">
        <f t="shared" si="121"/>
        <v/>
      </c>
      <c r="CD187" t="str">
        <f t="shared" si="102"/>
        <v/>
      </c>
      <c r="CE187" t="str">
        <f t="shared" si="122"/>
        <v>Bowles 5th edition</v>
      </c>
      <c r="CF187">
        <f t="shared" si="103"/>
        <v>243</v>
      </c>
      <c r="CG187" t="str">
        <f t="shared" si="123"/>
        <v/>
      </c>
      <c r="CH187" t="str">
        <f t="shared" si="104"/>
        <v/>
      </c>
      <c r="CI187" t="str">
        <f t="shared" si="124"/>
        <v/>
      </c>
      <c r="CJ187" t="str">
        <f t="shared" si="138"/>
        <v/>
      </c>
    </row>
    <row r="188" spans="2:88" x14ac:dyDescent="0.3">
      <c r="B188" t="str">
        <f t="shared" si="126"/>
        <v>36.8311-76.1201</v>
      </c>
      <c r="C188" t="s">
        <v>103</v>
      </c>
      <c r="D188">
        <v>36.831099999999999</v>
      </c>
      <c r="E188">
        <v>-76.120099999999994</v>
      </c>
      <c r="F188">
        <v>8</v>
      </c>
      <c r="G188" t="str">
        <f t="shared" si="127"/>
        <v>-2-336.8311-76.1201</v>
      </c>
      <c r="H188">
        <v>-2</v>
      </c>
      <c r="I188">
        <v>-3</v>
      </c>
      <c r="J188" t="s">
        <v>21</v>
      </c>
      <c r="L188" t="s">
        <v>17</v>
      </c>
      <c r="M188">
        <v>2</v>
      </c>
      <c r="Q188" s="1" t="str">
        <f t="shared" si="129"/>
        <v/>
      </c>
      <c r="S188" t="str">
        <f t="shared" si="139"/>
        <v>Sand</v>
      </c>
      <c r="T188">
        <f t="shared" si="130"/>
        <v>1</v>
      </c>
      <c r="AA188">
        <v>80</v>
      </c>
      <c r="AB188" s="1">
        <f t="shared" si="131"/>
        <v>3</v>
      </c>
      <c r="AC188">
        <f t="shared" si="132"/>
        <v>3</v>
      </c>
      <c r="AD188" t="str">
        <f t="shared" si="133"/>
        <v/>
      </c>
      <c r="AG188" s="21" t="str">
        <f t="shared" si="106"/>
        <v/>
      </c>
      <c r="AI188" s="6" t="str">
        <f t="shared" si="107"/>
        <v/>
      </c>
      <c r="AM188" s="7" t="str">
        <f t="shared" si="108"/>
        <v/>
      </c>
      <c r="AQ188" s="8" t="str">
        <f t="shared" si="109"/>
        <v/>
      </c>
      <c r="AW188" s="25" t="str">
        <f t="shared" si="110"/>
        <v/>
      </c>
      <c r="AZ188" s="12" t="str">
        <f t="shared" si="111"/>
        <v/>
      </c>
      <c r="BI188" s="17" t="str">
        <f t="shared" si="112"/>
        <v/>
      </c>
      <c r="BM188" t="str">
        <f t="shared" si="113"/>
        <v>SPT Relationship</v>
      </c>
      <c r="BN188">
        <f t="shared" si="98"/>
        <v>101</v>
      </c>
      <c r="BO188" t="str">
        <f t="shared" si="114"/>
        <v>Wolff, 1989</v>
      </c>
      <c r="BP188">
        <f t="shared" si="99"/>
        <v>27</v>
      </c>
      <c r="BQ188" t="str">
        <f t="shared" si="115"/>
        <v/>
      </c>
      <c r="BR188" t="str">
        <f t="shared" si="134"/>
        <v/>
      </c>
      <c r="BS188" t="str">
        <f t="shared" si="116"/>
        <v/>
      </c>
      <c r="BT188" t="str">
        <f t="shared" si="100"/>
        <v/>
      </c>
      <c r="BU188" t="str">
        <f t="shared" si="117"/>
        <v/>
      </c>
      <c r="BV188" t="str">
        <f t="shared" si="135"/>
        <v/>
      </c>
      <c r="BW188" t="str">
        <f t="shared" si="118"/>
        <v/>
      </c>
      <c r="BX188" t="str">
        <f t="shared" si="136"/>
        <v/>
      </c>
      <c r="BY188" t="str">
        <f t="shared" si="119"/>
        <v/>
      </c>
      <c r="BZ188" t="str">
        <f t="shared" si="137"/>
        <v/>
      </c>
      <c r="CA188" t="str">
        <f t="shared" si="120"/>
        <v/>
      </c>
      <c r="CB188" t="str">
        <f t="shared" si="101"/>
        <v/>
      </c>
      <c r="CC188" t="str">
        <f t="shared" si="121"/>
        <v/>
      </c>
      <c r="CD188" t="str">
        <f t="shared" si="102"/>
        <v/>
      </c>
      <c r="CE188" t="str">
        <f t="shared" si="122"/>
        <v>Bowles 5th edition</v>
      </c>
      <c r="CF188">
        <f t="shared" si="103"/>
        <v>115</v>
      </c>
      <c r="CG188" t="str">
        <f t="shared" si="123"/>
        <v/>
      </c>
      <c r="CH188" t="str">
        <f t="shared" si="104"/>
        <v/>
      </c>
      <c r="CI188" t="str">
        <f t="shared" si="124"/>
        <v/>
      </c>
      <c r="CJ188" t="str">
        <f t="shared" si="138"/>
        <v/>
      </c>
    </row>
    <row r="189" spans="2:88" x14ac:dyDescent="0.3">
      <c r="B189" t="str">
        <f t="shared" si="126"/>
        <v>36.8311-76.1201</v>
      </c>
      <c r="C189" t="s">
        <v>103</v>
      </c>
      <c r="D189">
        <v>36.831099999999999</v>
      </c>
      <c r="E189">
        <v>-76.120099999999994</v>
      </c>
      <c r="F189">
        <v>8</v>
      </c>
      <c r="G189" t="str">
        <f t="shared" si="127"/>
        <v>-3-1036.8311-76.1201</v>
      </c>
      <c r="H189">
        <v>-3</v>
      </c>
      <c r="I189">
        <v>-10</v>
      </c>
      <c r="J189" t="s">
        <v>21</v>
      </c>
      <c r="L189" t="s">
        <v>16</v>
      </c>
      <c r="M189">
        <v>22</v>
      </c>
      <c r="Q189" s="1" t="str">
        <f t="shared" si="129"/>
        <v/>
      </c>
      <c r="S189" t="str">
        <f t="shared" si="139"/>
        <v>Sand</v>
      </c>
      <c r="T189">
        <f t="shared" si="130"/>
        <v>1</v>
      </c>
      <c r="AA189">
        <v>80</v>
      </c>
      <c r="AB189" s="1">
        <f t="shared" si="131"/>
        <v>29</v>
      </c>
      <c r="AC189">
        <f t="shared" si="132"/>
        <v>29</v>
      </c>
      <c r="AD189" t="str">
        <f t="shared" si="133"/>
        <v/>
      </c>
      <c r="AG189" s="21" t="str">
        <f t="shared" si="106"/>
        <v/>
      </c>
      <c r="AI189" s="6" t="str">
        <f t="shared" si="107"/>
        <v/>
      </c>
      <c r="AM189" s="7" t="str">
        <f t="shared" si="108"/>
        <v/>
      </c>
      <c r="AQ189" s="8" t="str">
        <f t="shared" si="109"/>
        <v/>
      </c>
      <c r="AW189" s="25" t="str">
        <f t="shared" si="110"/>
        <v/>
      </c>
      <c r="AZ189" s="12" t="str">
        <f t="shared" si="111"/>
        <v/>
      </c>
      <c r="BI189" s="17" t="str">
        <f t="shared" si="112"/>
        <v/>
      </c>
      <c r="BM189" t="str">
        <f t="shared" si="113"/>
        <v>SPT Relationship</v>
      </c>
      <c r="BN189">
        <f t="shared" si="98"/>
        <v>127</v>
      </c>
      <c r="BO189" t="str">
        <f t="shared" si="114"/>
        <v>Wolff, 1989</v>
      </c>
      <c r="BP189">
        <f t="shared" si="99"/>
        <v>35</v>
      </c>
      <c r="BQ189" t="str">
        <f t="shared" si="115"/>
        <v/>
      </c>
      <c r="BR189" t="str">
        <f t="shared" si="134"/>
        <v/>
      </c>
      <c r="BS189" t="str">
        <f t="shared" si="116"/>
        <v/>
      </c>
      <c r="BT189" t="str">
        <f t="shared" si="100"/>
        <v/>
      </c>
      <c r="BU189" t="str">
        <f t="shared" si="117"/>
        <v/>
      </c>
      <c r="BV189" t="str">
        <f t="shared" si="135"/>
        <v/>
      </c>
      <c r="BW189" t="str">
        <f t="shared" si="118"/>
        <v/>
      </c>
      <c r="BX189" t="str">
        <f t="shared" si="136"/>
        <v/>
      </c>
      <c r="BY189" t="str">
        <f t="shared" si="119"/>
        <v/>
      </c>
      <c r="BZ189" t="str">
        <f t="shared" si="137"/>
        <v/>
      </c>
      <c r="CA189" t="str">
        <f t="shared" si="120"/>
        <v/>
      </c>
      <c r="CB189" t="str">
        <f t="shared" si="101"/>
        <v/>
      </c>
      <c r="CC189" t="str">
        <f t="shared" si="121"/>
        <v/>
      </c>
      <c r="CD189" t="str">
        <f t="shared" si="102"/>
        <v/>
      </c>
      <c r="CE189" t="str">
        <f t="shared" si="122"/>
        <v>Bowles 5th edition</v>
      </c>
      <c r="CF189">
        <f t="shared" si="103"/>
        <v>282</v>
      </c>
      <c r="CG189" t="str">
        <f t="shared" si="123"/>
        <v/>
      </c>
      <c r="CH189" t="str">
        <f t="shared" si="104"/>
        <v/>
      </c>
      <c r="CI189" t="str">
        <f t="shared" si="124"/>
        <v/>
      </c>
      <c r="CJ189" t="str">
        <f t="shared" si="138"/>
        <v/>
      </c>
    </row>
    <row r="190" spans="2:88" x14ac:dyDescent="0.3">
      <c r="B190" t="str">
        <f t="shared" si="126"/>
        <v>36.8311-76.1201</v>
      </c>
      <c r="C190" t="s">
        <v>103</v>
      </c>
      <c r="D190">
        <v>36.831099999999999</v>
      </c>
      <c r="E190">
        <v>-76.120099999999994</v>
      </c>
      <c r="F190">
        <v>8</v>
      </c>
      <c r="G190" t="str">
        <f t="shared" si="127"/>
        <v>-10-1336.8311-76.1201</v>
      </c>
      <c r="H190">
        <v>-10</v>
      </c>
      <c r="I190">
        <v>-13</v>
      </c>
      <c r="J190" t="s">
        <v>21</v>
      </c>
      <c r="L190" t="s">
        <v>10</v>
      </c>
      <c r="M190">
        <v>13</v>
      </c>
      <c r="Q190" s="1" t="str">
        <f t="shared" si="129"/>
        <v/>
      </c>
      <c r="S190" t="str">
        <f t="shared" si="139"/>
        <v>Sand</v>
      </c>
      <c r="T190">
        <f t="shared" si="130"/>
        <v>1</v>
      </c>
      <c r="AA190">
        <v>80</v>
      </c>
      <c r="AB190" s="1">
        <f t="shared" si="131"/>
        <v>17</v>
      </c>
      <c r="AC190">
        <f t="shared" si="132"/>
        <v>16</v>
      </c>
      <c r="AD190" t="str">
        <f t="shared" si="133"/>
        <v/>
      </c>
      <c r="AG190" s="21" t="str">
        <f t="shared" si="106"/>
        <v/>
      </c>
      <c r="AI190" s="6" t="str">
        <f t="shared" si="107"/>
        <v/>
      </c>
      <c r="AM190" s="7" t="str">
        <f t="shared" si="108"/>
        <v/>
      </c>
      <c r="AQ190" s="8" t="str">
        <f t="shared" si="109"/>
        <v/>
      </c>
      <c r="AW190" s="25" t="str">
        <f t="shared" si="110"/>
        <v/>
      </c>
      <c r="AZ190" s="12" t="str">
        <f t="shared" si="111"/>
        <v/>
      </c>
      <c r="BI190" s="17" t="str">
        <f t="shared" si="112"/>
        <v/>
      </c>
      <c r="BM190" t="str">
        <f t="shared" si="113"/>
        <v>SPT Relationship</v>
      </c>
      <c r="BN190">
        <f t="shared" si="98"/>
        <v>121</v>
      </c>
      <c r="BO190" t="str">
        <f t="shared" si="114"/>
        <v>Wolff, 1989</v>
      </c>
      <c r="BP190">
        <f t="shared" si="99"/>
        <v>31</v>
      </c>
      <c r="BQ190" t="str">
        <f t="shared" si="115"/>
        <v/>
      </c>
      <c r="BR190" t="str">
        <f t="shared" si="134"/>
        <v/>
      </c>
      <c r="BS190" t="str">
        <f t="shared" si="116"/>
        <v/>
      </c>
      <c r="BT190" t="str">
        <f t="shared" si="100"/>
        <v/>
      </c>
      <c r="BU190" t="str">
        <f t="shared" si="117"/>
        <v/>
      </c>
      <c r="BV190" t="str">
        <f t="shared" si="135"/>
        <v/>
      </c>
      <c r="BW190" t="str">
        <f t="shared" si="118"/>
        <v/>
      </c>
      <c r="BX190" t="str">
        <f t="shared" si="136"/>
        <v/>
      </c>
      <c r="BY190" t="str">
        <f t="shared" si="119"/>
        <v/>
      </c>
      <c r="BZ190" t="str">
        <f t="shared" si="137"/>
        <v/>
      </c>
      <c r="CA190" t="str">
        <f t="shared" si="120"/>
        <v/>
      </c>
      <c r="CB190" t="str">
        <f t="shared" si="101"/>
        <v/>
      </c>
      <c r="CC190" t="str">
        <f t="shared" si="121"/>
        <v/>
      </c>
      <c r="CD190" t="str">
        <f t="shared" si="102"/>
        <v/>
      </c>
      <c r="CE190" t="str">
        <f t="shared" si="122"/>
        <v>Bowles 5th edition</v>
      </c>
      <c r="CF190">
        <f t="shared" si="103"/>
        <v>205</v>
      </c>
      <c r="CG190" t="str">
        <f t="shared" si="123"/>
        <v/>
      </c>
      <c r="CH190" t="str">
        <f t="shared" si="104"/>
        <v/>
      </c>
      <c r="CI190" t="str">
        <f t="shared" si="124"/>
        <v/>
      </c>
      <c r="CJ190" t="str">
        <f t="shared" si="138"/>
        <v/>
      </c>
    </row>
    <row r="191" spans="2:88" x14ac:dyDescent="0.3">
      <c r="B191" t="str">
        <f t="shared" si="126"/>
        <v>36.8311-76.1201</v>
      </c>
      <c r="C191" t="s">
        <v>103</v>
      </c>
      <c r="D191">
        <v>36.831099999999999</v>
      </c>
      <c r="E191">
        <v>-76.120099999999994</v>
      </c>
      <c r="F191">
        <v>8</v>
      </c>
      <c r="G191" t="str">
        <f t="shared" si="127"/>
        <v>-13-1836.8311-76.1201</v>
      </c>
      <c r="H191">
        <v>-13</v>
      </c>
      <c r="I191">
        <v>-18</v>
      </c>
      <c r="J191" t="s">
        <v>21</v>
      </c>
      <c r="L191" t="s">
        <v>16</v>
      </c>
      <c r="M191">
        <v>14</v>
      </c>
      <c r="Q191" s="1" t="str">
        <f t="shared" si="129"/>
        <v/>
      </c>
      <c r="S191" t="str">
        <f t="shared" si="139"/>
        <v>Sand</v>
      </c>
      <c r="T191">
        <f t="shared" si="130"/>
        <v>1</v>
      </c>
      <c r="AA191">
        <v>80</v>
      </c>
      <c r="AB191" s="1">
        <f t="shared" si="131"/>
        <v>19</v>
      </c>
      <c r="AC191">
        <f t="shared" si="132"/>
        <v>16</v>
      </c>
      <c r="AD191" t="str">
        <f t="shared" si="133"/>
        <v/>
      </c>
      <c r="AG191" s="21" t="str">
        <f t="shared" si="106"/>
        <v/>
      </c>
      <c r="AI191" s="6" t="str">
        <f t="shared" si="107"/>
        <v/>
      </c>
      <c r="AM191" s="7" t="str">
        <f t="shared" si="108"/>
        <v/>
      </c>
      <c r="AQ191" s="8" t="str">
        <f t="shared" si="109"/>
        <v/>
      </c>
      <c r="AW191" s="25" t="str">
        <f t="shared" si="110"/>
        <v/>
      </c>
      <c r="AZ191" s="12" t="str">
        <f t="shared" si="111"/>
        <v/>
      </c>
      <c r="BI191" s="17" t="str">
        <f t="shared" si="112"/>
        <v/>
      </c>
      <c r="BM191" t="str">
        <f t="shared" si="113"/>
        <v>SPT Relationship</v>
      </c>
      <c r="BN191">
        <f t="shared" si="98"/>
        <v>122</v>
      </c>
      <c r="BO191" t="str">
        <f t="shared" si="114"/>
        <v>Wolff, 1989</v>
      </c>
      <c r="BP191">
        <f t="shared" si="99"/>
        <v>31</v>
      </c>
      <c r="BQ191" t="str">
        <f t="shared" si="115"/>
        <v/>
      </c>
      <c r="BR191" t="str">
        <f t="shared" si="134"/>
        <v/>
      </c>
      <c r="BS191" t="str">
        <f t="shared" si="116"/>
        <v/>
      </c>
      <c r="BT191" t="str">
        <f t="shared" si="100"/>
        <v/>
      </c>
      <c r="BU191" t="str">
        <f t="shared" si="117"/>
        <v/>
      </c>
      <c r="BV191" t="str">
        <f t="shared" si="135"/>
        <v/>
      </c>
      <c r="BW191" t="str">
        <f t="shared" si="118"/>
        <v/>
      </c>
      <c r="BX191" t="str">
        <f t="shared" si="136"/>
        <v/>
      </c>
      <c r="BY191" t="str">
        <f t="shared" si="119"/>
        <v/>
      </c>
      <c r="BZ191" t="str">
        <f t="shared" si="137"/>
        <v/>
      </c>
      <c r="CA191" t="str">
        <f t="shared" si="120"/>
        <v/>
      </c>
      <c r="CB191" t="str">
        <f t="shared" si="101"/>
        <v/>
      </c>
      <c r="CC191" t="str">
        <f t="shared" si="121"/>
        <v/>
      </c>
      <c r="CD191" t="str">
        <f t="shared" si="102"/>
        <v/>
      </c>
      <c r="CE191" t="str">
        <f t="shared" si="122"/>
        <v>Bowles 5th edition</v>
      </c>
      <c r="CF191">
        <f t="shared" si="103"/>
        <v>218</v>
      </c>
      <c r="CG191" t="str">
        <f t="shared" si="123"/>
        <v/>
      </c>
      <c r="CH191" t="str">
        <f t="shared" si="104"/>
        <v/>
      </c>
      <c r="CI191" t="str">
        <f t="shared" si="124"/>
        <v/>
      </c>
      <c r="CJ191" t="str">
        <f t="shared" si="138"/>
        <v/>
      </c>
    </row>
    <row r="192" spans="2:88" x14ac:dyDescent="0.3">
      <c r="B192" t="str">
        <f t="shared" si="126"/>
        <v>36.8311-76.1201</v>
      </c>
      <c r="C192" t="s">
        <v>103</v>
      </c>
      <c r="D192">
        <v>36.831099999999999</v>
      </c>
      <c r="E192">
        <v>-76.120099999999994</v>
      </c>
      <c r="F192">
        <v>8</v>
      </c>
      <c r="G192" t="str">
        <f t="shared" si="127"/>
        <v>-18-2236.8311-76.1201</v>
      </c>
      <c r="H192">
        <v>-18</v>
      </c>
      <c r="I192">
        <v>-22</v>
      </c>
      <c r="J192" t="s">
        <v>21</v>
      </c>
      <c r="L192" t="s">
        <v>8</v>
      </c>
      <c r="M192">
        <v>3</v>
      </c>
      <c r="Q192" s="1" t="str">
        <f t="shared" si="129"/>
        <v/>
      </c>
      <c r="S192" t="str">
        <f t="shared" si="139"/>
        <v>Sand</v>
      </c>
      <c r="T192">
        <f t="shared" si="130"/>
        <v>1</v>
      </c>
      <c r="AA192">
        <v>80</v>
      </c>
      <c r="AB192" s="1">
        <f t="shared" si="131"/>
        <v>4</v>
      </c>
      <c r="AC192">
        <f t="shared" si="132"/>
        <v>3</v>
      </c>
      <c r="AD192" t="str">
        <f t="shared" si="133"/>
        <v/>
      </c>
      <c r="AG192" s="21" t="str">
        <f t="shared" si="106"/>
        <v/>
      </c>
      <c r="AI192" s="6" t="str">
        <f t="shared" si="107"/>
        <v/>
      </c>
      <c r="AM192" s="7" t="str">
        <f t="shared" si="108"/>
        <v/>
      </c>
      <c r="AQ192" s="8" t="str">
        <f t="shared" si="109"/>
        <v/>
      </c>
      <c r="AW192" s="25" t="str">
        <f t="shared" si="110"/>
        <v/>
      </c>
      <c r="AZ192" s="12" t="str">
        <f t="shared" si="111"/>
        <v/>
      </c>
      <c r="BI192" s="17" t="str">
        <f t="shared" si="112"/>
        <v/>
      </c>
      <c r="BM192" t="str">
        <f t="shared" si="113"/>
        <v>SPT Relationship</v>
      </c>
      <c r="BN192">
        <f t="shared" ref="BN192:BN255" si="140">IFERROR(IF(M192=0,95,ROUND(95*M192^0.095,0)),"")</f>
        <v>105</v>
      </c>
      <c r="BO192" t="str">
        <f t="shared" si="114"/>
        <v>Wolff, 1989</v>
      </c>
      <c r="BP192">
        <f t="shared" ref="BP192:BP255" si="141">ROUNDDOWN(27.1+0.3*AC192-0.00054*AC192^2,0)</f>
        <v>27</v>
      </c>
      <c r="BQ192" t="str">
        <f t="shared" si="115"/>
        <v/>
      </c>
      <c r="BR192" t="str">
        <f t="shared" si="134"/>
        <v/>
      </c>
      <c r="BS192" t="str">
        <f t="shared" si="116"/>
        <v/>
      </c>
      <c r="BT192" t="str">
        <f t="shared" ref="BT192:BT255" si="142">IF(S192="Clay",ROUND((3.5*AB192)*20.885434273039,0),"")</f>
        <v/>
      </c>
      <c r="BU192" t="str">
        <f t="shared" si="117"/>
        <v/>
      </c>
      <c r="BV192" t="str">
        <f t="shared" si="135"/>
        <v/>
      </c>
      <c r="BW192" t="str">
        <f t="shared" si="118"/>
        <v/>
      </c>
      <c r="BX192" t="str">
        <f t="shared" si="136"/>
        <v/>
      </c>
      <c r="BY192" t="str">
        <f t="shared" si="119"/>
        <v/>
      </c>
      <c r="BZ192" t="str">
        <f t="shared" si="137"/>
        <v/>
      </c>
      <c r="CA192" t="str">
        <f t="shared" si="120"/>
        <v/>
      </c>
      <c r="CB192" t="str">
        <f t="shared" ref="CB192:CB255" si="143">IF(P192="","",-0.0000000002*P192^5+0.00000009*P192^4-0.00002*P192^3+0.0019*P192^2-0.0999*P192+2.2178)</f>
        <v/>
      </c>
      <c r="CC192" t="str">
        <f t="shared" si="121"/>
        <v/>
      </c>
      <c r="CD192" t="str">
        <f t="shared" ref="CD192:CD255" si="144">IF(AD192="","",(10^(1.11-1.62*AD192)*100)*20.885434273039)</f>
        <v/>
      </c>
      <c r="CE192" t="str">
        <f t="shared" si="122"/>
        <v>Bowles 5th edition</v>
      </c>
      <c r="CF192">
        <f t="shared" ref="CF192:CF255" si="145">IF(S192="Clay","",IF(AB192="","",ROUND((AB192+15)*6.4,0)))</f>
        <v>122</v>
      </c>
      <c r="CG192" t="str">
        <f t="shared" si="123"/>
        <v/>
      </c>
      <c r="CH192" t="str">
        <f t="shared" ref="CH192:CH255" si="146">IF(N192="","",ROUND(N192/100*2.67,2))</f>
        <v/>
      </c>
      <c r="CI192" t="str">
        <f t="shared" si="124"/>
        <v/>
      </c>
      <c r="CJ192" t="str">
        <f t="shared" si="138"/>
        <v/>
      </c>
    </row>
    <row r="193" spans="2:88" x14ac:dyDescent="0.3">
      <c r="B193" t="str">
        <f t="shared" si="126"/>
        <v>36.8282-76.1281</v>
      </c>
      <c r="C193" t="s">
        <v>104</v>
      </c>
      <c r="D193">
        <v>36.828200000000002</v>
      </c>
      <c r="E193">
        <v>-76.128100000000003</v>
      </c>
      <c r="F193">
        <v>5</v>
      </c>
      <c r="G193" t="str">
        <f t="shared" si="127"/>
        <v>54.736.8282-76.1281</v>
      </c>
      <c r="H193">
        <v>5</v>
      </c>
      <c r="I193">
        <v>4.7</v>
      </c>
      <c r="J193" t="s">
        <v>21</v>
      </c>
      <c r="L193" t="s">
        <v>8</v>
      </c>
      <c r="M193">
        <v>5</v>
      </c>
      <c r="N193">
        <v>15</v>
      </c>
      <c r="O193">
        <v>15</v>
      </c>
      <c r="P193">
        <v>25</v>
      </c>
      <c r="Q193" s="1">
        <f t="shared" si="129"/>
        <v>10</v>
      </c>
      <c r="R193">
        <v>26</v>
      </c>
      <c r="S193" t="str">
        <f t="shared" si="139"/>
        <v>Sand</v>
      </c>
      <c r="T193">
        <f t="shared" si="130"/>
        <v>2</v>
      </c>
      <c r="AA193">
        <v>80</v>
      </c>
      <c r="AB193" s="1">
        <f t="shared" si="131"/>
        <v>7</v>
      </c>
      <c r="AC193">
        <f t="shared" si="132"/>
        <v>55</v>
      </c>
      <c r="AD193">
        <f t="shared" si="133"/>
        <v>0</v>
      </c>
      <c r="AG193" s="21" t="str">
        <f t="shared" si="106"/>
        <v/>
      </c>
      <c r="AI193" s="6" t="str">
        <f t="shared" si="107"/>
        <v/>
      </c>
      <c r="AM193" s="7" t="str">
        <f t="shared" si="108"/>
        <v/>
      </c>
      <c r="AQ193" s="8" t="str">
        <f t="shared" si="109"/>
        <v/>
      </c>
      <c r="AW193" s="25" t="str">
        <f t="shared" si="110"/>
        <v/>
      </c>
      <c r="AZ193" s="12" t="str">
        <f t="shared" si="111"/>
        <v/>
      </c>
      <c r="BI193" s="17" t="str">
        <f t="shared" si="112"/>
        <v/>
      </c>
      <c r="BM193" t="str">
        <f t="shared" si="113"/>
        <v>SPT Relationship</v>
      </c>
      <c r="BN193">
        <f t="shared" si="140"/>
        <v>111</v>
      </c>
      <c r="BO193" t="str">
        <f t="shared" si="114"/>
        <v>Wolff, 1989</v>
      </c>
      <c r="BP193">
        <f t="shared" si="141"/>
        <v>41</v>
      </c>
      <c r="BQ193" t="str">
        <f t="shared" si="115"/>
        <v>GTENG-2476</v>
      </c>
      <c r="BR193">
        <f t="shared" si="134"/>
        <v>24</v>
      </c>
      <c r="BS193" t="str">
        <f t="shared" si="116"/>
        <v/>
      </c>
      <c r="BT193" t="str">
        <f t="shared" si="142"/>
        <v/>
      </c>
      <c r="BU193" t="str">
        <f t="shared" si="117"/>
        <v>Kulhawy and Mayne 1990</v>
      </c>
      <c r="BV193">
        <f t="shared" si="135"/>
        <v>0.13500000000000001</v>
      </c>
      <c r="BW193" t="str">
        <f t="shared" si="118"/>
        <v>Kulhawy and Mayne 1990</v>
      </c>
      <c r="BX193">
        <f t="shared" si="136"/>
        <v>2.7E-2</v>
      </c>
      <c r="BY193" t="str">
        <f t="shared" si="119"/>
        <v>Mesri 1990</v>
      </c>
      <c r="BZ193">
        <f t="shared" si="137"/>
        <v>4.1000000000000003E-3</v>
      </c>
      <c r="CA193" t="str">
        <f t="shared" si="120"/>
        <v>NAVFAC Vol. 7.1 Figure 4</v>
      </c>
      <c r="CB193">
        <f t="shared" si="143"/>
        <v>0.62850312499999994</v>
      </c>
      <c r="CC193" t="str">
        <f t="shared" si="121"/>
        <v>Stas and Kulhawy 1984</v>
      </c>
      <c r="CD193">
        <f t="shared" si="144"/>
        <v>26905.651339158921</v>
      </c>
      <c r="CE193" t="str">
        <f t="shared" si="122"/>
        <v>Bowles 5th edition</v>
      </c>
      <c r="CF193">
        <f t="shared" si="145"/>
        <v>141</v>
      </c>
      <c r="CG193" t="str">
        <f t="shared" si="123"/>
        <v>Relationship (Gs=2.67)</v>
      </c>
      <c r="CH193">
        <f t="shared" si="146"/>
        <v>0.4</v>
      </c>
      <c r="CI193" t="str">
        <f t="shared" si="124"/>
        <v/>
      </c>
      <c r="CJ193" t="str">
        <f t="shared" si="138"/>
        <v/>
      </c>
    </row>
    <row r="194" spans="2:88" x14ac:dyDescent="0.3">
      <c r="B194" t="str">
        <f t="shared" si="126"/>
        <v>36.8282-76.1281</v>
      </c>
      <c r="C194" t="s">
        <v>104</v>
      </c>
      <c r="D194">
        <v>36.828200000000002</v>
      </c>
      <c r="E194">
        <v>-76.128100000000003</v>
      </c>
      <c r="F194">
        <v>5</v>
      </c>
      <c r="G194" t="str">
        <f t="shared" si="127"/>
        <v>4.7336.8282-76.1281</v>
      </c>
      <c r="H194">
        <v>4.7</v>
      </c>
      <c r="I194">
        <v>3</v>
      </c>
      <c r="J194" t="s">
        <v>21</v>
      </c>
      <c r="L194" t="s">
        <v>17</v>
      </c>
      <c r="M194">
        <v>5</v>
      </c>
      <c r="N194">
        <v>15</v>
      </c>
      <c r="O194">
        <v>15</v>
      </c>
      <c r="P194">
        <v>25</v>
      </c>
      <c r="Q194" s="1">
        <f t="shared" si="129"/>
        <v>10</v>
      </c>
      <c r="R194">
        <v>26</v>
      </c>
      <c r="S194" t="str">
        <f t="shared" si="139"/>
        <v>Sand</v>
      </c>
      <c r="T194">
        <f t="shared" si="130"/>
        <v>2</v>
      </c>
      <c r="AA194">
        <v>80</v>
      </c>
      <c r="AB194" s="1">
        <f t="shared" si="131"/>
        <v>7</v>
      </c>
      <c r="AC194">
        <f t="shared" si="132"/>
        <v>21</v>
      </c>
      <c r="AD194">
        <f t="shared" si="133"/>
        <v>0</v>
      </c>
      <c r="AG194" s="21" t="str">
        <f t="shared" si="106"/>
        <v/>
      </c>
      <c r="AI194" s="6" t="str">
        <f t="shared" si="107"/>
        <v/>
      </c>
      <c r="AM194" s="7" t="str">
        <f t="shared" si="108"/>
        <v/>
      </c>
      <c r="AQ194" s="8" t="str">
        <f t="shared" si="109"/>
        <v/>
      </c>
      <c r="AW194" s="25" t="str">
        <f t="shared" si="110"/>
        <v/>
      </c>
      <c r="AZ194" s="12" t="str">
        <f t="shared" si="111"/>
        <v/>
      </c>
      <c r="BI194" s="17" t="str">
        <f t="shared" si="112"/>
        <v/>
      </c>
      <c r="BM194" t="str">
        <f t="shared" si="113"/>
        <v>SPT Relationship</v>
      </c>
      <c r="BN194">
        <f t="shared" si="140"/>
        <v>111</v>
      </c>
      <c r="BO194" t="str">
        <f t="shared" si="114"/>
        <v>Wolff, 1989</v>
      </c>
      <c r="BP194">
        <f t="shared" si="141"/>
        <v>33</v>
      </c>
      <c r="BQ194" t="str">
        <f t="shared" si="115"/>
        <v>GTENG-2476</v>
      </c>
      <c r="BR194">
        <f t="shared" si="134"/>
        <v>24</v>
      </c>
      <c r="BS194" t="str">
        <f t="shared" si="116"/>
        <v/>
      </c>
      <c r="BT194" t="str">
        <f t="shared" si="142"/>
        <v/>
      </c>
      <c r="BU194" t="str">
        <f t="shared" si="117"/>
        <v>Kulhawy and Mayne 1990</v>
      </c>
      <c r="BV194">
        <f t="shared" si="135"/>
        <v>0.13500000000000001</v>
      </c>
      <c r="BW194" t="str">
        <f t="shared" si="118"/>
        <v>Kulhawy and Mayne 1990</v>
      </c>
      <c r="BX194">
        <f t="shared" si="136"/>
        <v>2.7E-2</v>
      </c>
      <c r="BY194" t="str">
        <f t="shared" si="119"/>
        <v>Mesri 1990</v>
      </c>
      <c r="BZ194">
        <f t="shared" si="137"/>
        <v>4.1000000000000003E-3</v>
      </c>
      <c r="CA194" t="str">
        <f t="shared" si="120"/>
        <v>NAVFAC Vol. 7.1 Figure 4</v>
      </c>
      <c r="CB194">
        <f t="shared" si="143"/>
        <v>0.62850312499999994</v>
      </c>
      <c r="CC194" t="str">
        <f t="shared" si="121"/>
        <v>Stas and Kulhawy 1984</v>
      </c>
      <c r="CD194">
        <f t="shared" si="144"/>
        <v>26905.651339158921</v>
      </c>
      <c r="CE194" t="str">
        <f t="shared" si="122"/>
        <v>Bowles 5th edition</v>
      </c>
      <c r="CF194">
        <f t="shared" si="145"/>
        <v>141</v>
      </c>
      <c r="CG194" t="str">
        <f t="shared" si="123"/>
        <v>Relationship (Gs=2.67)</v>
      </c>
      <c r="CH194">
        <f t="shared" si="146"/>
        <v>0.4</v>
      </c>
      <c r="CI194" t="str">
        <f t="shared" si="124"/>
        <v/>
      </c>
      <c r="CJ194" t="str">
        <f t="shared" si="138"/>
        <v/>
      </c>
    </row>
    <row r="195" spans="2:88" x14ac:dyDescent="0.3">
      <c r="B195" t="str">
        <f t="shared" si="126"/>
        <v>36.8282-76.1281</v>
      </c>
      <c r="C195" t="s">
        <v>104</v>
      </c>
      <c r="D195">
        <v>36.828200000000002</v>
      </c>
      <c r="E195">
        <v>-76.128100000000003</v>
      </c>
      <c r="F195">
        <v>5</v>
      </c>
      <c r="G195" t="str">
        <f t="shared" si="127"/>
        <v>3036.8282-76.1281</v>
      </c>
      <c r="H195">
        <v>3</v>
      </c>
      <c r="I195">
        <v>0</v>
      </c>
      <c r="J195" t="s">
        <v>21</v>
      </c>
      <c r="L195" t="s">
        <v>8</v>
      </c>
      <c r="M195">
        <v>7</v>
      </c>
      <c r="Q195" s="1" t="str">
        <f t="shared" si="129"/>
        <v/>
      </c>
      <c r="S195" t="str">
        <f t="shared" si="139"/>
        <v>Sand</v>
      </c>
      <c r="T195">
        <f t="shared" si="130"/>
        <v>1</v>
      </c>
      <c r="AA195">
        <v>80</v>
      </c>
      <c r="AB195" s="1">
        <f t="shared" si="131"/>
        <v>9</v>
      </c>
      <c r="AC195">
        <f t="shared" si="132"/>
        <v>17</v>
      </c>
      <c r="AD195" t="str">
        <f t="shared" si="133"/>
        <v/>
      </c>
      <c r="AG195" s="21" t="str">
        <f t="shared" ref="AG195:AG258" si="147">IF(AH195="","","Pocket Pentrometer")</f>
        <v/>
      </c>
      <c r="AI195" s="6" t="str">
        <f t="shared" ref="AI195:AI258" si="148">IF(AJ195="","","Unconfined Compression")</f>
        <v/>
      </c>
      <c r="AM195" s="7" t="str">
        <f t="shared" ref="AM195:AM258" si="149">IF(AN195="","","Undrained Unconsolidated Triaxial")</f>
        <v/>
      </c>
      <c r="AQ195" s="8" t="str">
        <f t="shared" ref="AQ195:AQ258" si="150">IF(AR195="","","Consolidated Undrained Triaxial")</f>
        <v/>
      </c>
      <c r="AW195" s="25" t="str">
        <f t="shared" ref="AW195:AW258" si="151">IF(AX195="","","Direct Shear")</f>
        <v/>
      </c>
      <c r="AZ195" s="12" t="str">
        <f t="shared" ref="AZ195:AZ258" si="152">IF(BA195="","","Consolidation Test")</f>
        <v/>
      </c>
      <c r="BI195" s="17" t="str">
        <f t="shared" ref="BI195:BI258" si="153">IF(BJ195="","","Permeability Test")</f>
        <v/>
      </c>
      <c r="BM195" t="str">
        <f t="shared" ref="BM195:BM258" si="154">IF(BN195="","","SPT Relationship")</f>
        <v>SPT Relationship</v>
      </c>
      <c r="BN195">
        <f t="shared" si="140"/>
        <v>114</v>
      </c>
      <c r="BO195" t="str">
        <f t="shared" ref="BO195:BO258" si="155">IF(BP195="","","Wolff, 1989")</f>
        <v>Wolff, 1989</v>
      </c>
      <c r="BP195">
        <f t="shared" si="141"/>
        <v>32</v>
      </c>
      <c r="BQ195" t="str">
        <f t="shared" ref="BQ195:BQ258" si="156">IF(BR195="","","GTENG-2476")</f>
        <v/>
      </c>
      <c r="BR195" t="str">
        <f t="shared" si="134"/>
        <v/>
      </c>
      <c r="BS195" t="str">
        <f t="shared" ref="BS195:BS258" si="157">IF(BT195="","", "Stroud 1974 (K=3.5)")</f>
        <v/>
      </c>
      <c r="BT195" t="str">
        <f t="shared" si="142"/>
        <v/>
      </c>
      <c r="BU195" t="str">
        <f t="shared" ref="BU195:BU258" si="158">IF(BV195="","","Kulhawy and Mayne 1990")</f>
        <v/>
      </c>
      <c r="BV195" t="str">
        <f t="shared" si="135"/>
        <v/>
      </c>
      <c r="BW195" t="str">
        <f t="shared" ref="BW195:BW258" si="159">IF(BX195="","","Kulhawy and Mayne 1990")</f>
        <v/>
      </c>
      <c r="BX195" t="str">
        <f t="shared" si="136"/>
        <v/>
      </c>
      <c r="BY195" t="str">
        <f t="shared" ref="BY195:BY258" si="160">IF(BZ195="","","Mesri 1990")</f>
        <v/>
      </c>
      <c r="BZ195" t="str">
        <f t="shared" si="137"/>
        <v/>
      </c>
      <c r="CA195" t="str">
        <f t="shared" ref="CA195:CA258" si="161">IF(CB195="","","NAVFAC Vol. 7.1 Figure 4")</f>
        <v/>
      </c>
      <c r="CB195" t="str">
        <f t="shared" si="143"/>
        <v/>
      </c>
      <c r="CC195" t="str">
        <f t="shared" ref="CC195:CC258" si="162">IF(CD195="","","Stas and Kulhawy 1984")</f>
        <v/>
      </c>
      <c r="CD195" t="str">
        <f t="shared" si="144"/>
        <v/>
      </c>
      <c r="CE195" t="str">
        <f t="shared" ref="CE195:CE258" si="163">IF(CF195="","","Bowles 5th edition")</f>
        <v>Bowles 5th edition</v>
      </c>
      <c r="CF195">
        <f t="shared" si="145"/>
        <v>154</v>
      </c>
      <c r="CG195" t="str">
        <f t="shared" ref="CG195:CG258" si="164">IF(CH195="","","Relationship (Gs=2.67)")</f>
        <v/>
      </c>
      <c r="CH195" t="str">
        <f t="shared" si="146"/>
        <v/>
      </c>
      <c r="CI195" t="str">
        <f t="shared" ref="CI195:CI258" si="165">IF(CJ195="","","Hazen, 1911 (c=1.5)")</f>
        <v/>
      </c>
      <c r="CJ195" t="str">
        <f t="shared" si="138"/>
        <v/>
      </c>
    </row>
    <row r="196" spans="2:88" x14ac:dyDescent="0.3">
      <c r="B196" t="str">
        <f t="shared" si="126"/>
        <v>36.8282-76.1281</v>
      </c>
      <c r="C196" t="s">
        <v>104</v>
      </c>
      <c r="D196">
        <v>36.828200000000002</v>
      </c>
      <c r="E196">
        <v>-76.128100000000003</v>
      </c>
      <c r="F196">
        <v>5</v>
      </c>
      <c r="G196" t="str">
        <f t="shared" si="127"/>
        <v>0-136.8282-76.1281</v>
      </c>
      <c r="H196">
        <v>0</v>
      </c>
      <c r="I196">
        <v>-1</v>
      </c>
      <c r="J196" t="s">
        <v>21</v>
      </c>
      <c r="L196" t="s">
        <v>17</v>
      </c>
      <c r="M196">
        <v>8</v>
      </c>
      <c r="Q196" s="1" t="str">
        <f t="shared" si="129"/>
        <v/>
      </c>
      <c r="S196" t="str">
        <f t="shared" si="139"/>
        <v>Sand</v>
      </c>
      <c r="T196">
        <f t="shared" si="130"/>
        <v>1</v>
      </c>
      <c r="AA196">
        <v>80</v>
      </c>
      <c r="AB196" s="1">
        <f t="shared" si="131"/>
        <v>11</v>
      </c>
      <c r="AC196">
        <f t="shared" si="132"/>
        <v>19</v>
      </c>
      <c r="AD196" t="str">
        <f t="shared" si="133"/>
        <v/>
      </c>
      <c r="AG196" s="21" t="str">
        <f t="shared" si="147"/>
        <v/>
      </c>
      <c r="AI196" s="6" t="str">
        <f t="shared" si="148"/>
        <v/>
      </c>
      <c r="AM196" s="7" t="str">
        <f t="shared" si="149"/>
        <v/>
      </c>
      <c r="AQ196" s="8" t="str">
        <f t="shared" si="150"/>
        <v/>
      </c>
      <c r="AW196" s="25" t="str">
        <f t="shared" si="151"/>
        <v/>
      </c>
      <c r="AZ196" s="12" t="str">
        <f t="shared" si="152"/>
        <v/>
      </c>
      <c r="BI196" s="17" t="str">
        <f t="shared" si="153"/>
        <v/>
      </c>
      <c r="BM196" t="str">
        <f t="shared" si="154"/>
        <v>SPT Relationship</v>
      </c>
      <c r="BN196">
        <f t="shared" si="140"/>
        <v>116</v>
      </c>
      <c r="BO196" t="str">
        <f t="shared" si="155"/>
        <v>Wolff, 1989</v>
      </c>
      <c r="BP196">
        <f t="shared" si="141"/>
        <v>32</v>
      </c>
      <c r="BQ196" t="str">
        <f t="shared" si="156"/>
        <v/>
      </c>
      <c r="BR196" t="str">
        <f t="shared" si="134"/>
        <v/>
      </c>
      <c r="BS196" t="str">
        <f t="shared" si="157"/>
        <v/>
      </c>
      <c r="BT196" t="str">
        <f t="shared" si="142"/>
        <v/>
      </c>
      <c r="BU196" t="str">
        <f t="shared" si="158"/>
        <v/>
      </c>
      <c r="BV196" t="str">
        <f t="shared" si="135"/>
        <v/>
      </c>
      <c r="BW196" t="str">
        <f t="shared" si="159"/>
        <v/>
      </c>
      <c r="BX196" t="str">
        <f t="shared" si="136"/>
        <v/>
      </c>
      <c r="BY196" t="str">
        <f t="shared" si="160"/>
        <v/>
      </c>
      <c r="BZ196" t="str">
        <f t="shared" si="137"/>
        <v/>
      </c>
      <c r="CA196" t="str">
        <f t="shared" si="161"/>
        <v/>
      </c>
      <c r="CB196" t="str">
        <f t="shared" si="143"/>
        <v/>
      </c>
      <c r="CC196" t="str">
        <f t="shared" si="162"/>
        <v/>
      </c>
      <c r="CD196" t="str">
        <f t="shared" si="144"/>
        <v/>
      </c>
      <c r="CE196" t="str">
        <f t="shared" si="163"/>
        <v>Bowles 5th edition</v>
      </c>
      <c r="CF196">
        <f t="shared" si="145"/>
        <v>166</v>
      </c>
      <c r="CG196" t="str">
        <f t="shared" si="164"/>
        <v/>
      </c>
      <c r="CH196" t="str">
        <f t="shared" si="146"/>
        <v/>
      </c>
      <c r="CI196" t="str">
        <f t="shared" si="165"/>
        <v/>
      </c>
      <c r="CJ196" t="str">
        <f t="shared" si="138"/>
        <v/>
      </c>
    </row>
    <row r="197" spans="2:88" x14ac:dyDescent="0.3">
      <c r="B197" t="str">
        <f t="shared" si="126"/>
        <v>36.8282-76.1281</v>
      </c>
      <c r="C197" t="s">
        <v>104</v>
      </c>
      <c r="D197">
        <v>36.828200000000002</v>
      </c>
      <c r="E197">
        <v>-76.128100000000003</v>
      </c>
      <c r="F197">
        <v>5</v>
      </c>
      <c r="G197" t="str">
        <f t="shared" si="127"/>
        <v>-1-336.8282-76.1281</v>
      </c>
      <c r="H197">
        <v>-1</v>
      </c>
      <c r="I197">
        <v>-3</v>
      </c>
      <c r="J197" t="s">
        <v>21</v>
      </c>
      <c r="L197" t="s">
        <v>113</v>
      </c>
      <c r="M197">
        <v>6</v>
      </c>
      <c r="Q197" s="1" t="str">
        <f t="shared" si="129"/>
        <v/>
      </c>
      <c r="S197" t="str">
        <f t="shared" si="139"/>
        <v>Clay</v>
      </c>
      <c r="T197">
        <f t="shared" si="130"/>
        <v>1</v>
      </c>
      <c r="AA197">
        <v>80</v>
      </c>
      <c r="AB197" s="1">
        <f t="shared" si="131"/>
        <v>8</v>
      </c>
      <c r="AC197">
        <f t="shared" si="132"/>
        <v>12</v>
      </c>
      <c r="AD197" t="str">
        <f t="shared" si="133"/>
        <v/>
      </c>
      <c r="AG197" s="21" t="str">
        <f t="shared" si="147"/>
        <v/>
      </c>
      <c r="AI197" s="6" t="str">
        <f t="shared" si="148"/>
        <v/>
      </c>
      <c r="AM197" s="7" t="str">
        <f t="shared" si="149"/>
        <v/>
      </c>
      <c r="AQ197" s="8" t="str">
        <f t="shared" si="150"/>
        <v/>
      </c>
      <c r="AW197" s="25" t="str">
        <f t="shared" si="151"/>
        <v/>
      </c>
      <c r="AZ197" s="12" t="str">
        <f t="shared" si="152"/>
        <v/>
      </c>
      <c r="BI197" s="17" t="str">
        <f t="shared" si="153"/>
        <v/>
      </c>
      <c r="BM197" t="str">
        <f t="shared" si="154"/>
        <v>SPT Relationship</v>
      </c>
      <c r="BN197">
        <f t="shared" si="140"/>
        <v>113</v>
      </c>
      <c r="BO197" t="str">
        <f t="shared" si="155"/>
        <v>Wolff, 1989</v>
      </c>
      <c r="BP197">
        <f t="shared" si="141"/>
        <v>30</v>
      </c>
      <c r="BQ197" t="str">
        <f t="shared" si="156"/>
        <v/>
      </c>
      <c r="BR197" t="str">
        <f t="shared" si="134"/>
        <v/>
      </c>
      <c r="BS197" t="str">
        <f t="shared" si="157"/>
        <v>Stroud 1974 (K=3.5)</v>
      </c>
      <c r="BT197">
        <f t="shared" si="142"/>
        <v>585</v>
      </c>
      <c r="BU197" t="str">
        <f t="shared" si="158"/>
        <v/>
      </c>
      <c r="BV197" t="str">
        <f t="shared" si="135"/>
        <v/>
      </c>
      <c r="BW197" t="str">
        <f t="shared" si="159"/>
        <v/>
      </c>
      <c r="BX197" t="str">
        <f t="shared" si="136"/>
        <v/>
      </c>
      <c r="BY197" t="str">
        <f t="shared" si="160"/>
        <v/>
      </c>
      <c r="BZ197" t="str">
        <f t="shared" si="137"/>
        <v/>
      </c>
      <c r="CA197" t="str">
        <f t="shared" si="161"/>
        <v/>
      </c>
      <c r="CB197" t="str">
        <f t="shared" si="143"/>
        <v/>
      </c>
      <c r="CC197" t="str">
        <f t="shared" si="162"/>
        <v/>
      </c>
      <c r="CD197" t="str">
        <f t="shared" si="144"/>
        <v/>
      </c>
      <c r="CE197" t="str">
        <f t="shared" si="163"/>
        <v/>
      </c>
      <c r="CF197" t="str">
        <f t="shared" si="145"/>
        <v/>
      </c>
      <c r="CG197" t="str">
        <f t="shared" si="164"/>
        <v/>
      </c>
      <c r="CH197" t="str">
        <f t="shared" si="146"/>
        <v/>
      </c>
      <c r="CI197" t="str">
        <f t="shared" si="165"/>
        <v/>
      </c>
      <c r="CJ197" t="str">
        <f t="shared" si="138"/>
        <v/>
      </c>
    </row>
    <row r="198" spans="2:88" x14ac:dyDescent="0.3">
      <c r="B198" t="str">
        <f t="shared" si="126"/>
        <v>36.8282-76.1281</v>
      </c>
      <c r="C198" t="s">
        <v>104</v>
      </c>
      <c r="D198">
        <v>36.828200000000002</v>
      </c>
      <c r="E198">
        <v>-76.128100000000003</v>
      </c>
      <c r="F198">
        <v>5</v>
      </c>
      <c r="G198" t="str">
        <f t="shared" si="127"/>
        <v>-3-536.8282-76.1281</v>
      </c>
      <c r="H198">
        <v>-3</v>
      </c>
      <c r="I198">
        <v>-5</v>
      </c>
      <c r="J198" t="s">
        <v>21</v>
      </c>
      <c r="L198" t="s">
        <v>11</v>
      </c>
      <c r="M198">
        <v>3</v>
      </c>
      <c r="Q198" s="1" t="str">
        <f t="shared" si="129"/>
        <v/>
      </c>
      <c r="S198" t="str">
        <f t="shared" si="139"/>
        <v>Clay</v>
      </c>
      <c r="T198">
        <f t="shared" si="130"/>
        <v>1</v>
      </c>
      <c r="AA198">
        <v>80</v>
      </c>
      <c r="AB198" s="1">
        <f t="shared" si="131"/>
        <v>4</v>
      </c>
      <c r="AC198">
        <f t="shared" si="132"/>
        <v>5</v>
      </c>
      <c r="AD198" t="str">
        <f t="shared" si="133"/>
        <v/>
      </c>
      <c r="AG198" s="21" t="str">
        <f t="shared" si="147"/>
        <v/>
      </c>
      <c r="AI198" s="6" t="str">
        <f t="shared" si="148"/>
        <v/>
      </c>
      <c r="AM198" s="7" t="str">
        <f t="shared" si="149"/>
        <v/>
      </c>
      <c r="AQ198" s="8" t="str">
        <f t="shared" si="150"/>
        <v/>
      </c>
      <c r="AW198" s="25" t="str">
        <f t="shared" si="151"/>
        <v/>
      </c>
      <c r="AZ198" s="12" t="str">
        <f t="shared" si="152"/>
        <v/>
      </c>
      <c r="BI198" s="17" t="str">
        <f t="shared" si="153"/>
        <v/>
      </c>
      <c r="BM198" t="str">
        <f t="shared" si="154"/>
        <v>SPT Relationship</v>
      </c>
      <c r="BN198">
        <f t="shared" si="140"/>
        <v>105</v>
      </c>
      <c r="BO198" t="str">
        <f t="shared" si="155"/>
        <v>Wolff, 1989</v>
      </c>
      <c r="BP198">
        <f t="shared" si="141"/>
        <v>28</v>
      </c>
      <c r="BQ198" t="str">
        <f t="shared" si="156"/>
        <v/>
      </c>
      <c r="BR198" t="str">
        <f t="shared" si="134"/>
        <v/>
      </c>
      <c r="BS198" t="str">
        <f t="shared" si="157"/>
        <v>Stroud 1974 (K=3.5)</v>
      </c>
      <c r="BT198">
        <f t="shared" si="142"/>
        <v>292</v>
      </c>
      <c r="BU198" t="str">
        <f t="shared" si="158"/>
        <v/>
      </c>
      <c r="BV198" t="str">
        <f t="shared" si="135"/>
        <v/>
      </c>
      <c r="BW198" t="str">
        <f t="shared" si="159"/>
        <v/>
      </c>
      <c r="BX198" t="str">
        <f t="shared" si="136"/>
        <v/>
      </c>
      <c r="BY198" t="str">
        <f t="shared" si="160"/>
        <v/>
      </c>
      <c r="BZ198" t="str">
        <f t="shared" si="137"/>
        <v/>
      </c>
      <c r="CA198" t="str">
        <f t="shared" si="161"/>
        <v/>
      </c>
      <c r="CB198" t="str">
        <f t="shared" si="143"/>
        <v/>
      </c>
      <c r="CC198" t="str">
        <f t="shared" si="162"/>
        <v/>
      </c>
      <c r="CD198" t="str">
        <f t="shared" si="144"/>
        <v/>
      </c>
      <c r="CE198" t="str">
        <f t="shared" si="163"/>
        <v/>
      </c>
      <c r="CF198" t="str">
        <f t="shared" si="145"/>
        <v/>
      </c>
      <c r="CG198" t="str">
        <f t="shared" si="164"/>
        <v/>
      </c>
      <c r="CH198" t="str">
        <f t="shared" si="146"/>
        <v/>
      </c>
      <c r="CI198" t="str">
        <f t="shared" si="165"/>
        <v/>
      </c>
      <c r="CJ198" t="str">
        <f t="shared" si="138"/>
        <v/>
      </c>
    </row>
    <row r="199" spans="2:88" x14ac:dyDescent="0.3">
      <c r="B199" t="str">
        <f t="shared" si="126"/>
        <v>36.8282-76.1281</v>
      </c>
      <c r="C199" t="s">
        <v>104</v>
      </c>
      <c r="D199">
        <v>36.828200000000002</v>
      </c>
      <c r="E199">
        <v>-76.128100000000003</v>
      </c>
      <c r="F199">
        <v>5</v>
      </c>
      <c r="G199" t="str">
        <f t="shared" si="127"/>
        <v>-5-1336.8282-76.1281</v>
      </c>
      <c r="H199">
        <v>-5</v>
      </c>
      <c r="I199">
        <v>-13</v>
      </c>
      <c r="J199" t="s">
        <v>21</v>
      </c>
      <c r="L199" t="s">
        <v>113</v>
      </c>
      <c r="M199">
        <v>2</v>
      </c>
      <c r="Q199" s="1" t="str">
        <f t="shared" si="129"/>
        <v/>
      </c>
      <c r="S199" t="str">
        <f t="shared" si="139"/>
        <v>Clay</v>
      </c>
      <c r="T199">
        <f t="shared" si="130"/>
        <v>1</v>
      </c>
      <c r="AA199">
        <v>80</v>
      </c>
      <c r="AB199" s="1">
        <f t="shared" si="131"/>
        <v>3</v>
      </c>
      <c r="AC199">
        <f t="shared" si="132"/>
        <v>3</v>
      </c>
      <c r="AD199" t="str">
        <f t="shared" si="133"/>
        <v/>
      </c>
      <c r="AG199" s="21" t="str">
        <f t="shared" si="147"/>
        <v/>
      </c>
      <c r="AI199" s="6" t="str">
        <f t="shared" si="148"/>
        <v/>
      </c>
      <c r="AM199" s="7" t="str">
        <f t="shared" si="149"/>
        <v/>
      </c>
      <c r="AQ199" s="8" t="str">
        <f t="shared" si="150"/>
        <v/>
      </c>
      <c r="AW199" s="25" t="str">
        <f t="shared" si="151"/>
        <v/>
      </c>
      <c r="AZ199" s="12" t="str">
        <f t="shared" si="152"/>
        <v/>
      </c>
      <c r="BI199" s="17" t="str">
        <f t="shared" si="153"/>
        <v/>
      </c>
      <c r="BM199" t="str">
        <f t="shared" si="154"/>
        <v>SPT Relationship</v>
      </c>
      <c r="BN199">
        <f t="shared" si="140"/>
        <v>101</v>
      </c>
      <c r="BO199" t="str">
        <f t="shared" si="155"/>
        <v>Wolff, 1989</v>
      </c>
      <c r="BP199">
        <f t="shared" si="141"/>
        <v>27</v>
      </c>
      <c r="BQ199" t="str">
        <f t="shared" si="156"/>
        <v/>
      </c>
      <c r="BR199" t="str">
        <f t="shared" si="134"/>
        <v/>
      </c>
      <c r="BS199" t="str">
        <f t="shared" si="157"/>
        <v>Stroud 1974 (K=3.5)</v>
      </c>
      <c r="BT199">
        <f t="shared" si="142"/>
        <v>219</v>
      </c>
      <c r="BU199" t="str">
        <f t="shared" si="158"/>
        <v/>
      </c>
      <c r="BV199" t="str">
        <f t="shared" si="135"/>
        <v/>
      </c>
      <c r="BW199" t="str">
        <f t="shared" si="159"/>
        <v/>
      </c>
      <c r="BX199" t="str">
        <f t="shared" si="136"/>
        <v/>
      </c>
      <c r="BY199" t="str">
        <f t="shared" si="160"/>
        <v/>
      </c>
      <c r="BZ199" t="str">
        <f t="shared" si="137"/>
        <v/>
      </c>
      <c r="CA199" t="str">
        <f t="shared" si="161"/>
        <v/>
      </c>
      <c r="CB199" t="str">
        <f t="shared" si="143"/>
        <v/>
      </c>
      <c r="CC199" t="str">
        <f t="shared" si="162"/>
        <v/>
      </c>
      <c r="CD199" t="str">
        <f t="shared" si="144"/>
        <v/>
      </c>
      <c r="CE199" t="str">
        <f t="shared" si="163"/>
        <v/>
      </c>
      <c r="CF199" t="str">
        <f t="shared" si="145"/>
        <v/>
      </c>
      <c r="CG199" t="str">
        <f t="shared" si="164"/>
        <v/>
      </c>
      <c r="CH199" t="str">
        <f t="shared" si="146"/>
        <v/>
      </c>
      <c r="CI199" t="str">
        <f t="shared" si="165"/>
        <v/>
      </c>
      <c r="CJ199" t="str">
        <f t="shared" si="138"/>
        <v/>
      </c>
    </row>
    <row r="200" spans="2:88" x14ac:dyDescent="0.3">
      <c r="B200" t="str">
        <f t="shared" si="126"/>
        <v>36.8282-76.1281</v>
      </c>
      <c r="C200" t="s">
        <v>104</v>
      </c>
      <c r="D200">
        <v>36.828200000000002</v>
      </c>
      <c r="E200">
        <v>-76.128100000000003</v>
      </c>
      <c r="F200">
        <v>5</v>
      </c>
      <c r="G200" t="str">
        <f t="shared" si="127"/>
        <v>-13-1736.8282-76.1281</v>
      </c>
      <c r="H200">
        <v>-13</v>
      </c>
      <c r="I200">
        <v>-17</v>
      </c>
      <c r="J200" t="s">
        <v>21</v>
      </c>
      <c r="L200" t="s">
        <v>11</v>
      </c>
      <c r="M200">
        <v>2</v>
      </c>
      <c r="Q200" s="1" t="str">
        <f t="shared" si="129"/>
        <v/>
      </c>
      <c r="S200" t="str">
        <f t="shared" si="139"/>
        <v>Clay</v>
      </c>
      <c r="T200">
        <f t="shared" si="130"/>
        <v>1</v>
      </c>
      <c r="AA200">
        <v>80</v>
      </c>
      <c r="AB200" s="1">
        <f t="shared" si="131"/>
        <v>3</v>
      </c>
      <c r="AC200">
        <f t="shared" si="132"/>
        <v>2</v>
      </c>
      <c r="AD200" t="str">
        <f t="shared" si="133"/>
        <v/>
      </c>
      <c r="AG200" s="21" t="str">
        <f t="shared" si="147"/>
        <v/>
      </c>
      <c r="AI200" s="6" t="str">
        <f t="shared" si="148"/>
        <v/>
      </c>
      <c r="AM200" s="7" t="str">
        <f t="shared" si="149"/>
        <v/>
      </c>
      <c r="AQ200" s="8" t="str">
        <f t="shared" si="150"/>
        <v/>
      </c>
      <c r="AW200" s="25" t="str">
        <f t="shared" si="151"/>
        <v/>
      </c>
      <c r="AZ200" s="12" t="str">
        <f t="shared" si="152"/>
        <v/>
      </c>
      <c r="BI200" s="17" t="str">
        <f t="shared" si="153"/>
        <v/>
      </c>
      <c r="BM200" t="str">
        <f t="shared" si="154"/>
        <v>SPT Relationship</v>
      </c>
      <c r="BN200">
        <f t="shared" si="140"/>
        <v>101</v>
      </c>
      <c r="BO200" t="str">
        <f t="shared" si="155"/>
        <v>Wolff, 1989</v>
      </c>
      <c r="BP200">
        <f t="shared" si="141"/>
        <v>27</v>
      </c>
      <c r="BQ200" t="str">
        <f t="shared" si="156"/>
        <v/>
      </c>
      <c r="BR200" t="str">
        <f t="shared" si="134"/>
        <v/>
      </c>
      <c r="BS200" t="str">
        <f t="shared" si="157"/>
        <v>Stroud 1974 (K=3.5)</v>
      </c>
      <c r="BT200">
        <f t="shared" si="142"/>
        <v>219</v>
      </c>
      <c r="BU200" t="str">
        <f t="shared" si="158"/>
        <v/>
      </c>
      <c r="BV200" t="str">
        <f t="shared" si="135"/>
        <v/>
      </c>
      <c r="BW200" t="str">
        <f t="shared" si="159"/>
        <v/>
      </c>
      <c r="BX200" t="str">
        <f t="shared" si="136"/>
        <v/>
      </c>
      <c r="BY200" t="str">
        <f t="shared" si="160"/>
        <v/>
      </c>
      <c r="BZ200" t="str">
        <f t="shared" si="137"/>
        <v/>
      </c>
      <c r="CA200" t="str">
        <f t="shared" si="161"/>
        <v/>
      </c>
      <c r="CB200" t="str">
        <f t="shared" si="143"/>
        <v/>
      </c>
      <c r="CC200" t="str">
        <f t="shared" si="162"/>
        <v/>
      </c>
      <c r="CD200" t="str">
        <f t="shared" si="144"/>
        <v/>
      </c>
      <c r="CE200" t="str">
        <f t="shared" si="163"/>
        <v/>
      </c>
      <c r="CF200" t="str">
        <f t="shared" si="145"/>
        <v/>
      </c>
      <c r="CG200" t="str">
        <f t="shared" si="164"/>
        <v/>
      </c>
      <c r="CH200" t="str">
        <f t="shared" si="146"/>
        <v/>
      </c>
      <c r="CI200" t="str">
        <f t="shared" si="165"/>
        <v/>
      </c>
      <c r="CJ200" t="str">
        <f t="shared" si="138"/>
        <v/>
      </c>
    </row>
    <row r="201" spans="2:88" x14ac:dyDescent="0.3">
      <c r="B201" t="str">
        <f t="shared" ref="B201:B264" si="166">""&amp;D201&amp;""&amp;E201</f>
        <v>36.8282-76.1281</v>
      </c>
      <c r="C201" t="s">
        <v>104</v>
      </c>
      <c r="D201">
        <v>36.828200000000002</v>
      </c>
      <c r="E201">
        <v>-76.128100000000003</v>
      </c>
      <c r="F201">
        <v>5</v>
      </c>
      <c r="G201" t="str">
        <f t="shared" ref="G201:G264" si="167">""&amp;H201&amp;""&amp;I201&amp;""&amp;D201&amp;""&amp;E201</f>
        <v>-17-1936.8282-76.1281</v>
      </c>
      <c r="H201">
        <v>-17</v>
      </c>
      <c r="I201">
        <v>-19</v>
      </c>
      <c r="J201" t="s">
        <v>21</v>
      </c>
      <c r="L201" t="s">
        <v>17</v>
      </c>
      <c r="M201">
        <v>5</v>
      </c>
      <c r="Q201" s="1" t="str">
        <f t="shared" ref="Q201:Q264" si="168">IF(OR(O201="",P201=""),"",P201-O201)</f>
        <v/>
      </c>
      <c r="S201" t="str">
        <f t="shared" si="139"/>
        <v>Sand</v>
      </c>
      <c r="T201">
        <f t="shared" ref="T201:T264" si="169">IF(OR(Q201&lt;&gt;"",R201&lt;&gt;""),2,1)</f>
        <v>1</v>
      </c>
      <c r="AA201">
        <v>80</v>
      </c>
      <c r="AB201" s="1">
        <f t="shared" ref="AB201:AB264" si="170">ROUND(M201*AA201/60,0)</f>
        <v>7</v>
      </c>
      <c r="AC201">
        <f t="shared" ref="AC201:AC264" si="171">ROUNDDOWN(((1/((((F201-I201)*110)*0.047880258888889)/100))^(0.5))*AB201,0)</f>
        <v>6</v>
      </c>
      <c r="AD201" t="str">
        <f t="shared" ref="AD201:AD264" si="172">IF(OR(N201="",O201=""),"",(N201-O201)/(P201-O201))</f>
        <v/>
      </c>
      <c r="AG201" s="21" t="str">
        <f t="shared" si="147"/>
        <v/>
      </c>
      <c r="AI201" s="6" t="str">
        <f t="shared" si="148"/>
        <v/>
      </c>
      <c r="AM201" s="7" t="str">
        <f t="shared" si="149"/>
        <v/>
      </c>
      <c r="AQ201" s="8" t="str">
        <f t="shared" si="150"/>
        <v/>
      </c>
      <c r="AW201" s="25" t="str">
        <f t="shared" si="151"/>
        <v/>
      </c>
      <c r="AZ201" s="12" t="str">
        <f t="shared" si="152"/>
        <v/>
      </c>
      <c r="BI201" s="17" t="str">
        <f t="shared" si="153"/>
        <v/>
      </c>
      <c r="BM201" t="str">
        <f t="shared" si="154"/>
        <v>SPT Relationship</v>
      </c>
      <c r="BN201">
        <f t="shared" si="140"/>
        <v>111</v>
      </c>
      <c r="BO201" t="str">
        <f t="shared" si="155"/>
        <v>Wolff, 1989</v>
      </c>
      <c r="BP201">
        <f t="shared" si="141"/>
        <v>28</v>
      </c>
      <c r="BQ201" t="str">
        <f t="shared" si="156"/>
        <v/>
      </c>
      <c r="BR201" t="str">
        <f t="shared" ref="BR201:BR264" si="173">IF(P201="","",ROUNDDOWN(28-0.1533*P201+0.000564*P201^2-0.0000008414*P201^3,0))</f>
        <v/>
      </c>
      <c r="BS201" t="str">
        <f t="shared" si="157"/>
        <v/>
      </c>
      <c r="BT201" t="str">
        <f t="shared" si="142"/>
        <v/>
      </c>
      <c r="BU201" t="str">
        <f t="shared" si="158"/>
        <v/>
      </c>
      <c r="BV201" t="str">
        <f t="shared" ref="BV201:BV264" si="174">IF(Q201="","",ROUND(Q201/74,3))</f>
        <v/>
      </c>
      <c r="BW201" t="str">
        <f t="shared" si="159"/>
        <v/>
      </c>
      <c r="BX201" t="str">
        <f t="shared" ref="BX201:BX264" si="175">IF(Q201="","",ROUND(Q201/370,3))</f>
        <v/>
      </c>
      <c r="BY201" t="str">
        <f t="shared" si="160"/>
        <v/>
      </c>
      <c r="BZ201" t="str">
        <f t="shared" ref="BZ201:BZ264" si="176">IF(BV201="","",ROUND(0.03*BV201,4))</f>
        <v/>
      </c>
      <c r="CA201" t="str">
        <f t="shared" si="161"/>
        <v/>
      </c>
      <c r="CB201" t="str">
        <f t="shared" si="143"/>
        <v/>
      </c>
      <c r="CC201" t="str">
        <f t="shared" si="162"/>
        <v/>
      </c>
      <c r="CD201" t="str">
        <f t="shared" si="144"/>
        <v/>
      </c>
      <c r="CE201" t="str">
        <f t="shared" si="163"/>
        <v>Bowles 5th edition</v>
      </c>
      <c r="CF201">
        <f t="shared" si="145"/>
        <v>141</v>
      </c>
      <c r="CG201" t="str">
        <f t="shared" si="164"/>
        <v/>
      </c>
      <c r="CH201" t="str">
        <f t="shared" si="146"/>
        <v/>
      </c>
      <c r="CI201" t="str">
        <f t="shared" si="165"/>
        <v/>
      </c>
      <c r="CJ201" t="str">
        <f t="shared" ref="CJ201:CJ264" si="177">IF(OR(S201="Clay",X201=""),"",1.5*X201^2)</f>
        <v/>
      </c>
    </row>
    <row r="202" spans="2:88" x14ac:dyDescent="0.3">
      <c r="B202" t="str">
        <f t="shared" si="166"/>
        <v>36.8282-76.1281</v>
      </c>
      <c r="C202" t="s">
        <v>104</v>
      </c>
      <c r="D202">
        <v>36.828200000000002</v>
      </c>
      <c r="E202">
        <v>-76.128100000000003</v>
      </c>
      <c r="F202">
        <v>5</v>
      </c>
      <c r="G202" t="str">
        <f t="shared" si="167"/>
        <v>-19-2536.8282-76.1281</v>
      </c>
      <c r="H202">
        <v>-19</v>
      </c>
      <c r="I202">
        <v>-25</v>
      </c>
      <c r="J202" t="s">
        <v>21</v>
      </c>
      <c r="L202" t="s">
        <v>8</v>
      </c>
      <c r="M202">
        <v>2</v>
      </c>
      <c r="Q202" s="1" t="str">
        <f t="shared" si="168"/>
        <v/>
      </c>
      <c r="S202" t="str">
        <f t="shared" si="139"/>
        <v>Sand</v>
      </c>
      <c r="T202">
        <f t="shared" si="169"/>
        <v>1</v>
      </c>
      <c r="AA202">
        <v>80</v>
      </c>
      <c r="AB202" s="1">
        <f t="shared" si="170"/>
        <v>3</v>
      </c>
      <c r="AC202">
        <f t="shared" si="171"/>
        <v>2</v>
      </c>
      <c r="AD202" t="str">
        <f t="shared" si="172"/>
        <v/>
      </c>
      <c r="AG202" s="21" t="str">
        <f t="shared" si="147"/>
        <v/>
      </c>
      <c r="AI202" s="6" t="str">
        <f t="shared" si="148"/>
        <v/>
      </c>
      <c r="AM202" s="7" t="str">
        <f t="shared" si="149"/>
        <v/>
      </c>
      <c r="AQ202" s="8" t="str">
        <f t="shared" si="150"/>
        <v/>
      </c>
      <c r="AW202" s="25" t="str">
        <f t="shared" si="151"/>
        <v/>
      </c>
      <c r="AZ202" s="12" t="str">
        <f t="shared" si="152"/>
        <v/>
      </c>
      <c r="BI202" s="17" t="str">
        <f t="shared" si="153"/>
        <v/>
      </c>
      <c r="BM202" t="str">
        <f t="shared" si="154"/>
        <v>SPT Relationship</v>
      </c>
      <c r="BN202">
        <f t="shared" si="140"/>
        <v>101</v>
      </c>
      <c r="BO202" t="str">
        <f t="shared" si="155"/>
        <v>Wolff, 1989</v>
      </c>
      <c r="BP202">
        <f t="shared" si="141"/>
        <v>27</v>
      </c>
      <c r="BQ202" t="str">
        <f t="shared" si="156"/>
        <v/>
      </c>
      <c r="BR202" t="str">
        <f t="shared" si="173"/>
        <v/>
      </c>
      <c r="BS202" t="str">
        <f t="shared" si="157"/>
        <v/>
      </c>
      <c r="BT202" t="str">
        <f t="shared" si="142"/>
        <v/>
      </c>
      <c r="BU202" t="str">
        <f t="shared" si="158"/>
        <v/>
      </c>
      <c r="BV202" t="str">
        <f t="shared" si="174"/>
        <v/>
      </c>
      <c r="BW202" t="str">
        <f t="shared" si="159"/>
        <v/>
      </c>
      <c r="BX202" t="str">
        <f t="shared" si="175"/>
        <v/>
      </c>
      <c r="BY202" t="str">
        <f t="shared" si="160"/>
        <v/>
      </c>
      <c r="BZ202" t="str">
        <f t="shared" si="176"/>
        <v/>
      </c>
      <c r="CA202" t="str">
        <f t="shared" si="161"/>
        <v/>
      </c>
      <c r="CB202" t="str">
        <f t="shared" si="143"/>
        <v/>
      </c>
      <c r="CC202" t="str">
        <f t="shared" si="162"/>
        <v/>
      </c>
      <c r="CD202" t="str">
        <f t="shared" si="144"/>
        <v/>
      </c>
      <c r="CE202" t="str">
        <f t="shared" si="163"/>
        <v>Bowles 5th edition</v>
      </c>
      <c r="CF202">
        <f t="shared" si="145"/>
        <v>115</v>
      </c>
      <c r="CG202" t="str">
        <f t="shared" si="164"/>
        <v/>
      </c>
      <c r="CH202" t="str">
        <f t="shared" si="146"/>
        <v/>
      </c>
      <c r="CI202" t="str">
        <f t="shared" si="165"/>
        <v/>
      </c>
      <c r="CJ202" t="str">
        <f t="shared" si="177"/>
        <v/>
      </c>
    </row>
    <row r="203" spans="2:88" x14ac:dyDescent="0.3">
      <c r="B203" t="str">
        <f t="shared" si="166"/>
        <v>36.8261-76.1263</v>
      </c>
      <c r="C203" t="s">
        <v>105</v>
      </c>
      <c r="D203">
        <v>36.826099999999997</v>
      </c>
      <c r="E203">
        <v>-76.126300000000001</v>
      </c>
      <c r="F203">
        <v>6</v>
      </c>
      <c r="G203" t="str">
        <f t="shared" si="167"/>
        <v>65.736.8261-76.1263</v>
      </c>
      <c r="H203">
        <v>6</v>
      </c>
      <c r="I203">
        <v>5.7</v>
      </c>
      <c r="J203" t="s">
        <v>21</v>
      </c>
      <c r="L203" t="s">
        <v>8</v>
      </c>
      <c r="M203">
        <v>7</v>
      </c>
      <c r="Q203" s="1" t="str">
        <f t="shared" si="168"/>
        <v/>
      </c>
      <c r="S203" t="str">
        <f t="shared" si="139"/>
        <v>Sand</v>
      </c>
      <c r="T203">
        <f t="shared" si="169"/>
        <v>1</v>
      </c>
      <c r="AA203">
        <v>80</v>
      </c>
      <c r="AB203" s="1">
        <f t="shared" si="170"/>
        <v>9</v>
      </c>
      <c r="AC203">
        <f t="shared" si="171"/>
        <v>71</v>
      </c>
      <c r="AD203" t="str">
        <f t="shared" si="172"/>
        <v/>
      </c>
      <c r="AG203" s="21" t="str">
        <f t="shared" si="147"/>
        <v/>
      </c>
      <c r="AI203" s="6" t="str">
        <f t="shared" si="148"/>
        <v/>
      </c>
      <c r="AM203" s="7" t="str">
        <f t="shared" si="149"/>
        <v/>
      </c>
      <c r="AQ203" s="8" t="str">
        <f t="shared" si="150"/>
        <v/>
      </c>
      <c r="AW203" s="25" t="str">
        <f t="shared" si="151"/>
        <v/>
      </c>
      <c r="AZ203" s="12" t="str">
        <f t="shared" si="152"/>
        <v/>
      </c>
      <c r="BI203" s="17" t="str">
        <f t="shared" si="153"/>
        <v/>
      </c>
      <c r="BM203" t="str">
        <f t="shared" si="154"/>
        <v>SPT Relationship</v>
      </c>
      <c r="BN203">
        <f t="shared" si="140"/>
        <v>114</v>
      </c>
      <c r="BO203" t="str">
        <f t="shared" si="155"/>
        <v>Wolff, 1989</v>
      </c>
      <c r="BP203">
        <f t="shared" si="141"/>
        <v>45</v>
      </c>
      <c r="BQ203" t="str">
        <f t="shared" si="156"/>
        <v/>
      </c>
      <c r="BR203" t="str">
        <f t="shared" si="173"/>
        <v/>
      </c>
      <c r="BS203" t="str">
        <f t="shared" si="157"/>
        <v/>
      </c>
      <c r="BT203" t="str">
        <f t="shared" si="142"/>
        <v/>
      </c>
      <c r="BU203" t="str">
        <f t="shared" si="158"/>
        <v/>
      </c>
      <c r="BV203" t="str">
        <f t="shared" si="174"/>
        <v/>
      </c>
      <c r="BW203" t="str">
        <f t="shared" si="159"/>
        <v/>
      </c>
      <c r="BX203" t="str">
        <f t="shared" si="175"/>
        <v/>
      </c>
      <c r="BY203" t="str">
        <f t="shared" si="160"/>
        <v/>
      </c>
      <c r="BZ203" t="str">
        <f t="shared" si="176"/>
        <v/>
      </c>
      <c r="CA203" t="str">
        <f t="shared" si="161"/>
        <v/>
      </c>
      <c r="CB203" t="str">
        <f t="shared" si="143"/>
        <v/>
      </c>
      <c r="CC203" t="str">
        <f t="shared" si="162"/>
        <v/>
      </c>
      <c r="CD203" t="str">
        <f t="shared" si="144"/>
        <v/>
      </c>
      <c r="CE203" t="str">
        <f t="shared" si="163"/>
        <v>Bowles 5th edition</v>
      </c>
      <c r="CF203">
        <f t="shared" si="145"/>
        <v>154</v>
      </c>
      <c r="CG203" t="str">
        <f t="shared" si="164"/>
        <v/>
      </c>
      <c r="CH203" t="str">
        <f t="shared" si="146"/>
        <v/>
      </c>
      <c r="CI203" t="str">
        <f t="shared" si="165"/>
        <v/>
      </c>
      <c r="CJ203" t="str">
        <f t="shared" si="177"/>
        <v/>
      </c>
    </row>
    <row r="204" spans="2:88" x14ac:dyDescent="0.3">
      <c r="B204" t="str">
        <f t="shared" si="166"/>
        <v>36.8261-76.1263</v>
      </c>
      <c r="C204" t="s">
        <v>105</v>
      </c>
      <c r="D204">
        <v>36.826099999999997</v>
      </c>
      <c r="E204">
        <v>-76.126300000000001</v>
      </c>
      <c r="F204">
        <v>6</v>
      </c>
      <c r="G204" t="str">
        <f t="shared" si="167"/>
        <v>5.7436.8261-76.1263</v>
      </c>
      <c r="H204">
        <v>5.7</v>
      </c>
      <c r="I204">
        <v>4</v>
      </c>
      <c r="J204" t="s">
        <v>21</v>
      </c>
      <c r="L204" t="s">
        <v>11</v>
      </c>
      <c r="M204">
        <v>7</v>
      </c>
      <c r="Q204" s="1" t="str">
        <f t="shared" si="168"/>
        <v/>
      </c>
      <c r="S204" t="str">
        <f t="shared" si="139"/>
        <v>Clay</v>
      </c>
      <c r="T204">
        <f t="shared" si="169"/>
        <v>1</v>
      </c>
      <c r="AA204">
        <v>80</v>
      </c>
      <c r="AB204" s="1">
        <f t="shared" si="170"/>
        <v>9</v>
      </c>
      <c r="AC204">
        <f t="shared" si="171"/>
        <v>27</v>
      </c>
      <c r="AD204" t="str">
        <f t="shared" si="172"/>
        <v/>
      </c>
      <c r="AG204" s="21" t="str">
        <f t="shared" si="147"/>
        <v/>
      </c>
      <c r="AI204" s="6" t="str">
        <f t="shared" si="148"/>
        <v/>
      </c>
      <c r="AM204" s="7" t="str">
        <f t="shared" si="149"/>
        <v/>
      </c>
      <c r="AQ204" s="8" t="str">
        <f t="shared" si="150"/>
        <v/>
      </c>
      <c r="AW204" s="25" t="str">
        <f t="shared" si="151"/>
        <v/>
      </c>
      <c r="AZ204" s="12" t="str">
        <f t="shared" si="152"/>
        <v/>
      </c>
      <c r="BI204" s="17" t="str">
        <f t="shared" si="153"/>
        <v/>
      </c>
      <c r="BM204" t="str">
        <f t="shared" si="154"/>
        <v>SPT Relationship</v>
      </c>
      <c r="BN204">
        <f t="shared" si="140"/>
        <v>114</v>
      </c>
      <c r="BO204" t="str">
        <f t="shared" si="155"/>
        <v>Wolff, 1989</v>
      </c>
      <c r="BP204">
        <f t="shared" si="141"/>
        <v>34</v>
      </c>
      <c r="BQ204" t="str">
        <f t="shared" si="156"/>
        <v/>
      </c>
      <c r="BR204" t="str">
        <f t="shared" si="173"/>
        <v/>
      </c>
      <c r="BS204" t="str">
        <f t="shared" si="157"/>
        <v>Stroud 1974 (K=3.5)</v>
      </c>
      <c r="BT204">
        <f t="shared" si="142"/>
        <v>658</v>
      </c>
      <c r="BU204" t="str">
        <f t="shared" si="158"/>
        <v/>
      </c>
      <c r="BV204" t="str">
        <f t="shared" si="174"/>
        <v/>
      </c>
      <c r="BW204" t="str">
        <f t="shared" si="159"/>
        <v/>
      </c>
      <c r="BX204" t="str">
        <f t="shared" si="175"/>
        <v/>
      </c>
      <c r="BY204" t="str">
        <f t="shared" si="160"/>
        <v/>
      </c>
      <c r="BZ204" t="str">
        <f t="shared" si="176"/>
        <v/>
      </c>
      <c r="CA204" t="str">
        <f t="shared" si="161"/>
        <v/>
      </c>
      <c r="CB204" t="str">
        <f t="shared" si="143"/>
        <v/>
      </c>
      <c r="CC204" t="str">
        <f t="shared" si="162"/>
        <v/>
      </c>
      <c r="CD204" t="str">
        <f t="shared" si="144"/>
        <v/>
      </c>
      <c r="CE204" t="str">
        <f t="shared" si="163"/>
        <v/>
      </c>
      <c r="CF204" t="str">
        <f t="shared" si="145"/>
        <v/>
      </c>
      <c r="CG204" t="str">
        <f t="shared" si="164"/>
        <v/>
      </c>
      <c r="CH204" t="str">
        <f t="shared" si="146"/>
        <v/>
      </c>
      <c r="CI204" t="str">
        <f t="shared" si="165"/>
        <v/>
      </c>
      <c r="CJ204" t="str">
        <f t="shared" si="177"/>
        <v/>
      </c>
    </row>
    <row r="205" spans="2:88" x14ac:dyDescent="0.3">
      <c r="B205" t="str">
        <f t="shared" si="166"/>
        <v>36.8261-76.1263</v>
      </c>
      <c r="C205" t="s">
        <v>105</v>
      </c>
      <c r="D205">
        <v>36.826099999999997</v>
      </c>
      <c r="E205">
        <v>-76.126300000000001</v>
      </c>
      <c r="F205">
        <v>6</v>
      </c>
      <c r="G205" t="str">
        <f t="shared" si="167"/>
        <v>4336.8261-76.1263</v>
      </c>
      <c r="H205">
        <v>4</v>
      </c>
      <c r="I205">
        <v>3</v>
      </c>
      <c r="J205" t="s">
        <v>21</v>
      </c>
      <c r="L205" t="s">
        <v>113</v>
      </c>
      <c r="M205">
        <v>11</v>
      </c>
      <c r="Q205" s="1" t="str">
        <f t="shared" si="168"/>
        <v/>
      </c>
      <c r="S205" t="str">
        <f t="shared" si="139"/>
        <v>Clay</v>
      </c>
      <c r="T205">
        <f t="shared" si="169"/>
        <v>1</v>
      </c>
      <c r="AA205">
        <v>80</v>
      </c>
      <c r="AB205" s="1">
        <f t="shared" si="170"/>
        <v>15</v>
      </c>
      <c r="AC205">
        <f t="shared" si="171"/>
        <v>37</v>
      </c>
      <c r="AD205" t="str">
        <f t="shared" si="172"/>
        <v/>
      </c>
      <c r="AG205" s="21" t="str">
        <f t="shared" si="147"/>
        <v/>
      </c>
      <c r="AI205" s="6" t="str">
        <f t="shared" si="148"/>
        <v/>
      </c>
      <c r="AM205" s="7" t="str">
        <f t="shared" si="149"/>
        <v/>
      </c>
      <c r="AQ205" s="8" t="str">
        <f t="shared" si="150"/>
        <v/>
      </c>
      <c r="AW205" s="25" t="str">
        <f t="shared" si="151"/>
        <v/>
      </c>
      <c r="AZ205" s="12" t="str">
        <f t="shared" si="152"/>
        <v/>
      </c>
      <c r="BI205" s="17" t="str">
        <f t="shared" si="153"/>
        <v/>
      </c>
      <c r="BM205" t="str">
        <f t="shared" si="154"/>
        <v>SPT Relationship</v>
      </c>
      <c r="BN205">
        <f t="shared" si="140"/>
        <v>119</v>
      </c>
      <c r="BO205" t="str">
        <f t="shared" si="155"/>
        <v>Wolff, 1989</v>
      </c>
      <c r="BP205">
        <f t="shared" si="141"/>
        <v>37</v>
      </c>
      <c r="BQ205" t="str">
        <f t="shared" si="156"/>
        <v/>
      </c>
      <c r="BR205" t="str">
        <f t="shared" si="173"/>
        <v/>
      </c>
      <c r="BS205" t="str">
        <f t="shared" si="157"/>
        <v>Stroud 1974 (K=3.5)</v>
      </c>
      <c r="BT205">
        <f t="shared" si="142"/>
        <v>1096</v>
      </c>
      <c r="BU205" t="str">
        <f t="shared" si="158"/>
        <v/>
      </c>
      <c r="BV205" t="str">
        <f t="shared" si="174"/>
        <v/>
      </c>
      <c r="BW205" t="str">
        <f t="shared" si="159"/>
        <v/>
      </c>
      <c r="BX205" t="str">
        <f t="shared" si="175"/>
        <v/>
      </c>
      <c r="BY205" t="str">
        <f t="shared" si="160"/>
        <v/>
      </c>
      <c r="BZ205" t="str">
        <f t="shared" si="176"/>
        <v/>
      </c>
      <c r="CA205" t="str">
        <f t="shared" si="161"/>
        <v/>
      </c>
      <c r="CB205" t="str">
        <f t="shared" si="143"/>
        <v/>
      </c>
      <c r="CC205" t="str">
        <f t="shared" si="162"/>
        <v/>
      </c>
      <c r="CD205" t="str">
        <f t="shared" si="144"/>
        <v/>
      </c>
      <c r="CE205" t="str">
        <f t="shared" si="163"/>
        <v/>
      </c>
      <c r="CF205" t="str">
        <f t="shared" si="145"/>
        <v/>
      </c>
      <c r="CG205" t="str">
        <f t="shared" si="164"/>
        <v/>
      </c>
      <c r="CH205" t="str">
        <f t="shared" si="146"/>
        <v/>
      </c>
      <c r="CI205" t="str">
        <f t="shared" si="165"/>
        <v/>
      </c>
      <c r="CJ205" t="str">
        <f t="shared" si="177"/>
        <v/>
      </c>
    </row>
    <row r="206" spans="2:88" x14ac:dyDescent="0.3">
      <c r="B206" t="str">
        <f t="shared" si="166"/>
        <v>36.8261-76.1263</v>
      </c>
      <c r="C206" t="s">
        <v>105</v>
      </c>
      <c r="D206">
        <v>36.826099999999997</v>
      </c>
      <c r="E206">
        <v>-76.126300000000001</v>
      </c>
      <c r="F206">
        <v>6</v>
      </c>
      <c r="G206" t="str">
        <f t="shared" si="167"/>
        <v>30.536.8261-76.1263</v>
      </c>
      <c r="H206">
        <v>3</v>
      </c>
      <c r="I206">
        <v>0.5</v>
      </c>
      <c r="J206" t="s">
        <v>21</v>
      </c>
      <c r="L206" t="s">
        <v>11</v>
      </c>
      <c r="M206">
        <v>11</v>
      </c>
      <c r="Q206" s="1" t="str">
        <f t="shared" si="168"/>
        <v/>
      </c>
      <c r="S206" t="str">
        <f t="shared" si="139"/>
        <v>Clay</v>
      </c>
      <c r="T206">
        <f t="shared" si="169"/>
        <v>1</v>
      </c>
      <c r="AA206">
        <v>80</v>
      </c>
      <c r="AB206" s="1">
        <f t="shared" si="170"/>
        <v>15</v>
      </c>
      <c r="AC206">
        <f t="shared" si="171"/>
        <v>27</v>
      </c>
      <c r="AD206" t="str">
        <f t="shared" si="172"/>
        <v/>
      </c>
      <c r="AG206" s="21" t="str">
        <f t="shared" si="147"/>
        <v/>
      </c>
      <c r="AI206" s="6" t="str">
        <f t="shared" si="148"/>
        <v/>
      </c>
      <c r="AM206" s="7" t="str">
        <f t="shared" si="149"/>
        <v/>
      </c>
      <c r="AQ206" s="8" t="str">
        <f t="shared" si="150"/>
        <v/>
      </c>
      <c r="AW206" s="25" t="str">
        <f t="shared" si="151"/>
        <v/>
      </c>
      <c r="AZ206" s="12" t="str">
        <f t="shared" si="152"/>
        <v/>
      </c>
      <c r="BI206" s="17" t="str">
        <f t="shared" si="153"/>
        <v/>
      </c>
      <c r="BM206" t="str">
        <f t="shared" si="154"/>
        <v>SPT Relationship</v>
      </c>
      <c r="BN206">
        <f t="shared" si="140"/>
        <v>119</v>
      </c>
      <c r="BO206" t="str">
        <f t="shared" si="155"/>
        <v>Wolff, 1989</v>
      </c>
      <c r="BP206">
        <f t="shared" si="141"/>
        <v>34</v>
      </c>
      <c r="BQ206" t="str">
        <f t="shared" si="156"/>
        <v/>
      </c>
      <c r="BR206" t="str">
        <f t="shared" si="173"/>
        <v/>
      </c>
      <c r="BS206" t="str">
        <f t="shared" si="157"/>
        <v>Stroud 1974 (K=3.5)</v>
      </c>
      <c r="BT206">
        <f t="shared" si="142"/>
        <v>1096</v>
      </c>
      <c r="BU206" t="str">
        <f t="shared" si="158"/>
        <v/>
      </c>
      <c r="BV206" t="str">
        <f t="shared" si="174"/>
        <v/>
      </c>
      <c r="BW206" t="str">
        <f t="shared" si="159"/>
        <v/>
      </c>
      <c r="BX206" t="str">
        <f t="shared" si="175"/>
        <v/>
      </c>
      <c r="BY206" t="str">
        <f t="shared" si="160"/>
        <v/>
      </c>
      <c r="BZ206" t="str">
        <f t="shared" si="176"/>
        <v/>
      </c>
      <c r="CA206" t="str">
        <f t="shared" si="161"/>
        <v/>
      </c>
      <c r="CB206" t="str">
        <f t="shared" si="143"/>
        <v/>
      </c>
      <c r="CC206" t="str">
        <f t="shared" si="162"/>
        <v/>
      </c>
      <c r="CD206" t="str">
        <f t="shared" si="144"/>
        <v/>
      </c>
      <c r="CE206" t="str">
        <f t="shared" si="163"/>
        <v/>
      </c>
      <c r="CF206" t="str">
        <f t="shared" si="145"/>
        <v/>
      </c>
      <c r="CG206" t="str">
        <f t="shared" si="164"/>
        <v/>
      </c>
      <c r="CH206" t="str">
        <f t="shared" si="146"/>
        <v/>
      </c>
      <c r="CI206" t="str">
        <f t="shared" si="165"/>
        <v/>
      </c>
      <c r="CJ206" t="str">
        <f t="shared" si="177"/>
        <v/>
      </c>
    </row>
    <row r="207" spans="2:88" x14ac:dyDescent="0.3">
      <c r="B207" t="str">
        <f t="shared" si="166"/>
        <v>36.8261-76.1263</v>
      </c>
      <c r="C207" t="s">
        <v>105</v>
      </c>
      <c r="D207">
        <v>36.826099999999997</v>
      </c>
      <c r="E207">
        <v>-76.126300000000001</v>
      </c>
      <c r="F207">
        <v>6</v>
      </c>
      <c r="G207" t="str">
        <f t="shared" si="167"/>
        <v>0.5-136.8261-76.1263</v>
      </c>
      <c r="H207">
        <v>0.5</v>
      </c>
      <c r="I207">
        <v>-1</v>
      </c>
      <c r="J207" t="s">
        <v>21</v>
      </c>
      <c r="L207" t="s">
        <v>17</v>
      </c>
      <c r="M207">
        <v>4</v>
      </c>
      <c r="Q207" s="1" t="str">
        <f t="shared" si="168"/>
        <v/>
      </c>
      <c r="S207" t="str">
        <f t="shared" si="139"/>
        <v>Sand</v>
      </c>
      <c r="T207">
        <f t="shared" si="169"/>
        <v>1</v>
      </c>
      <c r="AA207">
        <v>80</v>
      </c>
      <c r="AB207" s="1">
        <f t="shared" si="170"/>
        <v>5</v>
      </c>
      <c r="AC207">
        <f t="shared" si="171"/>
        <v>8</v>
      </c>
      <c r="AD207" t="str">
        <f t="shared" si="172"/>
        <v/>
      </c>
      <c r="AG207" s="21" t="str">
        <f t="shared" si="147"/>
        <v/>
      </c>
      <c r="AI207" s="6" t="str">
        <f t="shared" si="148"/>
        <v/>
      </c>
      <c r="AM207" s="7" t="str">
        <f t="shared" si="149"/>
        <v/>
      </c>
      <c r="AQ207" s="8" t="str">
        <f t="shared" si="150"/>
        <v/>
      </c>
      <c r="AW207" s="25" t="str">
        <f t="shared" si="151"/>
        <v/>
      </c>
      <c r="AZ207" s="12" t="str">
        <f t="shared" si="152"/>
        <v/>
      </c>
      <c r="BI207" s="17" t="str">
        <f t="shared" si="153"/>
        <v/>
      </c>
      <c r="BM207" t="str">
        <f t="shared" si="154"/>
        <v>SPT Relationship</v>
      </c>
      <c r="BN207">
        <f t="shared" si="140"/>
        <v>108</v>
      </c>
      <c r="BO207" t="str">
        <f t="shared" si="155"/>
        <v>Wolff, 1989</v>
      </c>
      <c r="BP207">
        <f t="shared" si="141"/>
        <v>29</v>
      </c>
      <c r="BQ207" t="str">
        <f t="shared" si="156"/>
        <v/>
      </c>
      <c r="BR207" t="str">
        <f t="shared" si="173"/>
        <v/>
      </c>
      <c r="BS207" t="str">
        <f t="shared" si="157"/>
        <v/>
      </c>
      <c r="BT207" t="str">
        <f t="shared" si="142"/>
        <v/>
      </c>
      <c r="BU207" t="str">
        <f t="shared" si="158"/>
        <v/>
      </c>
      <c r="BV207" t="str">
        <f t="shared" si="174"/>
        <v/>
      </c>
      <c r="BW207" t="str">
        <f t="shared" si="159"/>
        <v/>
      </c>
      <c r="BX207" t="str">
        <f t="shared" si="175"/>
        <v/>
      </c>
      <c r="BY207" t="str">
        <f t="shared" si="160"/>
        <v/>
      </c>
      <c r="BZ207" t="str">
        <f t="shared" si="176"/>
        <v/>
      </c>
      <c r="CA207" t="str">
        <f t="shared" si="161"/>
        <v/>
      </c>
      <c r="CB207" t="str">
        <f t="shared" si="143"/>
        <v/>
      </c>
      <c r="CC207" t="str">
        <f t="shared" si="162"/>
        <v/>
      </c>
      <c r="CD207" t="str">
        <f t="shared" si="144"/>
        <v/>
      </c>
      <c r="CE207" t="str">
        <f t="shared" si="163"/>
        <v>Bowles 5th edition</v>
      </c>
      <c r="CF207">
        <f t="shared" si="145"/>
        <v>128</v>
      </c>
      <c r="CG207" t="str">
        <f t="shared" si="164"/>
        <v/>
      </c>
      <c r="CH207" t="str">
        <f t="shared" si="146"/>
        <v/>
      </c>
      <c r="CI207" t="str">
        <f t="shared" si="165"/>
        <v/>
      </c>
      <c r="CJ207" t="str">
        <f t="shared" si="177"/>
        <v/>
      </c>
    </row>
    <row r="208" spans="2:88" x14ac:dyDescent="0.3">
      <c r="B208" t="str">
        <f t="shared" si="166"/>
        <v>36.8261-76.1263</v>
      </c>
      <c r="C208" t="s">
        <v>105</v>
      </c>
      <c r="D208">
        <v>36.826099999999997</v>
      </c>
      <c r="E208">
        <v>-76.126300000000001</v>
      </c>
      <c r="F208">
        <v>6</v>
      </c>
      <c r="G208" t="str">
        <f t="shared" si="167"/>
        <v>-1-636.8261-76.1263</v>
      </c>
      <c r="H208">
        <v>-1</v>
      </c>
      <c r="I208">
        <v>-6</v>
      </c>
      <c r="J208" t="s">
        <v>21</v>
      </c>
      <c r="L208" t="s">
        <v>11</v>
      </c>
      <c r="M208">
        <v>3</v>
      </c>
      <c r="Q208" s="1" t="str">
        <f t="shared" si="168"/>
        <v/>
      </c>
      <c r="S208" t="str">
        <f t="shared" si="139"/>
        <v>Clay</v>
      </c>
      <c r="T208">
        <f t="shared" si="169"/>
        <v>1</v>
      </c>
      <c r="AA208">
        <v>80</v>
      </c>
      <c r="AB208" s="1">
        <f t="shared" si="170"/>
        <v>4</v>
      </c>
      <c r="AC208">
        <f t="shared" si="171"/>
        <v>5</v>
      </c>
      <c r="AD208" t="str">
        <f t="shared" si="172"/>
        <v/>
      </c>
      <c r="AG208" s="21" t="str">
        <f t="shared" si="147"/>
        <v/>
      </c>
      <c r="AI208" s="6" t="str">
        <f t="shared" si="148"/>
        <v/>
      </c>
      <c r="AM208" s="7" t="str">
        <f t="shared" si="149"/>
        <v/>
      </c>
      <c r="AQ208" s="8" t="str">
        <f t="shared" si="150"/>
        <v/>
      </c>
      <c r="AW208" s="25" t="str">
        <f t="shared" si="151"/>
        <v/>
      </c>
      <c r="AZ208" s="12" t="str">
        <f t="shared" si="152"/>
        <v/>
      </c>
      <c r="BI208" s="17" t="str">
        <f t="shared" si="153"/>
        <v/>
      </c>
      <c r="BM208" t="str">
        <f t="shared" si="154"/>
        <v>SPT Relationship</v>
      </c>
      <c r="BN208">
        <f t="shared" si="140"/>
        <v>105</v>
      </c>
      <c r="BO208" t="str">
        <f t="shared" si="155"/>
        <v>Wolff, 1989</v>
      </c>
      <c r="BP208">
        <f t="shared" si="141"/>
        <v>28</v>
      </c>
      <c r="BQ208" t="str">
        <f t="shared" si="156"/>
        <v/>
      </c>
      <c r="BR208" t="str">
        <f t="shared" si="173"/>
        <v/>
      </c>
      <c r="BS208" t="str">
        <f t="shared" si="157"/>
        <v>Stroud 1974 (K=3.5)</v>
      </c>
      <c r="BT208">
        <f t="shared" si="142"/>
        <v>292</v>
      </c>
      <c r="BU208" t="str">
        <f t="shared" si="158"/>
        <v/>
      </c>
      <c r="BV208" t="str">
        <f t="shared" si="174"/>
        <v/>
      </c>
      <c r="BW208" t="str">
        <f t="shared" si="159"/>
        <v/>
      </c>
      <c r="BX208" t="str">
        <f t="shared" si="175"/>
        <v/>
      </c>
      <c r="BY208" t="str">
        <f t="shared" si="160"/>
        <v/>
      </c>
      <c r="BZ208" t="str">
        <f t="shared" si="176"/>
        <v/>
      </c>
      <c r="CA208" t="str">
        <f t="shared" si="161"/>
        <v/>
      </c>
      <c r="CB208" t="str">
        <f t="shared" si="143"/>
        <v/>
      </c>
      <c r="CC208" t="str">
        <f t="shared" si="162"/>
        <v/>
      </c>
      <c r="CD208" t="str">
        <f t="shared" si="144"/>
        <v/>
      </c>
      <c r="CE208" t="str">
        <f t="shared" si="163"/>
        <v/>
      </c>
      <c r="CF208" t="str">
        <f t="shared" si="145"/>
        <v/>
      </c>
      <c r="CG208" t="str">
        <f t="shared" si="164"/>
        <v/>
      </c>
      <c r="CH208" t="str">
        <f t="shared" si="146"/>
        <v/>
      </c>
      <c r="CI208" t="str">
        <f t="shared" si="165"/>
        <v/>
      </c>
      <c r="CJ208" t="str">
        <f t="shared" si="177"/>
        <v/>
      </c>
    </row>
    <row r="209" spans="2:88" x14ac:dyDescent="0.3">
      <c r="B209" t="str">
        <f t="shared" si="166"/>
        <v>36.8261-76.1263</v>
      </c>
      <c r="C209" t="s">
        <v>105</v>
      </c>
      <c r="D209">
        <v>36.826099999999997</v>
      </c>
      <c r="E209">
        <v>-76.126300000000001</v>
      </c>
      <c r="F209">
        <v>6</v>
      </c>
      <c r="G209" t="str">
        <f t="shared" si="167"/>
        <v>-6-1036.8261-76.1263</v>
      </c>
      <c r="H209">
        <v>-6</v>
      </c>
      <c r="I209">
        <v>-10</v>
      </c>
      <c r="J209" t="s">
        <v>21</v>
      </c>
      <c r="L209" t="s">
        <v>113</v>
      </c>
      <c r="M209">
        <v>3</v>
      </c>
      <c r="Q209" s="1" t="str">
        <f t="shared" si="168"/>
        <v/>
      </c>
      <c r="S209" t="str">
        <f t="shared" si="139"/>
        <v>Clay</v>
      </c>
      <c r="T209">
        <f t="shared" si="169"/>
        <v>1</v>
      </c>
      <c r="AA209">
        <v>80</v>
      </c>
      <c r="AB209" s="1">
        <f t="shared" si="170"/>
        <v>4</v>
      </c>
      <c r="AC209">
        <f t="shared" si="171"/>
        <v>4</v>
      </c>
      <c r="AD209" t="str">
        <f t="shared" si="172"/>
        <v/>
      </c>
      <c r="AG209" s="21" t="str">
        <f t="shared" si="147"/>
        <v/>
      </c>
      <c r="AI209" s="6" t="str">
        <f t="shared" si="148"/>
        <v/>
      </c>
      <c r="AM209" s="7" t="str">
        <f t="shared" si="149"/>
        <v/>
      </c>
      <c r="AQ209" s="8" t="str">
        <f t="shared" si="150"/>
        <v/>
      </c>
      <c r="AW209" s="25" t="str">
        <f t="shared" si="151"/>
        <v/>
      </c>
      <c r="AZ209" s="12" t="str">
        <f t="shared" si="152"/>
        <v/>
      </c>
      <c r="BI209" s="17" t="str">
        <f t="shared" si="153"/>
        <v/>
      </c>
      <c r="BM209" t="str">
        <f t="shared" si="154"/>
        <v>SPT Relationship</v>
      </c>
      <c r="BN209">
        <f t="shared" si="140"/>
        <v>105</v>
      </c>
      <c r="BO209" t="str">
        <f t="shared" si="155"/>
        <v>Wolff, 1989</v>
      </c>
      <c r="BP209">
        <f t="shared" si="141"/>
        <v>28</v>
      </c>
      <c r="BQ209" t="str">
        <f t="shared" si="156"/>
        <v/>
      </c>
      <c r="BR209" t="str">
        <f t="shared" si="173"/>
        <v/>
      </c>
      <c r="BS209" t="str">
        <f t="shared" si="157"/>
        <v>Stroud 1974 (K=3.5)</v>
      </c>
      <c r="BT209">
        <f t="shared" si="142"/>
        <v>292</v>
      </c>
      <c r="BU209" t="str">
        <f t="shared" si="158"/>
        <v/>
      </c>
      <c r="BV209" t="str">
        <f t="shared" si="174"/>
        <v/>
      </c>
      <c r="BW209" t="str">
        <f t="shared" si="159"/>
        <v/>
      </c>
      <c r="BX209" t="str">
        <f t="shared" si="175"/>
        <v/>
      </c>
      <c r="BY209" t="str">
        <f t="shared" si="160"/>
        <v/>
      </c>
      <c r="BZ209" t="str">
        <f t="shared" si="176"/>
        <v/>
      </c>
      <c r="CA209" t="str">
        <f t="shared" si="161"/>
        <v/>
      </c>
      <c r="CB209" t="str">
        <f t="shared" si="143"/>
        <v/>
      </c>
      <c r="CC209" t="str">
        <f t="shared" si="162"/>
        <v/>
      </c>
      <c r="CD209" t="str">
        <f t="shared" si="144"/>
        <v/>
      </c>
      <c r="CE209" t="str">
        <f t="shared" si="163"/>
        <v/>
      </c>
      <c r="CF209" t="str">
        <f t="shared" si="145"/>
        <v/>
      </c>
      <c r="CG209" t="str">
        <f t="shared" si="164"/>
        <v/>
      </c>
      <c r="CH209" t="str">
        <f t="shared" si="146"/>
        <v/>
      </c>
      <c r="CI209" t="str">
        <f t="shared" si="165"/>
        <v/>
      </c>
      <c r="CJ209" t="str">
        <f t="shared" si="177"/>
        <v/>
      </c>
    </row>
    <row r="210" spans="2:88" x14ac:dyDescent="0.3">
      <c r="B210" t="str">
        <f t="shared" si="166"/>
        <v>36.8261-76.1263</v>
      </c>
      <c r="C210" t="s">
        <v>105</v>
      </c>
      <c r="D210">
        <v>36.826099999999997</v>
      </c>
      <c r="E210">
        <v>-76.126300000000001</v>
      </c>
      <c r="F210">
        <v>6</v>
      </c>
      <c r="G210" t="str">
        <f t="shared" si="167"/>
        <v>-10-1536.8261-76.1263</v>
      </c>
      <c r="H210">
        <v>-10</v>
      </c>
      <c r="I210">
        <v>-15</v>
      </c>
      <c r="J210" t="s">
        <v>21</v>
      </c>
      <c r="L210" t="s">
        <v>10</v>
      </c>
      <c r="M210">
        <v>5</v>
      </c>
      <c r="Q210" s="1" t="str">
        <f t="shared" si="168"/>
        <v/>
      </c>
      <c r="S210" t="str">
        <f t="shared" si="139"/>
        <v>Sand</v>
      </c>
      <c r="T210">
        <f t="shared" si="169"/>
        <v>1</v>
      </c>
      <c r="AA210">
        <v>80</v>
      </c>
      <c r="AB210" s="1">
        <f t="shared" si="170"/>
        <v>7</v>
      </c>
      <c r="AC210">
        <f t="shared" si="171"/>
        <v>6</v>
      </c>
      <c r="AD210" t="str">
        <f t="shared" si="172"/>
        <v/>
      </c>
      <c r="AG210" s="21" t="str">
        <f t="shared" si="147"/>
        <v/>
      </c>
      <c r="AI210" s="6" t="str">
        <f t="shared" si="148"/>
        <v/>
      </c>
      <c r="AM210" s="7" t="str">
        <f t="shared" si="149"/>
        <v/>
      </c>
      <c r="AQ210" s="8" t="str">
        <f t="shared" si="150"/>
        <v/>
      </c>
      <c r="AW210" s="25" t="str">
        <f t="shared" si="151"/>
        <v/>
      </c>
      <c r="AZ210" s="12" t="str">
        <f t="shared" si="152"/>
        <v/>
      </c>
      <c r="BI210" s="17" t="str">
        <f t="shared" si="153"/>
        <v/>
      </c>
      <c r="BM210" t="str">
        <f t="shared" si="154"/>
        <v>SPT Relationship</v>
      </c>
      <c r="BN210">
        <f t="shared" si="140"/>
        <v>111</v>
      </c>
      <c r="BO210" t="str">
        <f t="shared" si="155"/>
        <v>Wolff, 1989</v>
      </c>
      <c r="BP210">
        <f t="shared" si="141"/>
        <v>28</v>
      </c>
      <c r="BQ210" t="str">
        <f t="shared" si="156"/>
        <v/>
      </c>
      <c r="BR210" t="str">
        <f t="shared" si="173"/>
        <v/>
      </c>
      <c r="BS210" t="str">
        <f t="shared" si="157"/>
        <v/>
      </c>
      <c r="BT210" t="str">
        <f t="shared" si="142"/>
        <v/>
      </c>
      <c r="BU210" t="str">
        <f t="shared" si="158"/>
        <v/>
      </c>
      <c r="BV210" t="str">
        <f t="shared" si="174"/>
        <v/>
      </c>
      <c r="BW210" t="str">
        <f t="shared" si="159"/>
        <v/>
      </c>
      <c r="BX210" t="str">
        <f t="shared" si="175"/>
        <v/>
      </c>
      <c r="BY210" t="str">
        <f t="shared" si="160"/>
        <v/>
      </c>
      <c r="BZ210" t="str">
        <f t="shared" si="176"/>
        <v/>
      </c>
      <c r="CA210" t="str">
        <f t="shared" si="161"/>
        <v/>
      </c>
      <c r="CB210" t="str">
        <f t="shared" si="143"/>
        <v/>
      </c>
      <c r="CC210" t="str">
        <f t="shared" si="162"/>
        <v/>
      </c>
      <c r="CD210" t="str">
        <f t="shared" si="144"/>
        <v/>
      </c>
      <c r="CE210" t="str">
        <f t="shared" si="163"/>
        <v>Bowles 5th edition</v>
      </c>
      <c r="CF210">
        <f t="shared" si="145"/>
        <v>141</v>
      </c>
      <c r="CG210" t="str">
        <f t="shared" si="164"/>
        <v/>
      </c>
      <c r="CH210" t="str">
        <f t="shared" si="146"/>
        <v/>
      </c>
      <c r="CI210" t="str">
        <f t="shared" si="165"/>
        <v/>
      </c>
      <c r="CJ210" t="str">
        <f t="shared" si="177"/>
        <v/>
      </c>
    </row>
    <row r="211" spans="2:88" x14ac:dyDescent="0.3">
      <c r="B211" t="str">
        <f t="shared" si="166"/>
        <v>36.8261-76.1263</v>
      </c>
      <c r="C211" t="s">
        <v>105</v>
      </c>
      <c r="D211">
        <v>36.826099999999997</v>
      </c>
      <c r="E211">
        <v>-76.126300000000001</v>
      </c>
      <c r="F211">
        <v>6</v>
      </c>
      <c r="G211" t="str">
        <f t="shared" si="167"/>
        <v>-15-21.536.8261-76.1263</v>
      </c>
      <c r="H211">
        <v>-15</v>
      </c>
      <c r="I211">
        <v>-21.5</v>
      </c>
      <c r="J211" t="s">
        <v>21</v>
      </c>
      <c r="L211" t="s">
        <v>8</v>
      </c>
      <c r="M211">
        <v>4</v>
      </c>
      <c r="Q211" s="1" t="str">
        <f t="shared" si="168"/>
        <v/>
      </c>
      <c r="S211" t="str">
        <f t="shared" si="139"/>
        <v>Sand</v>
      </c>
      <c r="T211">
        <f t="shared" si="169"/>
        <v>1</v>
      </c>
      <c r="AA211">
        <v>80</v>
      </c>
      <c r="AB211" s="1">
        <f t="shared" si="170"/>
        <v>5</v>
      </c>
      <c r="AC211">
        <f t="shared" si="171"/>
        <v>4</v>
      </c>
      <c r="AD211" t="str">
        <f t="shared" si="172"/>
        <v/>
      </c>
      <c r="AG211" s="21" t="str">
        <f t="shared" si="147"/>
        <v/>
      </c>
      <c r="AI211" s="6" t="str">
        <f t="shared" si="148"/>
        <v/>
      </c>
      <c r="AM211" s="7" t="str">
        <f t="shared" si="149"/>
        <v/>
      </c>
      <c r="AQ211" s="8" t="str">
        <f t="shared" si="150"/>
        <v/>
      </c>
      <c r="AW211" s="25" t="str">
        <f t="shared" si="151"/>
        <v/>
      </c>
      <c r="AZ211" s="12" t="str">
        <f t="shared" si="152"/>
        <v/>
      </c>
      <c r="BI211" s="17" t="str">
        <f t="shared" si="153"/>
        <v/>
      </c>
      <c r="BM211" t="str">
        <f t="shared" si="154"/>
        <v>SPT Relationship</v>
      </c>
      <c r="BN211">
        <f t="shared" si="140"/>
        <v>108</v>
      </c>
      <c r="BO211" t="str">
        <f t="shared" si="155"/>
        <v>Wolff, 1989</v>
      </c>
      <c r="BP211">
        <f t="shared" si="141"/>
        <v>28</v>
      </c>
      <c r="BQ211" t="str">
        <f t="shared" si="156"/>
        <v/>
      </c>
      <c r="BR211" t="str">
        <f t="shared" si="173"/>
        <v/>
      </c>
      <c r="BS211" t="str">
        <f t="shared" si="157"/>
        <v/>
      </c>
      <c r="BT211" t="str">
        <f t="shared" si="142"/>
        <v/>
      </c>
      <c r="BU211" t="str">
        <f t="shared" si="158"/>
        <v/>
      </c>
      <c r="BV211" t="str">
        <f t="shared" si="174"/>
        <v/>
      </c>
      <c r="BW211" t="str">
        <f t="shared" si="159"/>
        <v/>
      </c>
      <c r="BX211" t="str">
        <f t="shared" si="175"/>
        <v/>
      </c>
      <c r="BY211" t="str">
        <f t="shared" si="160"/>
        <v/>
      </c>
      <c r="BZ211" t="str">
        <f t="shared" si="176"/>
        <v/>
      </c>
      <c r="CA211" t="str">
        <f t="shared" si="161"/>
        <v/>
      </c>
      <c r="CB211" t="str">
        <f t="shared" si="143"/>
        <v/>
      </c>
      <c r="CC211" t="str">
        <f t="shared" si="162"/>
        <v/>
      </c>
      <c r="CD211" t="str">
        <f t="shared" si="144"/>
        <v/>
      </c>
      <c r="CE211" t="str">
        <f t="shared" si="163"/>
        <v>Bowles 5th edition</v>
      </c>
      <c r="CF211">
        <f t="shared" si="145"/>
        <v>128</v>
      </c>
      <c r="CG211" t="str">
        <f t="shared" si="164"/>
        <v/>
      </c>
      <c r="CH211" t="str">
        <f t="shared" si="146"/>
        <v/>
      </c>
      <c r="CI211" t="str">
        <f t="shared" si="165"/>
        <v/>
      </c>
      <c r="CJ211" t="str">
        <f t="shared" si="177"/>
        <v/>
      </c>
    </row>
    <row r="212" spans="2:88" x14ac:dyDescent="0.3">
      <c r="B212" t="str">
        <f t="shared" si="166"/>
        <v>36.8261-76.1263</v>
      </c>
      <c r="C212" t="s">
        <v>105</v>
      </c>
      <c r="D212">
        <v>36.826099999999997</v>
      </c>
      <c r="E212">
        <v>-76.126300000000001</v>
      </c>
      <c r="F212">
        <v>6</v>
      </c>
      <c r="G212" t="str">
        <f t="shared" si="167"/>
        <v>-21.5-2436.8261-76.1263</v>
      </c>
      <c r="H212">
        <v>-21.5</v>
      </c>
      <c r="I212">
        <v>-24</v>
      </c>
      <c r="J212" t="s">
        <v>21</v>
      </c>
      <c r="L212" t="s">
        <v>17</v>
      </c>
      <c r="M212">
        <v>1</v>
      </c>
      <c r="Q212" s="1" t="str">
        <f t="shared" si="168"/>
        <v/>
      </c>
      <c r="S212" t="str">
        <f t="shared" si="139"/>
        <v>Sand</v>
      </c>
      <c r="T212">
        <f t="shared" si="169"/>
        <v>1</v>
      </c>
      <c r="AA212">
        <v>80</v>
      </c>
      <c r="AB212" s="1">
        <f t="shared" si="170"/>
        <v>1</v>
      </c>
      <c r="AC212">
        <f t="shared" si="171"/>
        <v>0</v>
      </c>
      <c r="AD212" t="str">
        <f t="shared" si="172"/>
        <v/>
      </c>
      <c r="AG212" s="21" t="str">
        <f t="shared" si="147"/>
        <v/>
      </c>
      <c r="AI212" s="6" t="str">
        <f t="shared" si="148"/>
        <v/>
      </c>
      <c r="AM212" s="7" t="str">
        <f t="shared" si="149"/>
        <v/>
      </c>
      <c r="AQ212" s="8" t="str">
        <f t="shared" si="150"/>
        <v/>
      </c>
      <c r="AW212" s="25" t="str">
        <f t="shared" si="151"/>
        <v/>
      </c>
      <c r="AZ212" s="12" t="str">
        <f t="shared" si="152"/>
        <v/>
      </c>
      <c r="BI212" s="17" t="str">
        <f t="shared" si="153"/>
        <v/>
      </c>
      <c r="BM212" t="str">
        <f t="shared" si="154"/>
        <v>SPT Relationship</v>
      </c>
      <c r="BN212">
        <f t="shared" si="140"/>
        <v>95</v>
      </c>
      <c r="BO212" t="str">
        <f t="shared" si="155"/>
        <v>Wolff, 1989</v>
      </c>
      <c r="BP212">
        <f t="shared" si="141"/>
        <v>27</v>
      </c>
      <c r="BQ212" t="str">
        <f t="shared" si="156"/>
        <v/>
      </c>
      <c r="BR212" t="str">
        <f t="shared" si="173"/>
        <v/>
      </c>
      <c r="BS212" t="str">
        <f t="shared" si="157"/>
        <v/>
      </c>
      <c r="BT212" t="str">
        <f t="shared" si="142"/>
        <v/>
      </c>
      <c r="BU212" t="str">
        <f t="shared" si="158"/>
        <v/>
      </c>
      <c r="BV212" t="str">
        <f t="shared" si="174"/>
        <v/>
      </c>
      <c r="BW212" t="str">
        <f t="shared" si="159"/>
        <v/>
      </c>
      <c r="BX212" t="str">
        <f t="shared" si="175"/>
        <v/>
      </c>
      <c r="BY212" t="str">
        <f t="shared" si="160"/>
        <v/>
      </c>
      <c r="BZ212" t="str">
        <f t="shared" si="176"/>
        <v/>
      </c>
      <c r="CA212" t="str">
        <f t="shared" si="161"/>
        <v/>
      </c>
      <c r="CB212" t="str">
        <f t="shared" si="143"/>
        <v/>
      </c>
      <c r="CC212" t="str">
        <f t="shared" si="162"/>
        <v/>
      </c>
      <c r="CD212" t="str">
        <f t="shared" si="144"/>
        <v/>
      </c>
      <c r="CE212" t="str">
        <f t="shared" si="163"/>
        <v>Bowles 5th edition</v>
      </c>
      <c r="CF212">
        <f t="shared" si="145"/>
        <v>102</v>
      </c>
      <c r="CG212" t="str">
        <f t="shared" si="164"/>
        <v/>
      </c>
      <c r="CH212" t="str">
        <f t="shared" si="146"/>
        <v/>
      </c>
      <c r="CI212" t="str">
        <f t="shared" si="165"/>
        <v/>
      </c>
      <c r="CJ212" t="str">
        <f t="shared" si="177"/>
        <v/>
      </c>
    </row>
    <row r="213" spans="2:88" x14ac:dyDescent="0.3">
      <c r="B213" t="str">
        <f t="shared" si="166"/>
        <v>36.8042-76.0807</v>
      </c>
      <c r="C213" t="s">
        <v>106</v>
      </c>
      <c r="D213">
        <v>36.804200000000002</v>
      </c>
      <c r="E213">
        <v>-76.080699999999993</v>
      </c>
      <c r="F213">
        <v>6.5</v>
      </c>
      <c r="G213" t="str">
        <f t="shared" si="167"/>
        <v>6.55.936.8042-76.0807</v>
      </c>
      <c r="H213">
        <v>6.5</v>
      </c>
      <c r="I213">
        <v>5.9</v>
      </c>
      <c r="J213" t="s">
        <v>21</v>
      </c>
      <c r="L213" t="s">
        <v>11</v>
      </c>
      <c r="M213">
        <v>6</v>
      </c>
      <c r="Q213" s="1" t="str">
        <f t="shared" si="168"/>
        <v/>
      </c>
      <c r="S213" t="str">
        <f t="shared" si="139"/>
        <v>Clay</v>
      </c>
      <c r="T213">
        <f t="shared" si="169"/>
        <v>1</v>
      </c>
      <c r="AA213">
        <v>80</v>
      </c>
      <c r="AB213" s="1">
        <f t="shared" si="170"/>
        <v>8</v>
      </c>
      <c r="AC213">
        <f t="shared" si="171"/>
        <v>45</v>
      </c>
      <c r="AD213" t="str">
        <f t="shared" si="172"/>
        <v/>
      </c>
      <c r="AG213" s="21" t="str">
        <f t="shared" si="147"/>
        <v/>
      </c>
      <c r="AI213" s="6" t="str">
        <f t="shared" si="148"/>
        <v/>
      </c>
      <c r="AM213" s="7" t="str">
        <f t="shared" si="149"/>
        <v/>
      </c>
      <c r="AQ213" s="8" t="str">
        <f t="shared" si="150"/>
        <v/>
      </c>
      <c r="AW213" s="25" t="str">
        <f t="shared" si="151"/>
        <v/>
      </c>
      <c r="AZ213" s="12" t="str">
        <f t="shared" si="152"/>
        <v/>
      </c>
      <c r="BI213" s="17" t="str">
        <f t="shared" si="153"/>
        <v/>
      </c>
      <c r="BM213" t="str">
        <f t="shared" si="154"/>
        <v>SPT Relationship</v>
      </c>
      <c r="BN213">
        <f t="shared" si="140"/>
        <v>113</v>
      </c>
      <c r="BO213" t="str">
        <f t="shared" si="155"/>
        <v>Wolff, 1989</v>
      </c>
      <c r="BP213">
        <f t="shared" si="141"/>
        <v>39</v>
      </c>
      <c r="BQ213" t="str">
        <f t="shared" si="156"/>
        <v/>
      </c>
      <c r="BR213" t="str">
        <f t="shared" si="173"/>
        <v/>
      </c>
      <c r="BS213" t="str">
        <f t="shared" si="157"/>
        <v>Stroud 1974 (K=3.5)</v>
      </c>
      <c r="BT213">
        <f t="shared" si="142"/>
        <v>585</v>
      </c>
      <c r="BU213" t="str">
        <f t="shared" si="158"/>
        <v/>
      </c>
      <c r="BV213" t="str">
        <f t="shared" si="174"/>
        <v/>
      </c>
      <c r="BW213" t="str">
        <f t="shared" si="159"/>
        <v/>
      </c>
      <c r="BX213" t="str">
        <f t="shared" si="175"/>
        <v/>
      </c>
      <c r="BY213" t="str">
        <f t="shared" si="160"/>
        <v/>
      </c>
      <c r="BZ213" t="str">
        <f t="shared" si="176"/>
        <v/>
      </c>
      <c r="CA213" t="str">
        <f t="shared" si="161"/>
        <v/>
      </c>
      <c r="CB213" t="str">
        <f t="shared" si="143"/>
        <v/>
      </c>
      <c r="CC213" t="str">
        <f t="shared" si="162"/>
        <v/>
      </c>
      <c r="CD213" t="str">
        <f t="shared" si="144"/>
        <v/>
      </c>
      <c r="CE213" t="str">
        <f t="shared" si="163"/>
        <v/>
      </c>
      <c r="CF213" t="str">
        <f t="shared" si="145"/>
        <v/>
      </c>
      <c r="CG213" t="str">
        <f t="shared" si="164"/>
        <v/>
      </c>
      <c r="CH213" t="str">
        <f t="shared" si="146"/>
        <v/>
      </c>
      <c r="CI213" t="str">
        <f t="shared" si="165"/>
        <v/>
      </c>
      <c r="CJ213" t="str">
        <f t="shared" si="177"/>
        <v/>
      </c>
    </row>
    <row r="214" spans="2:88" x14ac:dyDescent="0.3">
      <c r="B214" t="str">
        <f t="shared" si="166"/>
        <v>36.8042-76.0807</v>
      </c>
      <c r="C214" t="s">
        <v>106</v>
      </c>
      <c r="D214">
        <v>36.804200000000002</v>
      </c>
      <c r="E214">
        <v>-76.080699999999993</v>
      </c>
      <c r="F214">
        <v>6.5</v>
      </c>
      <c r="G214" t="str">
        <f t="shared" si="167"/>
        <v>5.94.536.8042-76.0807</v>
      </c>
      <c r="H214">
        <v>5.9</v>
      </c>
      <c r="I214">
        <v>4.5</v>
      </c>
      <c r="J214" t="s">
        <v>21</v>
      </c>
      <c r="L214" t="s">
        <v>11</v>
      </c>
      <c r="M214">
        <v>6</v>
      </c>
      <c r="Q214" s="1" t="str">
        <f t="shared" si="168"/>
        <v/>
      </c>
      <c r="S214" t="str">
        <f t="shared" si="139"/>
        <v>Clay</v>
      </c>
      <c r="T214">
        <f t="shared" si="169"/>
        <v>1</v>
      </c>
      <c r="AA214">
        <v>80</v>
      </c>
      <c r="AB214" s="1">
        <f t="shared" si="170"/>
        <v>8</v>
      </c>
      <c r="AC214">
        <f t="shared" si="171"/>
        <v>24</v>
      </c>
      <c r="AD214" t="str">
        <f t="shared" si="172"/>
        <v/>
      </c>
      <c r="AG214" s="21" t="str">
        <f t="shared" si="147"/>
        <v/>
      </c>
      <c r="AI214" s="6" t="str">
        <f t="shared" si="148"/>
        <v/>
      </c>
      <c r="AM214" s="7" t="str">
        <f t="shared" si="149"/>
        <v/>
      </c>
      <c r="AQ214" s="8" t="str">
        <f t="shared" si="150"/>
        <v/>
      </c>
      <c r="AW214" s="25" t="str">
        <f t="shared" si="151"/>
        <v/>
      </c>
      <c r="AZ214" s="12" t="str">
        <f t="shared" si="152"/>
        <v/>
      </c>
      <c r="BI214" s="17" t="str">
        <f t="shared" si="153"/>
        <v/>
      </c>
      <c r="BM214" t="str">
        <f t="shared" si="154"/>
        <v>SPT Relationship</v>
      </c>
      <c r="BN214">
        <f t="shared" si="140"/>
        <v>113</v>
      </c>
      <c r="BO214" t="str">
        <f t="shared" si="155"/>
        <v>Wolff, 1989</v>
      </c>
      <c r="BP214">
        <f t="shared" si="141"/>
        <v>33</v>
      </c>
      <c r="BQ214" t="str">
        <f t="shared" si="156"/>
        <v/>
      </c>
      <c r="BR214" t="str">
        <f t="shared" si="173"/>
        <v/>
      </c>
      <c r="BS214" t="str">
        <f t="shared" si="157"/>
        <v>Stroud 1974 (K=3.5)</v>
      </c>
      <c r="BT214">
        <f t="shared" si="142"/>
        <v>585</v>
      </c>
      <c r="BU214" t="str">
        <f t="shared" si="158"/>
        <v/>
      </c>
      <c r="BV214" t="str">
        <f t="shared" si="174"/>
        <v/>
      </c>
      <c r="BW214" t="str">
        <f t="shared" si="159"/>
        <v/>
      </c>
      <c r="BX214" t="str">
        <f t="shared" si="175"/>
        <v/>
      </c>
      <c r="BY214" t="str">
        <f t="shared" si="160"/>
        <v/>
      </c>
      <c r="BZ214" t="str">
        <f t="shared" si="176"/>
        <v/>
      </c>
      <c r="CA214" t="str">
        <f t="shared" si="161"/>
        <v/>
      </c>
      <c r="CB214" t="str">
        <f t="shared" si="143"/>
        <v/>
      </c>
      <c r="CC214" t="str">
        <f t="shared" si="162"/>
        <v/>
      </c>
      <c r="CD214" t="str">
        <f t="shared" si="144"/>
        <v/>
      </c>
      <c r="CE214" t="str">
        <f t="shared" si="163"/>
        <v/>
      </c>
      <c r="CF214" t="str">
        <f t="shared" si="145"/>
        <v/>
      </c>
      <c r="CG214" t="str">
        <f t="shared" si="164"/>
        <v/>
      </c>
      <c r="CH214" t="str">
        <f t="shared" si="146"/>
        <v/>
      </c>
      <c r="CI214" t="str">
        <f t="shared" si="165"/>
        <v/>
      </c>
      <c r="CJ214" t="str">
        <f t="shared" si="177"/>
        <v/>
      </c>
    </row>
    <row r="215" spans="2:88" x14ac:dyDescent="0.3">
      <c r="B215" t="str">
        <f t="shared" si="166"/>
        <v>36.8042-76.0807</v>
      </c>
      <c r="C215" t="s">
        <v>106</v>
      </c>
      <c r="D215">
        <v>36.804200000000002</v>
      </c>
      <c r="E215">
        <v>-76.080699999999993</v>
      </c>
      <c r="F215">
        <v>6.5</v>
      </c>
      <c r="G215" t="str">
        <f t="shared" si="167"/>
        <v>4.50.536.8042-76.0807</v>
      </c>
      <c r="H215">
        <v>4.5</v>
      </c>
      <c r="I215">
        <v>0.5</v>
      </c>
      <c r="J215" t="s">
        <v>21</v>
      </c>
      <c r="L215" t="s">
        <v>11</v>
      </c>
      <c r="M215">
        <v>10</v>
      </c>
      <c r="Q215" s="1" t="str">
        <f t="shared" si="168"/>
        <v/>
      </c>
      <c r="S215" t="str">
        <f t="shared" si="139"/>
        <v>Clay</v>
      </c>
      <c r="T215">
        <f t="shared" si="169"/>
        <v>1</v>
      </c>
      <c r="AA215">
        <v>80</v>
      </c>
      <c r="AB215" s="1">
        <f t="shared" si="170"/>
        <v>13</v>
      </c>
      <c r="AC215">
        <f t="shared" si="171"/>
        <v>23</v>
      </c>
      <c r="AD215" t="str">
        <f t="shared" si="172"/>
        <v/>
      </c>
      <c r="AG215" s="21" t="str">
        <f t="shared" si="147"/>
        <v/>
      </c>
      <c r="AI215" s="6" t="str">
        <f t="shared" si="148"/>
        <v/>
      </c>
      <c r="AM215" s="7" t="str">
        <f t="shared" si="149"/>
        <v/>
      </c>
      <c r="AQ215" s="8" t="str">
        <f t="shared" si="150"/>
        <v/>
      </c>
      <c r="AW215" s="25" t="str">
        <f t="shared" si="151"/>
        <v/>
      </c>
      <c r="AZ215" s="12" t="str">
        <f t="shared" si="152"/>
        <v/>
      </c>
      <c r="BI215" s="17" t="str">
        <f t="shared" si="153"/>
        <v/>
      </c>
      <c r="BM215" t="str">
        <f t="shared" si="154"/>
        <v>SPT Relationship</v>
      </c>
      <c r="BN215">
        <f t="shared" si="140"/>
        <v>118</v>
      </c>
      <c r="BO215" t="str">
        <f t="shared" si="155"/>
        <v>Wolff, 1989</v>
      </c>
      <c r="BP215">
        <f t="shared" si="141"/>
        <v>33</v>
      </c>
      <c r="BQ215" t="str">
        <f t="shared" si="156"/>
        <v/>
      </c>
      <c r="BR215" t="str">
        <f t="shared" si="173"/>
        <v/>
      </c>
      <c r="BS215" t="str">
        <f t="shared" si="157"/>
        <v>Stroud 1974 (K=3.5)</v>
      </c>
      <c r="BT215">
        <f t="shared" si="142"/>
        <v>950</v>
      </c>
      <c r="BU215" t="str">
        <f t="shared" si="158"/>
        <v/>
      </c>
      <c r="BV215" t="str">
        <f t="shared" si="174"/>
        <v/>
      </c>
      <c r="BW215" t="str">
        <f t="shared" si="159"/>
        <v/>
      </c>
      <c r="BX215" t="str">
        <f t="shared" si="175"/>
        <v/>
      </c>
      <c r="BY215" t="str">
        <f t="shared" si="160"/>
        <v/>
      </c>
      <c r="BZ215" t="str">
        <f t="shared" si="176"/>
        <v/>
      </c>
      <c r="CA215" t="str">
        <f t="shared" si="161"/>
        <v/>
      </c>
      <c r="CB215" t="str">
        <f t="shared" si="143"/>
        <v/>
      </c>
      <c r="CC215" t="str">
        <f t="shared" si="162"/>
        <v/>
      </c>
      <c r="CD215" t="str">
        <f t="shared" si="144"/>
        <v/>
      </c>
      <c r="CE215" t="str">
        <f t="shared" si="163"/>
        <v/>
      </c>
      <c r="CF215" t="str">
        <f t="shared" si="145"/>
        <v/>
      </c>
      <c r="CG215" t="str">
        <f t="shared" si="164"/>
        <v/>
      </c>
      <c r="CH215" t="str">
        <f t="shared" si="146"/>
        <v/>
      </c>
      <c r="CI215" t="str">
        <f t="shared" si="165"/>
        <v/>
      </c>
      <c r="CJ215" t="str">
        <f t="shared" si="177"/>
        <v/>
      </c>
    </row>
    <row r="216" spans="2:88" x14ac:dyDescent="0.3">
      <c r="B216" t="str">
        <f t="shared" si="166"/>
        <v>36.8042-76.0807</v>
      </c>
      <c r="C216" t="s">
        <v>106</v>
      </c>
      <c r="D216">
        <v>36.804200000000002</v>
      </c>
      <c r="E216">
        <v>-76.080699999999993</v>
      </c>
      <c r="F216">
        <v>6.5</v>
      </c>
      <c r="G216" t="str">
        <f t="shared" si="167"/>
        <v>0.5-1.536.8042-76.0807</v>
      </c>
      <c r="H216">
        <v>0.5</v>
      </c>
      <c r="I216">
        <v>-1.5</v>
      </c>
      <c r="J216" t="s">
        <v>21</v>
      </c>
      <c r="L216" t="s">
        <v>8</v>
      </c>
      <c r="M216">
        <v>19</v>
      </c>
      <c r="Q216" s="1" t="str">
        <f t="shared" si="168"/>
        <v/>
      </c>
      <c r="S216" t="str">
        <f t="shared" si="139"/>
        <v>Sand</v>
      </c>
      <c r="T216">
        <f t="shared" si="169"/>
        <v>1</v>
      </c>
      <c r="AA216">
        <v>80</v>
      </c>
      <c r="AB216" s="1">
        <f t="shared" si="170"/>
        <v>25</v>
      </c>
      <c r="AC216">
        <f t="shared" si="171"/>
        <v>38</v>
      </c>
      <c r="AD216" t="str">
        <f t="shared" si="172"/>
        <v/>
      </c>
      <c r="AG216" s="21" t="str">
        <f t="shared" si="147"/>
        <v/>
      </c>
      <c r="AI216" s="6" t="str">
        <f t="shared" si="148"/>
        <v/>
      </c>
      <c r="AM216" s="7" t="str">
        <f t="shared" si="149"/>
        <v/>
      </c>
      <c r="AQ216" s="8" t="str">
        <f t="shared" si="150"/>
        <v/>
      </c>
      <c r="AW216" s="25" t="str">
        <f t="shared" si="151"/>
        <v/>
      </c>
      <c r="AZ216" s="12" t="str">
        <f t="shared" si="152"/>
        <v/>
      </c>
      <c r="BI216" s="17" t="str">
        <f t="shared" si="153"/>
        <v/>
      </c>
      <c r="BM216" t="str">
        <f t="shared" si="154"/>
        <v>SPT Relationship</v>
      </c>
      <c r="BN216">
        <f t="shared" si="140"/>
        <v>126</v>
      </c>
      <c r="BO216" t="str">
        <f t="shared" si="155"/>
        <v>Wolff, 1989</v>
      </c>
      <c r="BP216">
        <f t="shared" si="141"/>
        <v>37</v>
      </c>
      <c r="BQ216" t="str">
        <f t="shared" si="156"/>
        <v/>
      </c>
      <c r="BR216" t="str">
        <f t="shared" si="173"/>
        <v/>
      </c>
      <c r="BS216" t="str">
        <f t="shared" si="157"/>
        <v/>
      </c>
      <c r="BT216" t="str">
        <f t="shared" si="142"/>
        <v/>
      </c>
      <c r="BU216" t="str">
        <f t="shared" si="158"/>
        <v/>
      </c>
      <c r="BV216" t="str">
        <f t="shared" si="174"/>
        <v/>
      </c>
      <c r="BW216" t="str">
        <f t="shared" si="159"/>
        <v/>
      </c>
      <c r="BX216" t="str">
        <f t="shared" si="175"/>
        <v/>
      </c>
      <c r="BY216" t="str">
        <f t="shared" si="160"/>
        <v/>
      </c>
      <c r="BZ216" t="str">
        <f t="shared" si="176"/>
        <v/>
      </c>
      <c r="CA216" t="str">
        <f t="shared" si="161"/>
        <v/>
      </c>
      <c r="CB216" t="str">
        <f t="shared" si="143"/>
        <v/>
      </c>
      <c r="CC216" t="str">
        <f t="shared" si="162"/>
        <v/>
      </c>
      <c r="CD216" t="str">
        <f t="shared" si="144"/>
        <v/>
      </c>
      <c r="CE216" t="str">
        <f t="shared" si="163"/>
        <v>Bowles 5th edition</v>
      </c>
      <c r="CF216">
        <f t="shared" si="145"/>
        <v>256</v>
      </c>
      <c r="CG216" t="str">
        <f t="shared" si="164"/>
        <v/>
      </c>
      <c r="CH216" t="str">
        <f t="shared" si="146"/>
        <v/>
      </c>
      <c r="CI216" t="str">
        <f t="shared" si="165"/>
        <v/>
      </c>
      <c r="CJ216" t="str">
        <f t="shared" si="177"/>
        <v/>
      </c>
    </row>
    <row r="217" spans="2:88" x14ac:dyDescent="0.3">
      <c r="B217" t="str">
        <f t="shared" si="166"/>
        <v>36.8042-76.0807</v>
      </c>
      <c r="C217" t="s">
        <v>106</v>
      </c>
      <c r="D217">
        <v>36.804200000000002</v>
      </c>
      <c r="E217">
        <v>-76.080699999999993</v>
      </c>
      <c r="F217">
        <v>6.5</v>
      </c>
      <c r="G217" t="str">
        <f t="shared" si="167"/>
        <v>-1.5-2.536.8042-76.0807</v>
      </c>
      <c r="H217">
        <v>-1.5</v>
      </c>
      <c r="I217">
        <v>-2.5</v>
      </c>
      <c r="J217" t="s">
        <v>21</v>
      </c>
      <c r="L217" t="s">
        <v>16</v>
      </c>
      <c r="M217">
        <v>2</v>
      </c>
      <c r="Q217" s="1" t="str">
        <f t="shared" si="168"/>
        <v/>
      </c>
      <c r="S217" t="str">
        <f t="shared" si="139"/>
        <v>Sand</v>
      </c>
      <c r="T217">
        <f t="shared" si="169"/>
        <v>1</v>
      </c>
      <c r="AA217">
        <v>80</v>
      </c>
      <c r="AB217" s="1">
        <f t="shared" si="170"/>
        <v>3</v>
      </c>
      <c r="AC217">
        <f t="shared" si="171"/>
        <v>4</v>
      </c>
      <c r="AD217" t="str">
        <f t="shared" si="172"/>
        <v/>
      </c>
      <c r="AG217" s="21" t="str">
        <f t="shared" si="147"/>
        <v/>
      </c>
      <c r="AI217" s="6" t="str">
        <f t="shared" si="148"/>
        <v/>
      </c>
      <c r="AM217" s="7" t="str">
        <f t="shared" si="149"/>
        <v/>
      </c>
      <c r="AQ217" s="8" t="str">
        <f t="shared" si="150"/>
        <v/>
      </c>
      <c r="AW217" s="25" t="str">
        <f t="shared" si="151"/>
        <v/>
      </c>
      <c r="AZ217" s="12" t="str">
        <f t="shared" si="152"/>
        <v/>
      </c>
      <c r="BI217" s="17" t="str">
        <f t="shared" si="153"/>
        <v/>
      </c>
      <c r="BM217" t="str">
        <f t="shared" si="154"/>
        <v>SPT Relationship</v>
      </c>
      <c r="BN217">
        <f t="shared" si="140"/>
        <v>101</v>
      </c>
      <c r="BO217" t="str">
        <f t="shared" si="155"/>
        <v>Wolff, 1989</v>
      </c>
      <c r="BP217">
        <f t="shared" si="141"/>
        <v>28</v>
      </c>
      <c r="BQ217" t="str">
        <f t="shared" si="156"/>
        <v/>
      </c>
      <c r="BR217" t="str">
        <f t="shared" si="173"/>
        <v/>
      </c>
      <c r="BS217" t="str">
        <f t="shared" si="157"/>
        <v/>
      </c>
      <c r="BT217" t="str">
        <f t="shared" si="142"/>
        <v/>
      </c>
      <c r="BU217" t="str">
        <f t="shared" si="158"/>
        <v/>
      </c>
      <c r="BV217" t="str">
        <f t="shared" si="174"/>
        <v/>
      </c>
      <c r="BW217" t="str">
        <f t="shared" si="159"/>
        <v/>
      </c>
      <c r="BX217" t="str">
        <f t="shared" si="175"/>
        <v/>
      </c>
      <c r="BY217" t="str">
        <f t="shared" si="160"/>
        <v/>
      </c>
      <c r="BZ217" t="str">
        <f t="shared" si="176"/>
        <v/>
      </c>
      <c r="CA217" t="str">
        <f t="shared" si="161"/>
        <v/>
      </c>
      <c r="CB217" t="str">
        <f t="shared" si="143"/>
        <v/>
      </c>
      <c r="CC217" t="str">
        <f t="shared" si="162"/>
        <v/>
      </c>
      <c r="CD217" t="str">
        <f t="shared" si="144"/>
        <v/>
      </c>
      <c r="CE217" t="str">
        <f t="shared" si="163"/>
        <v>Bowles 5th edition</v>
      </c>
      <c r="CF217">
        <f t="shared" si="145"/>
        <v>115</v>
      </c>
      <c r="CG217" t="str">
        <f t="shared" si="164"/>
        <v/>
      </c>
      <c r="CH217" t="str">
        <f t="shared" si="146"/>
        <v/>
      </c>
      <c r="CI217" t="str">
        <f t="shared" si="165"/>
        <v/>
      </c>
      <c r="CJ217" t="str">
        <f t="shared" si="177"/>
        <v/>
      </c>
    </row>
    <row r="218" spans="2:88" x14ac:dyDescent="0.3">
      <c r="B218" t="str">
        <f t="shared" si="166"/>
        <v>36.8042-76.0807</v>
      </c>
      <c r="C218" t="s">
        <v>106</v>
      </c>
      <c r="D218">
        <v>36.804200000000002</v>
      </c>
      <c r="E218">
        <v>-76.080699999999993</v>
      </c>
      <c r="F218">
        <v>6.5</v>
      </c>
      <c r="G218" t="str">
        <f t="shared" si="167"/>
        <v>-2.5-3.536.8042-76.0807</v>
      </c>
      <c r="H218">
        <v>-2.5</v>
      </c>
      <c r="I218">
        <v>-3.5</v>
      </c>
      <c r="J218" t="s">
        <v>21</v>
      </c>
      <c r="L218" t="s">
        <v>11</v>
      </c>
      <c r="M218">
        <v>2</v>
      </c>
      <c r="Q218" s="1" t="str">
        <f t="shared" si="168"/>
        <v/>
      </c>
      <c r="S218" t="str">
        <f t="shared" si="139"/>
        <v>Clay</v>
      </c>
      <c r="T218">
        <f t="shared" si="169"/>
        <v>1</v>
      </c>
      <c r="AA218">
        <v>80</v>
      </c>
      <c r="AB218" s="1">
        <f t="shared" si="170"/>
        <v>3</v>
      </c>
      <c r="AC218">
        <f t="shared" si="171"/>
        <v>4</v>
      </c>
      <c r="AD218" t="str">
        <f t="shared" si="172"/>
        <v/>
      </c>
      <c r="AG218" s="21" t="str">
        <f t="shared" si="147"/>
        <v/>
      </c>
      <c r="AI218" s="6" t="str">
        <f t="shared" si="148"/>
        <v/>
      </c>
      <c r="AM218" s="7" t="str">
        <f t="shared" si="149"/>
        <v/>
      </c>
      <c r="AQ218" s="8" t="str">
        <f t="shared" si="150"/>
        <v/>
      </c>
      <c r="AW218" s="25" t="str">
        <f t="shared" si="151"/>
        <v/>
      </c>
      <c r="AZ218" s="12" t="str">
        <f t="shared" si="152"/>
        <v/>
      </c>
      <c r="BI218" s="17" t="str">
        <f t="shared" si="153"/>
        <v/>
      </c>
      <c r="BM218" t="str">
        <f t="shared" si="154"/>
        <v>SPT Relationship</v>
      </c>
      <c r="BN218">
        <f t="shared" si="140"/>
        <v>101</v>
      </c>
      <c r="BO218" t="str">
        <f t="shared" si="155"/>
        <v>Wolff, 1989</v>
      </c>
      <c r="BP218">
        <f t="shared" si="141"/>
        <v>28</v>
      </c>
      <c r="BQ218" t="str">
        <f t="shared" si="156"/>
        <v/>
      </c>
      <c r="BR218" t="str">
        <f t="shared" si="173"/>
        <v/>
      </c>
      <c r="BS218" t="str">
        <f t="shared" si="157"/>
        <v>Stroud 1974 (K=3.5)</v>
      </c>
      <c r="BT218">
        <f t="shared" si="142"/>
        <v>219</v>
      </c>
      <c r="BU218" t="str">
        <f t="shared" si="158"/>
        <v/>
      </c>
      <c r="BV218" t="str">
        <f t="shared" si="174"/>
        <v/>
      </c>
      <c r="BW218" t="str">
        <f t="shared" si="159"/>
        <v/>
      </c>
      <c r="BX218" t="str">
        <f t="shared" si="175"/>
        <v/>
      </c>
      <c r="BY218" t="str">
        <f t="shared" si="160"/>
        <v/>
      </c>
      <c r="BZ218" t="str">
        <f t="shared" si="176"/>
        <v/>
      </c>
      <c r="CA218" t="str">
        <f t="shared" si="161"/>
        <v/>
      </c>
      <c r="CB218" t="str">
        <f t="shared" si="143"/>
        <v/>
      </c>
      <c r="CC218" t="str">
        <f t="shared" si="162"/>
        <v/>
      </c>
      <c r="CD218" t="str">
        <f t="shared" si="144"/>
        <v/>
      </c>
      <c r="CE218" t="str">
        <f t="shared" si="163"/>
        <v/>
      </c>
      <c r="CF218" t="str">
        <f t="shared" si="145"/>
        <v/>
      </c>
      <c r="CG218" t="str">
        <f t="shared" si="164"/>
        <v/>
      </c>
      <c r="CH218" t="str">
        <f t="shared" si="146"/>
        <v/>
      </c>
      <c r="CI218" t="str">
        <f t="shared" si="165"/>
        <v/>
      </c>
      <c r="CJ218" t="str">
        <f t="shared" si="177"/>
        <v/>
      </c>
    </row>
    <row r="219" spans="2:88" x14ac:dyDescent="0.3">
      <c r="B219" t="str">
        <f t="shared" si="166"/>
        <v>36.8042-76.0807</v>
      </c>
      <c r="C219" t="s">
        <v>106</v>
      </c>
      <c r="D219">
        <v>36.804200000000002</v>
      </c>
      <c r="E219">
        <v>-76.080699999999993</v>
      </c>
      <c r="F219">
        <v>6.5</v>
      </c>
      <c r="G219" t="str">
        <f t="shared" si="167"/>
        <v>-3.5-1036.8042-76.0807</v>
      </c>
      <c r="H219">
        <v>-3.5</v>
      </c>
      <c r="I219">
        <v>-10</v>
      </c>
      <c r="J219" t="s">
        <v>21</v>
      </c>
      <c r="L219" t="s">
        <v>8</v>
      </c>
      <c r="M219">
        <v>3</v>
      </c>
      <c r="Q219" s="1" t="str">
        <f t="shared" si="168"/>
        <v/>
      </c>
      <c r="S219" t="str">
        <f t="shared" si="139"/>
        <v>Sand</v>
      </c>
      <c r="T219">
        <f t="shared" si="169"/>
        <v>1</v>
      </c>
      <c r="AA219">
        <v>80</v>
      </c>
      <c r="AB219" s="1">
        <f t="shared" si="170"/>
        <v>4</v>
      </c>
      <c r="AC219">
        <f t="shared" si="171"/>
        <v>4</v>
      </c>
      <c r="AD219" t="str">
        <f t="shared" si="172"/>
        <v/>
      </c>
      <c r="AG219" s="21" t="str">
        <f t="shared" si="147"/>
        <v/>
      </c>
      <c r="AI219" s="6" t="str">
        <f t="shared" si="148"/>
        <v/>
      </c>
      <c r="AM219" s="7" t="str">
        <f t="shared" si="149"/>
        <v/>
      </c>
      <c r="AQ219" s="8" t="str">
        <f t="shared" si="150"/>
        <v/>
      </c>
      <c r="AW219" s="25" t="str">
        <f t="shared" si="151"/>
        <v/>
      </c>
      <c r="AZ219" s="12" t="str">
        <f t="shared" si="152"/>
        <v/>
      </c>
      <c r="BI219" s="17" t="str">
        <f t="shared" si="153"/>
        <v/>
      </c>
      <c r="BM219" t="str">
        <f t="shared" si="154"/>
        <v>SPT Relationship</v>
      </c>
      <c r="BN219">
        <f t="shared" si="140"/>
        <v>105</v>
      </c>
      <c r="BO219" t="str">
        <f t="shared" si="155"/>
        <v>Wolff, 1989</v>
      </c>
      <c r="BP219">
        <f t="shared" si="141"/>
        <v>28</v>
      </c>
      <c r="BQ219" t="str">
        <f t="shared" si="156"/>
        <v/>
      </c>
      <c r="BR219" t="str">
        <f t="shared" si="173"/>
        <v/>
      </c>
      <c r="BS219" t="str">
        <f t="shared" si="157"/>
        <v/>
      </c>
      <c r="BT219" t="str">
        <f t="shared" si="142"/>
        <v/>
      </c>
      <c r="BU219" t="str">
        <f t="shared" si="158"/>
        <v/>
      </c>
      <c r="BV219" t="str">
        <f t="shared" si="174"/>
        <v/>
      </c>
      <c r="BW219" t="str">
        <f t="shared" si="159"/>
        <v/>
      </c>
      <c r="BX219" t="str">
        <f t="shared" si="175"/>
        <v/>
      </c>
      <c r="BY219" t="str">
        <f t="shared" si="160"/>
        <v/>
      </c>
      <c r="BZ219" t="str">
        <f t="shared" si="176"/>
        <v/>
      </c>
      <c r="CA219" t="str">
        <f t="shared" si="161"/>
        <v/>
      </c>
      <c r="CB219" t="str">
        <f t="shared" si="143"/>
        <v/>
      </c>
      <c r="CC219" t="str">
        <f t="shared" si="162"/>
        <v/>
      </c>
      <c r="CD219" t="str">
        <f t="shared" si="144"/>
        <v/>
      </c>
      <c r="CE219" t="str">
        <f t="shared" si="163"/>
        <v>Bowles 5th edition</v>
      </c>
      <c r="CF219">
        <f t="shared" si="145"/>
        <v>122</v>
      </c>
      <c r="CG219" t="str">
        <f t="shared" si="164"/>
        <v/>
      </c>
      <c r="CH219" t="str">
        <f t="shared" si="146"/>
        <v/>
      </c>
      <c r="CI219" t="str">
        <f t="shared" si="165"/>
        <v/>
      </c>
      <c r="CJ219" t="str">
        <f t="shared" si="177"/>
        <v/>
      </c>
    </row>
    <row r="220" spans="2:88" x14ac:dyDescent="0.3">
      <c r="B220" t="str">
        <f t="shared" si="166"/>
        <v>36.8042-76.0807</v>
      </c>
      <c r="C220" t="s">
        <v>106</v>
      </c>
      <c r="D220">
        <v>36.804200000000002</v>
      </c>
      <c r="E220">
        <v>-76.080699999999993</v>
      </c>
      <c r="F220">
        <v>6.5</v>
      </c>
      <c r="G220" t="str">
        <f t="shared" si="167"/>
        <v>-10-13.536.8042-76.0807</v>
      </c>
      <c r="H220">
        <v>-10</v>
      </c>
      <c r="I220">
        <v>-13.5</v>
      </c>
      <c r="J220" t="s">
        <v>21</v>
      </c>
      <c r="L220" t="s">
        <v>11</v>
      </c>
      <c r="M220">
        <v>3</v>
      </c>
      <c r="Q220" s="1" t="str">
        <f t="shared" si="168"/>
        <v/>
      </c>
      <c r="S220" t="str">
        <f t="shared" si="139"/>
        <v>Clay</v>
      </c>
      <c r="T220">
        <f t="shared" si="169"/>
        <v>1</v>
      </c>
      <c r="AA220">
        <v>80</v>
      </c>
      <c r="AB220" s="1">
        <f t="shared" si="170"/>
        <v>4</v>
      </c>
      <c r="AC220">
        <f t="shared" si="171"/>
        <v>3</v>
      </c>
      <c r="AD220" t="str">
        <f t="shared" si="172"/>
        <v/>
      </c>
      <c r="AG220" s="21" t="str">
        <f t="shared" si="147"/>
        <v/>
      </c>
      <c r="AI220" s="6" t="str">
        <f t="shared" si="148"/>
        <v/>
      </c>
      <c r="AM220" s="7" t="str">
        <f t="shared" si="149"/>
        <v/>
      </c>
      <c r="AQ220" s="8" t="str">
        <f t="shared" si="150"/>
        <v/>
      </c>
      <c r="AW220" s="25" t="str">
        <f t="shared" si="151"/>
        <v/>
      </c>
      <c r="AZ220" s="12" t="str">
        <f t="shared" si="152"/>
        <v/>
      </c>
      <c r="BI220" s="17" t="str">
        <f t="shared" si="153"/>
        <v/>
      </c>
      <c r="BM220" t="str">
        <f t="shared" si="154"/>
        <v>SPT Relationship</v>
      </c>
      <c r="BN220">
        <f t="shared" si="140"/>
        <v>105</v>
      </c>
      <c r="BO220" t="str">
        <f t="shared" si="155"/>
        <v>Wolff, 1989</v>
      </c>
      <c r="BP220">
        <f t="shared" si="141"/>
        <v>27</v>
      </c>
      <c r="BQ220" t="str">
        <f t="shared" si="156"/>
        <v/>
      </c>
      <c r="BR220" t="str">
        <f t="shared" si="173"/>
        <v/>
      </c>
      <c r="BS220" t="str">
        <f t="shared" si="157"/>
        <v>Stroud 1974 (K=3.5)</v>
      </c>
      <c r="BT220">
        <f t="shared" si="142"/>
        <v>292</v>
      </c>
      <c r="BU220" t="str">
        <f t="shared" si="158"/>
        <v/>
      </c>
      <c r="BV220" t="str">
        <f t="shared" si="174"/>
        <v/>
      </c>
      <c r="BW220" t="str">
        <f t="shared" si="159"/>
        <v/>
      </c>
      <c r="BX220" t="str">
        <f t="shared" si="175"/>
        <v/>
      </c>
      <c r="BY220" t="str">
        <f t="shared" si="160"/>
        <v/>
      </c>
      <c r="BZ220" t="str">
        <f t="shared" si="176"/>
        <v/>
      </c>
      <c r="CA220" t="str">
        <f t="shared" si="161"/>
        <v/>
      </c>
      <c r="CB220" t="str">
        <f t="shared" si="143"/>
        <v/>
      </c>
      <c r="CC220" t="str">
        <f t="shared" si="162"/>
        <v/>
      </c>
      <c r="CD220" t="str">
        <f t="shared" si="144"/>
        <v/>
      </c>
      <c r="CE220" t="str">
        <f t="shared" si="163"/>
        <v/>
      </c>
      <c r="CF220" t="str">
        <f t="shared" si="145"/>
        <v/>
      </c>
      <c r="CG220" t="str">
        <f t="shared" si="164"/>
        <v/>
      </c>
      <c r="CH220" t="str">
        <f t="shared" si="146"/>
        <v/>
      </c>
      <c r="CI220" t="str">
        <f t="shared" si="165"/>
        <v/>
      </c>
      <c r="CJ220" t="str">
        <f t="shared" si="177"/>
        <v/>
      </c>
    </row>
    <row r="221" spans="2:88" x14ac:dyDescent="0.3">
      <c r="B221" t="str">
        <f t="shared" si="166"/>
        <v>36.8036-76.0769</v>
      </c>
      <c r="C221" t="s">
        <v>107</v>
      </c>
      <c r="D221">
        <v>36.803600000000003</v>
      </c>
      <c r="E221">
        <v>-76.076899999999995</v>
      </c>
      <c r="F221">
        <v>5.7</v>
      </c>
      <c r="G221" t="str">
        <f t="shared" si="167"/>
        <v>5.75.436.8036-76.0769</v>
      </c>
      <c r="H221">
        <v>5.7</v>
      </c>
      <c r="I221">
        <v>5.4</v>
      </c>
      <c r="J221" t="s">
        <v>21</v>
      </c>
      <c r="L221" t="s">
        <v>11</v>
      </c>
      <c r="M221">
        <v>4</v>
      </c>
      <c r="Q221" s="1" t="str">
        <f t="shared" si="168"/>
        <v/>
      </c>
      <c r="S221" t="str">
        <f t="shared" si="139"/>
        <v>Clay</v>
      </c>
      <c r="T221">
        <f t="shared" si="169"/>
        <v>1</v>
      </c>
      <c r="AA221">
        <v>80</v>
      </c>
      <c r="AB221" s="1">
        <f t="shared" si="170"/>
        <v>5</v>
      </c>
      <c r="AC221">
        <f t="shared" si="171"/>
        <v>39</v>
      </c>
      <c r="AD221" t="str">
        <f t="shared" si="172"/>
        <v/>
      </c>
      <c r="AG221" s="21" t="str">
        <f t="shared" si="147"/>
        <v/>
      </c>
      <c r="AI221" s="6" t="str">
        <f t="shared" si="148"/>
        <v/>
      </c>
      <c r="AM221" s="7" t="str">
        <f t="shared" si="149"/>
        <v/>
      </c>
      <c r="AQ221" s="8" t="str">
        <f t="shared" si="150"/>
        <v/>
      </c>
      <c r="AW221" s="25" t="str">
        <f t="shared" si="151"/>
        <v/>
      </c>
      <c r="AZ221" s="12" t="str">
        <f t="shared" si="152"/>
        <v/>
      </c>
      <c r="BI221" s="17" t="str">
        <f t="shared" si="153"/>
        <v/>
      </c>
      <c r="BM221" t="str">
        <f t="shared" si="154"/>
        <v>SPT Relationship</v>
      </c>
      <c r="BN221">
        <f t="shared" si="140"/>
        <v>108</v>
      </c>
      <c r="BO221" t="str">
        <f t="shared" si="155"/>
        <v>Wolff, 1989</v>
      </c>
      <c r="BP221">
        <f t="shared" si="141"/>
        <v>37</v>
      </c>
      <c r="BQ221" t="str">
        <f t="shared" si="156"/>
        <v/>
      </c>
      <c r="BR221" t="str">
        <f t="shared" si="173"/>
        <v/>
      </c>
      <c r="BS221" t="str">
        <f t="shared" si="157"/>
        <v>Stroud 1974 (K=3.5)</v>
      </c>
      <c r="BT221">
        <f t="shared" si="142"/>
        <v>365</v>
      </c>
      <c r="BU221" t="str">
        <f t="shared" si="158"/>
        <v/>
      </c>
      <c r="BV221" t="str">
        <f t="shared" si="174"/>
        <v/>
      </c>
      <c r="BW221" t="str">
        <f t="shared" si="159"/>
        <v/>
      </c>
      <c r="BX221" t="str">
        <f t="shared" si="175"/>
        <v/>
      </c>
      <c r="BY221" t="str">
        <f t="shared" si="160"/>
        <v/>
      </c>
      <c r="BZ221" t="str">
        <f t="shared" si="176"/>
        <v/>
      </c>
      <c r="CA221" t="str">
        <f t="shared" si="161"/>
        <v/>
      </c>
      <c r="CB221" t="str">
        <f t="shared" si="143"/>
        <v/>
      </c>
      <c r="CC221" t="str">
        <f t="shared" si="162"/>
        <v/>
      </c>
      <c r="CD221" t="str">
        <f t="shared" si="144"/>
        <v/>
      </c>
      <c r="CE221" t="str">
        <f t="shared" si="163"/>
        <v/>
      </c>
      <c r="CF221" t="str">
        <f t="shared" si="145"/>
        <v/>
      </c>
      <c r="CG221" t="str">
        <f t="shared" si="164"/>
        <v/>
      </c>
      <c r="CH221" t="str">
        <f t="shared" si="146"/>
        <v/>
      </c>
      <c r="CI221" t="str">
        <f t="shared" si="165"/>
        <v/>
      </c>
      <c r="CJ221" t="str">
        <f t="shared" si="177"/>
        <v/>
      </c>
    </row>
    <row r="222" spans="2:88" x14ac:dyDescent="0.3">
      <c r="B222" t="str">
        <f t="shared" si="166"/>
        <v>36.8036-76.0769</v>
      </c>
      <c r="C222" t="s">
        <v>107</v>
      </c>
      <c r="D222">
        <v>36.803600000000003</v>
      </c>
      <c r="E222">
        <v>-76.076899999999995</v>
      </c>
      <c r="F222">
        <v>5.7</v>
      </c>
      <c r="G222" t="str">
        <f t="shared" si="167"/>
        <v>5.43.736.8036-76.0769</v>
      </c>
      <c r="H222">
        <v>5.4</v>
      </c>
      <c r="I222">
        <v>3.7</v>
      </c>
      <c r="J222" t="s">
        <v>21</v>
      </c>
      <c r="L222" t="s">
        <v>11</v>
      </c>
      <c r="M222">
        <v>4</v>
      </c>
      <c r="Q222" s="1" t="str">
        <f t="shared" si="168"/>
        <v/>
      </c>
      <c r="S222" t="str">
        <f t="shared" si="139"/>
        <v>Clay</v>
      </c>
      <c r="T222">
        <f t="shared" si="169"/>
        <v>1</v>
      </c>
      <c r="AA222">
        <v>80</v>
      </c>
      <c r="AB222" s="1">
        <f t="shared" si="170"/>
        <v>5</v>
      </c>
      <c r="AC222">
        <f t="shared" si="171"/>
        <v>15</v>
      </c>
      <c r="AD222" t="str">
        <f t="shared" si="172"/>
        <v/>
      </c>
      <c r="AG222" s="21" t="str">
        <f t="shared" si="147"/>
        <v/>
      </c>
      <c r="AI222" s="6" t="str">
        <f t="shared" si="148"/>
        <v/>
      </c>
      <c r="AM222" s="7" t="str">
        <f t="shared" si="149"/>
        <v/>
      </c>
      <c r="AQ222" s="8" t="str">
        <f t="shared" si="150"/>
        <v/>
      </c>
      <c r="AW222" s="25" t="str">
        <f t="shared" si="151"/>
        <v/>
      </c>
      <c r="AZ222" s="12" t="str">
        <f t="shared" si="152"/>
        <v/>
      </c>
      <c r="BI222" s="17" t="str">
        <f t="shared" si="153"/>
        <v/>
      </c>
      <c r="BM222" t="str">
        <f t="shared" si="154"/>
        <v>SPT Relationship</v>
      </c>
      <c r="BN222">
        <f t="shared" si="140"/>
        <v>108</v>
      </c>
      <c r="BO222" t="str">
        <f t="shared" si="155"/>
        <v>Wolff, 1989</v>
      </c>
      <c r="BP222">
        <f t="shared" si="141"/>
        <v>31</v>
      </c>
      <c r="BQ222" t="str">
        <f t="shared" si="156"/>
        <v/>
      </c>
      <c r="BR222" t="str">
        <f t="shared" si="173"/>
        <v/>
      </c>
      <c r="BS222" t="str">
        <f t="shared" si="157"/>
        <v>Stroud 1974 (K=3.5)</v>
      </c>
      <c r="BT222">
        <f t="shared" si="142"/>
        <v>365</v>
      </c>
      <c r="BU222" t="str">
        <f t="shared" si="158"/>
        <v/>
      </c>
      <c r="BV222" t="str">
        <f t="shared" si="174"/>
        <v/>
      </c>
      <c r="BW222" t="str">
        <f t="shared" si="159"/>
        <v/>
      </c>
      <c r="BX222" t="str">
        <f t="shared" si="175"/>
        <v/>
      </c>
      <c r="BY222" t="str">
        <f t="shared" si="160"/>
        <v/>
      </c>
      <c r="BZ222" t="str">
        <f t="shared" si="176"/>
        <v/>
      </c>
      <c r="CA222" t="str">
        <f t="shared" si="161"/>
        <v/>
      </c>
      <c r="CB222" t="str">
        <f t="shared" si="143"/>
        <v/>
      </c>
      <c r="CC222" t="str">
        <f t="shared" si="162"/>
        <v/>
      </c>
      <c r="CD222" t="str">
        <f t="shared" si="144"/>
        <v/>
      </c>
      <c r="CE222" t="str">
        <f t="shared" si="163"/>
        <v/>
      </c>
      <c r="CF222" t="str">
        <f t="shared" si="145"/>
        <v/>
      </c>
      <c r="CG222" t="str">
        <f t="shared" si="164"/>
        <v/>
      </c>
      <c r="CH222" t="str">
        <f t="shared" si="146"/>
        <v/>
      </c>
      <c r="CI222" t="str">
        <f t="shared" si="165"/>
        <v/>
      </c>
      <c r="CJ222" t="str">
        <f t="shared" si="177"/>
        <v/>
      </c>
    </row>
    <row r="223" spans="2:88" x14ac:dyDescent="0.3">
      <c r="B223" t="str">
        <f t="shared" si="166"/>
        <v>36.8036-76.0769</v>
      </c>
      <c r="C223" t="s">
        <v>107</v>
      </c>
      <c r="D223">
        <v>36.803600000000003</v>
      </c>
      <c r="E223">
        <v>-76.076899999999995</v>
      </c>
      <c r="F223">
        <v>5.7</v>
      </c>
      <c r="G223" t="str">
        <f t="shared" si="167"/>
        <v>3.71.736.8036-76.0769</v>
      </c>
      <c r="H223">
        <v>3.7</v>
      </c>
      <c r="I223">
        <v>1.7000000000000002</v>
      </c>
      <c r="J223" t="s">
        <v>21</v>
      </c>
      <c r="L223" t="s">
        <v>17</v>
      </c>
      <c r="M223">
        <v>4</v>
      </c>
      <c r="Q223" s="1" t="str">
        <f t="shared" si="168"/>
        <v/>
      </c>
      <c r="S223" t="str">
        <f t="shared" si="139"/>
        <v>Sand</v>
      </c>
      <c r="T223">
        <f t="shared" si="169"/>
        <v>1</v>
      </c>
      <c r="AA223">
        <v>80</v>
      </c>
      <c r="AB223" s="1">
        <f t="shared" si="170"/>
        <v>5</v>
      </c>
      <c r="AC223">
        <f t="shared" si="171"/>
        <v>10</v>
      </c>
      <c r="AD223" t="str">
        <f t="shared" si="172"/>
        <v/>
      </c>
      <c r="AG223" s="21" t="str">
        <f t="shared" si="147"/>
        <v/>
      </c>
      <c r="AI223" s="6" t="str">
        <f t="shared" si="148"/>
        <v/>
      </c>
      <c r="AM223" s="7" t="str">
        <f t="shared" si="149"/>
        <v/>
      </c>
      <c r="AQ223" s="8" t="str">
        <f t="shared" si="150"/>
        <v/>
      </c>
      <c r="AW223" s="25" t="str">
        <f t="shared" si="151"/>
        <v/>
      </c>
      <c r="AZ223" s="12" t="str">
        <f t="shared" si="152"/>
        <v/>
      </c>
      <c r="BI223" s="17" t="str">
        <f t="shared" si="153"/>
        <v/>
      </c>
      <c r="BM223" t="str">
        <f t="shared" si="154"/>
        <v>SPT Relationship</v>
      </c>
      <c r="BN223">
        <f t="shared" si="140"/>
        <v>108</v>
      </c>
      <c r="BO223" t="str">
        <f t="shared" si="155"/>
        <v>Wolff, 1989</v>
      </c>
      <c r="BP223">
        <f t="shared" si="141"/>
        <v>30</v>
      </c>
      <c r="BQ223" t="str">
        <f t="shared" si="156"/>
        <v/>
      </c>
      <c r="BR223" t="str">
        <f t="shared" si="173"/>
        <v/>
      </c>
      <c r="BS223" t="str">
        <f t="shared" si="157"/>
        <v/>
      </c>
      <c r="BT223" t="str">
        <f t="shared" si="142"/>
        <v/>
      </c>
      <c r="BU223" t="str">
        <f t="shared" si="158"/>
        <v/>
      </c>
      <c r="BV223" t="str">
        <f t="shared" si="174"/>
        <v/>
      </c>
      <c r="BW223" t="str">
        <f t="shared" si="159"/>
        <v/>
      </c>
      <c r="BX223" t="str">
        <f t="shared" si="175"/>
        <v/>
      </c>
      <c r="BY223" t="str">
        <f t="shared" si="160"/>
        <v/>
      </c>
      <c r="BZ223" t="str">
        <f t="shared" si="176"/>
        <v/>
      </c>
      <c r="CA223" t="str">
        <f t="shared" si="161"/>
        <v/>
      </c>
      <c r="CB223" t="str">
        <f t="shared" si="143"/>
        <v/>
      </c>
      <c r="CC223" t="str">
        <f t="shared" si="162"/>
        <v/>
      </c>
      <c r="CD223" t="str">
        <f t="shared" si="144"/>
        <v/>
      </c>
      <c r="CE223" t="str">
        <f t="shared" si="163"/>
        <v>Bowles 5th edition</v>
      </c>
      <c r="CF223">
        <f t="shared" si="145"/>
        <v>128</v>
      </c>
      <c r="CG223" t="str">
        <f t="shared" si="164"/>
        <v/>
      </c>
      <c r="CH223" t="str">
        <f t="shared" si="146"/>
        <v/>
      </c>
      <c r="CI223" t="str">
        <f t="shared" si="165"/>
        <v/>
      </c>
      <c r="CJ223" t="str">
        <f t="shared" si="177"/>
        <v/>
      </c>
    </row>
    <row r="224" spans="2:88" x14ac:dyDescent="0.3">
      <c r="B224" t="str">
        <f t="shared" si="166"/>
        <v>36.8036-76.0769</v>
      </c>
      <c r="C224" t="s">
        <v>107</v>
      </c>
      <c r="D224">
        <v>36.803600000000003</v>
      </c>
      <c r="E224">
        <v>-76.076899999999995</v>
      </c>
      <c r="F224">
        <v>5.7</v>
      </c>
      <c r="G224" t="str">
        <f t="shared" si="167"/>
        <v>1.70.736.8036-76.0769</v>
      </c>
      <c r="H224">
        <v>1.7000000000000002</v>
      </c>
      <c r="I224">
        <v>0.70000000000000018</v>
      </c>
      <c r="J224" t="s">
        <v>21</v>
      </c>
      <c r="L224" t="s">
        <v>11</v>
      </c>
      <c r="M224">
        <v>3</v>
      </c>
      <c r="Q224" s="1" t="str">
        <f t="shared" si="168"/>
        <v/>
      </c>
      <c r="S224" t="str">
        <f t="shared" si="139"/>
        <v>Clay</v>
      </c>
      <c r="T224">
        <f t="shared" si="169"/>
        <v>1</v>
      </c>
      <c r="AA224">
        <v>80</v>
      </c>
      <c r="AB224" s="1">
        <f t="shared" si="170"/>
        <v>4</v>
      </c>
      <c r="AC224">
        <f t="shared" si="171"/>
        <v>7</v>
      </c>
      <c r="AD224" t="str">
        <f t="shared" si="172"/>
        <v/>
      </c>
      <c r="AG224" s="21" t="str">
        <f t="shared" si="147"/>
        <v/>
      </c>
      <c r="AI224" s="6" t="str">
        <f t="shared" si="148"/>
        <v/>
      </c>
      <c r="AM224" s="7" t="str">
        <f t="shared" si="149"/>
        <v/>
      </c>
      <c r="AQ224" s="8" t="str">
        <f t="shared" si="150"/>
        <v/>
      </c>
      <c r="AW224" s="25" t="str">
        <f t="shared" si="151"/>
        <v/>
      </c>
      <c r="AZ224" s="12" t="str">
        <f t="shared" si="152"/>
        <v/>
      </c>
      <c r="BI224" s="17" t="str">
        <f t="shared" si="153"/>
        <v/>
      </c>
      <c r="BM224" t="str">
        <f t="shared" si="154"/>
        <v>SPT Relationship</v>
      </c>
      <c r="BN224">
        <f t="shared" si="140"/>
        <v>105</v>
      </c>
      <c r="BO224" t="str">
        <f t="shared" si="155"/>
        <v>Wolff, 1989</v>
      </c>
      <c r="BP224">
        <f t="shared" si="141"/>
        <v>29</v>
      </c>
      <c r="BQ224" t="str">
        <f t="shared" si="156"/>
        <v/>
      </c>
      <c r="BR224" t="str">
        <f t="shared" si="173"/>
        <v/>
      </c>
      <c r="BS224" t="str">
        <f t="shared" si="157"/>
        <v>Stroud 1974 (K=3.5)</v>
      </c>
      <c r="BT224">
        <f t="shared" si="142"/>
        <v>292</v>
      </c>
      <c r="BU224" t="str">
        <f t="shared" si="158"/>
        <v/>
      </c>
      <c r="BV224" t="str">
        <f t="shared" si="174"/>
        <v/>
      </c>
      <c r="BW224" t="str">
        <f t="shared" si="159"/>
        <v/>
      </c>
      <c r="BX224" t="str">
        <f t="shared" si="175"/>
        <v/>
      </c>
      <c r="BY224" t="str">
        <f t="shared" si="160"/>
        <v/>
      </c>
      <c r="BZ224" t="str">
        <f t="shared" si="176"/>
        <v/>
      </c>
      <c r="CA224" t="str">
        <f t="shared" si="161"/>
        <v/>
      </c>
      <c r="CB224" t="str">
        <f t="shared" si="143"/>
        <v/>
      </c>
      <c r="CC224" t="str">
        <f t="shared" si="162"/>
        <v/>
      </c>
      <c r="CD224" t="str">
        <f t="shared" si="144"/>
        <v/>
      </c>
      <c r="CE224" t="str">
        <f t="shared" si="163"/>
        <v/>
      </c>
      <c r="CF224" t="str">
        <f t="shared" si="145"/>
        <v/>
      </c>
      <c r="CG224" t="str">
        <f t="shared" si="164"/>
        <v/>
      </c>
      <c r="CH224" t="str">
        <f t="shared" si="146"/>
        <v/>
      </c>
      <c r="CI224" t="str">
        <f t="shared" si="165"/>
        <v/>
      </c>
      <c r="CJ224" t="str">
        <f t="shared" si="177"/>
        <v/>
      </c>
    </row>
    <row r="225" spans="2:88" x14ac:dyDescent="0.3">
      <c r="B225" t="str">
        <f t="shared" si="166"/>
        <v>36.8036-76.0769</v>
      </c>
      <c r="C225" t="s">
        <v>107</v>
      </c>
      <c r="D225">
        <v>36.803600000000003</v>
      </c>
      <c r="E225">
        <v>-76.076899999999995</v>
      </c>
      <c r="F225">
        <v>5.7</v>
      </c>
      <c r="G225" t="str">
        <f t="shared" si="167"/>
        <v>0.7-2.336.8036-76.0769</v>
      </c>
      <c r="H225">
        <v>0.70000000000000018</v>
      </c>
      <c r="I225">
        <v>-2.2999999999999998</v>
      </c>
      <c r="J225" t="s">
        <v>21</v>
      </c>
      <c r="L225" t="s">
        <v>8</v>
      </c>
      <c r="M225">
        <v>18</v>
      </c>
      <c r="Q225" s="1" t="str">
        <f t="shared" si="168"/>
        <v/>
      </c>
      <c r="S225" t="str">
        <f t="shared" si="139"/>
        <v>Sand</v>
      </c>
      <c r="T225">
        <f t="shared" si="169"/>
        <v>1</v>
      </c>
      <c r="AA225">
        <v>80</v>
      </c>
      <c r="AB225" s="1">
        <f t="shared" si="170"/>
        <v>24</v>
      </c>
      <c r="AC225">
        <f t="shared" si="171"/>
        <v>36</v>
      </c>
      <c r="AD225" t="str">
        <f t="shared" si="172"/>
        <v/>
      </c>
      <c r="AG225" s="21" t="str">
        <f t="shared" si="147"/>
        <v/>
      </c>
      <c r="AI225" s="6" t="str">
        <f t="shared" si="148"/>
        <v/>
      </c>
      <c r="AM225" s="7" t="str">
        <f t="shared" si="149"/>
        <v/>
      </c>
      <c r="AQ225" s="8" t="str">
        <f t="shared" si="150"/>
        <v/>
      </c>
      <c r="AW225" s="25" t="str">
        <f t="shared" si="151"/>
        <v/>
      </c>
      <c r="AZ225" s="12" t="str">
        <f t="shared" si="152"/>
        <v/>
      </c>
      <c r="BI225" s="17" t="str">
        <f t="shared" si="153"/>
        <v/>
      </c>
      <c r="BM225" t="str">
        <f t="shared" si="154"/>
        <v>SPT Relationship</v>
      </c>
      <c r="BN225">
        <f t="shared" si="140"/>
        <v>125</v>
      </c>
      <c r="BO225" t="str">
        <f t="shared" si="155"/>
        <v>Wolff, 1989</v>
      </c>
      <c r="BP225">
        <f t="shared" si="141"/>
        <v>37</v>
      </c>
      <c r="BQ225" t="str">
        <f t="shared" si="156"/>
        <v/>
      </c>
      <c r="BR225" t="str">
        <f t="shared" si="173"/>
        <v/>
      </c>
      <c r="BS225" t="str">
        <f t="shared" si="157"/>
        <v/>
      </c>
      <c r="BT225" t="str">
        <f t="shared" si="142"/>
        <v/>
      </c>
      <c r="BU225" t="str">
        <f t="shared" si="158"/>
        <v/>
      </c>
      <c r="BV225" t="str">
        <f t="shared" si="174"/>
        <v/>
      </c>
      <c r="BW225" t="str">
        <f t="shared" si="159"/>
        <v/>
      </c>
      <c r="BX225" t="str">
        <f t="shared" si="175"/>
        <v/>
      </c>
      <c r="BY225" t="str">
        <f t="shared" si="160"/>
        <v/>
      </c>
      <c r="BZ225" t="str">
        <f t="shared" si="176"/>
        <v/>
      </c>
      <c r="CA225" t="str">
        <f t="shared" si="161"/>
        <v/>
      </c>
      <c r="CB225" t="str">
        <f t="shared" si="143"/>
        <v/>
      </c>
      <c r="CC225" t="str">
        <f t="shared" si="162"/>
        <v/>
      </c>
      <c r="CD225" t="str">
        <f t="shared" si="144"/>
        <v/>
      </c>
      <c r="CE225" t="str">
        <f t="shared" si="163"/>
        <v>Bowles 5th edition</v>
      </c>
      <c r="CF225">
        <f t="shared" si="145"/>
        <v>250</v>
      </c>
      <c r="CG225" t="str">
        <f t="shared" si="164"/>
        <v/>
      </c>
      <c r="CH225" t="str">
        <f t="shared" si="146"/>
        <v/>
      </c>
      <c r="CI225" t="str">
        <f t="shared" si="165"/>
        <v/>
      </c>
      <c r="CJ225" t="str">
        <f t="shared" si="177"/>
        <v/>
      </c>
    </row>
    <row r="226" spans="2:88" x14ac:dyDescent="0.3">
      <c r="B226" t="str">
        <f t="shared" si="166"/>
        <v>36.8036-76.0769</v>
      </c>
      <c r="C226" t="s">
        <v>107</v>
      </c>
      <c r="D226">
        <v>36.803600000000003</v>
      </c>
      <c r="E226">
        <v>-76.076899999999995</v>
      </c>
      <c r="F226">
        <v>5.7</v>
      </c>
      <c r="G226" t="str">
        <f t="shared" si="167"/>
        <v>-2.3-6.836.8036-76.0769</v>
      </c>
      <c r="H226">
        <v>-2.2999999999999998</v>
      </c>
      <c r="I226">
        <v>-6.8</v>
      </c>
      <c r="J226" t="s">
        <v>21</v>
      </c>
      <c r="L226" t="s">
        <v>16</v>
      </c>
      <c r="M226">
        <v>3</v>
      </c>
      <c r="Q226" s="1" t="str">
        <f t="shared" si="168"/>
        <v/>
      </c>
      <c r="S226" t="str">
        <f t="shared" si="139"/>
        <v>Sand</v>
      </c>
      <c r="T226">
        <f t="shared" si="169"/>
        <v>1</v>
      </c>
      <c r="AA226">
        <v>80</v>
      </c>
      <c r="AB226" s="1">
        <f t="shared" si="170"/>
        <v>4</v>
      </c>
      <c r="AC226">
        <f t="shared" si="171"/>
        <v>4</v>
      </c>
      <c r="AD226" t="str">
        <f t="shared" si="172"/>
        <v/>
      </c>
      <c r="AG226" s="21" t="str">
        <f t="shared" si="147"/>
        <v/>
      </c>
      <c r="AI226" s="6" t="str">
        <f t="shared" si="148"/>
        <v/>
      </c>
      <c r="AM226" s="7" t="str">
        <f t="shared" si="149"/>
        <v/>
      </c>
      <c r="AQ226" s="8" t="str">
        <f t="shared" si="150"/>
        <v/>
      </c>
      <c r="AW226" s="25" t="str">
        <f t="shared" si="151"/>
        <v/>
      </c>
      <c r="AZ226" s="12" t="str">
        <f t="shared" si="152"/>
        <v/>
      </c>
      <c r="BI226" s="17" t="str">
        <f t="shared" si="153"/>
        <v/>
      </c>
      <c r="BM226" t="str">
        <f t="shared" si="154"/>
        <v>SPT Relationship</v>
      </c>
      <c r="BN226">
        <f t="shared" si="140"/>
        <v>105</v>
      </c>
      <c r="BO226" t="str">
        <f t="shared" si="155"/>
        <v>Wolff, 1989</v>
      </c>
      <c r="BP226">
        <f t="shared" si="141"/>
        <v>28</v>
      </c>
      <c r="BQ226" t="str">
        <f t="shared" si="156"/>
        <v/>
      </c>
      <c r="BR226" t="str">
        <f t="shared" si="173"/>
        <v/>
      </c>
      <c r="BS226" t="str">
        <f t="shared" si="157"/>
        <v/>
      </c>
      <c r="BT226" t="str">
        <f t="shared" si="142"/>
        <v/>
      </c>
      <c r="BU226" t="str">
        <f t="shared" si="158"/>
        <v/>
      </c>
      <c r="BV226" t="str">
        <f t="shared" si="174"/>
        <v/>
      </c>
      <c r="BW226" t="str">
        <f t="shared" si="159"/>
        <v/>
      </c>
      <c r="BX226" t="str">
        <f t="shared" si="175"/>
        <v/>
      </c>
      <c r="BY226" t="str">
        <f t="shared" si="160"/>
        <v/>
      </c>
      <c r="BZ226" t="str">
        <f t="shared" si="176"/>
        <v/>
      </c>
      <c r="CA226" t="str">
        <f t="shared" si="161"/>
        <v/>
      </c>
      <c r="CB226" t="str">
        <f t="shared" si="143"/>
        <v/>
      </c>
      <c r="CC226" t="str">
        <f t="shared" si="162"/>
        <v/>
      </c>
      <c r="CD226" t="str">
        <f t="shared" si="144"/>
        <v/>
      </c>
      <c r="CE226" t="str">
        <f t="shared" si="163"/>
        <v>Bowles 5th edition</v>
      </c>
      <c r="CF226">
        <f t="shared" si="145"/>
        <v>122</v>
      </c>
      <c r="CG226" t="str">
        <f t="shared" si="164"/>
        <v/>
      </c>
      <c r="CH226" t="str">
        <f t="shared" si="146"/>
        <v/>
      </c>
      <c r="CI226" t="str">
        <f t="shared" si="165"/>
        <v/>
      </c>
      <c r="CJ226" t="str">
        <f t="shared" si="177"/>
        <v/>
      </c>
    </row>
    <row r="227" spans="2:88" x14ac:dyDescent="0.3">
      <c r="B227" t="str">
        <f t="shared" si="166"/>
        <v>36.8036-76.0769</v>
      </c>
      <c r="C227" t="s">
        <v>107</v>
      </c>
      <c r="D227">
        <v>36.803600000000003</v>
      </c>
      <c r="E227">
        <v>-76.076899999999995</v>
      </c>
      <c r="F227">
        <v>5.7</v>
      </c>
      <c r="G227" t="str">
        <f t="shared" si="167"/>
        <v>-6.8-14.336.8036-76.0769</v>
      </c>
      <c r="H227">
        <v>-6.8</v>
      </c>
      <c r="I227">
        <v>-14.3</v>
      </c>
      <c r="J227" t="s">
        <v>21</v>
      </c>
      <c r="L227" t="s">
        <v>8</v>
      </c>
      <c r="M227">
        <v>3</v>
      </c>
      <c r="Q227" s="1" t="str">
        <f t="shared" si="168"/>
        <v/>
      </c>
      <c r="S227" t="str">
        <f t="shared" si="139"/>
        <v>Sand</v>
      </c>
      <c r="T227">
        <f t="shared" si="169"/>
        <v>1</v>
      </c>
      <c r="AA227">
        <v>80</v>
      </c>
      <c r="AB227" s="1">
        <f t="shared" si="170"/>
        <v>4</v>
      </c>
      <c r="AC227">
        <f t="shared" si="171"/>
        <v>3</v>
      </c>
      <c r="AD227" t="str">
        <f t="shared" si="172"/>
        <v/>
      </c>
      <c r="AG227" s="21" t="str">
        <f t="shared" si="147"/>
        <v/>
      </c>
      <c r="AI227" s="6" t="str">
        <f t="shared" si="148"/>
        <v/>
      </c>
      <c r="AM227" s="7" t="str">
        <f t="shared" si="149"/>
        <v/>
      </c>
      <c r="AQ227" s="8" t="str">
        <f t="shared" si="150"/>
        <v/>
      </c>
      <c r="AW227" s="25" t="str">
        <f t="shared" si="151"/>
        <v/>
      </c>
      <c r="AZ227" s="12" t="str">
        <f t="shared" si="152"/>
        <v/>
      </c>
      <c r="BI227" s="17" t="str">
        <f t="shared" si="153"/>
        <v/>
      </c>
      <c r="BM227" t="str">
        <f t="shared" si="154"/>
        <v>SPT Relationship</v>
      </c>
      <c r="BN227">
        <f t="shared" si="140"/>
        <v>105</v>
      </c>
      <c r="BO227" t="str">
        <f t="shared" si="155"/>
        <v>Wolff, 1989</v>
      </c>
      <c r="BP227">
        <f t="shared" si="141"/>
        <v>27</v>
      </c>
      <c r="BQ227" t="str">
        <f t="shared" si="156"/>
        <v/>
      </c>
      <c r="BR227" t="str">
        <f t="shared" si="173"/>
        <v/>
      </c>
      <c r="BS227" t="str">
        <f t="shared" si="157"/>
        <v/>
      </c>
      <c r="BT227" t="str">
        <f t="shared" si="142"/>
        <v/>
      </c>
      <c r="BU227" t="str">
        <f t="shared" si="158"/>
        <v/>
      </c>
      <c r="BV227" t="str">
        <f t="shared" si="174"/>
        <v/>
      </c>
      <c r="BW227" t="str">
        <f t="shared" si="159"/>
        <v/>
      </c>
      <c r="BX227" t="str">
        <f t="shared" si="175"/>
        <v/>
      </c>
      <c r="BY227" t="str">
        <f t="shared" si="160"/>
        <v/>
      </c>
      <c r="BZ227" t="str">
        <f t="shared" si="176"/>
        <v/>
      </c>
      <c r="CA227" t="str">
        <f t="shared" si="161"/>
        <v/>
      </c>
      <c r="CB227" t="str">
        <f t="shared" si="143"/>
        <v/>
      </c>
      <c r="CC227" t="str">
        <f t="shared" si="162"/>
        <v/>
      </c>
      <c r="CD227" t="str">
        <f t="shared" si="144"/>
        <v/>
      </c>
      <c r="CE227" t="str">
        <f t="shared" si="163"/>
        <v>Bowles 5th edition</v>
      </c>
      <c r="CF227">
        <f t="shared" si="145"/>
        <v>122</v>
      </c>
      <c r="CG227" t="str">
        <f t="shared" si="164"/>
        <v/>
      </c>
      <c r="CH227" t="str">
        <f t="shared" si="146"/>
        <v/>
      </c>
      <c r="CI227" t="str">
        <f t="shared" si="165"/>
        <v/>
      </c>
      <c r="CJ227" t="str">
        <f t="shared" si="177"/>
        <v/>
      </c>
    </row>
    <row r="228" spans="2:88" x14ac:dyDescent="0.3">
      <c r="B228" t="str">
        <f t="shared" si="166"/>
        <v>36.802-76.0762</v>
      </c>
      <c r="C228" t="s">
        <v>108</v>
      </c>
      <c r="D228">
        <v>36.802</v>
      </c>
      <c r="E228">
        <v>-76.0762</v>
      </c>
      <c r="F228">
        <v>5.75</v>
      </c>
      <c r="G228" t="str">
        <f t="shared" si="167"/>
        <v>5.755.1536.802-76.0762</v>
      </c>
      <c r="H228">
        <v>5.75</v>
      </c>
      <c r="I228">
        <v>5.15</v>
      </c>
      <c r="J228" t="s">
        <v>21</v>
      </c>
      <c r="K228" t="s">
        <v>115</v>
      </c>
      <c r="L228" t="s">
        <v>8</v>
      </c>
      <c r="M228">
        <v>8</v>
      </c>
      <c r="Q228" s="1" t="str">
        <f t="shared" si="168"/>
        <v/>
      </c>
      <c r="S228" t="str">
        <f t="shared" si="139"/>
        <v>Sand</v>
      </c>
      <c r="T228">
        <f t="shared" si="169"/>
        <v>1</v>
      </c>
      <c r="AA228">
        <v>80</v>
      </c>
      <c r="AB228" s="1">
        <f t="shared" si="170"/>
        <v>11</v>
      </c>
      <c r="AC228">
        <f t="shared" si="171"/>
        <v>61</v>
      </c>
      <c r="AD228" t="str">
        <f t="shared" si="172"/>
        <v/>
      </c>
      <c r="AG228" s="21" t="str">
        <f t="shared" si="147"/>
        <v/>
      </c>
      <c r="AI228" s="6" t="str">
        <f t="shared" si="148"/>
        <v/>
      </c>
      <c r="AM228" s="7" t="str">
        <f t="shared" si="149"/>
        <v/>
      </c>
      <c r="AQ228" s="8" t="str">
        <f t="shared" si="150"/>
        <v/>
      </c>
      <c r="AW228" s="25" t="str">
        <f t="shared" si="151"/>
        <v/>
      </c>
      <c r="AZ228" s="12" t="str">
        <f t="shared" si="152"/>
        <v/>
      </c>
      <c r="BI228" s="17" t="str">
        <f t="shared" si="153"/>
        <v/>
      </c>
      <c r="BM228" t="str">
        <f t="shared" si="154"/>
        <v>SPT Relationship</v>
      </c>
      <c r="BN228">
        <f t="shared" si="140"/>
        <v>116</v>
      </c>
      <c r="BO228" t="str">
        <f t="shared" si="155"/>
        <v>Wolff, 1989</v>
      </c>
      <c r="BP228">
        <f t="shared" si="141"/>
        <v>43</v>
      </c>
      <c r="BQ228" t="str">
        <f t="shared" si="156"/>
        <v/>
      </c>
      <c r="BR228" t="str">
        <f t="shared" si="173"/>
        <v/>
      </c>
      <c r="BS228" t="str">
        <f t="shared" si="157"/>
        <v/>
      </c>
      <c r="BT228" t="str">
        <f t="shared" si="142"/>
        <v/>
      </c>
      <c r="BU228" t="str">
        <f t="shared" si="158"/>
        <v/>
      </c>
      <c r="BV228" t="str">
        <f t="shared" si="174"/>
        <v/>
      </c>
      <c r="BW228" t="str">
        <f t="shared" si="159"/>
        <v/>
      </c>
      <c r="BX228" t="str">
        <f t="shared" si="175"/>
        <v/>
      </c>
      <c r="BY228" t="str">
        <f t="shared" si="160"/>
        <v/>
      </c>
      <c r="BZ228" t="str">
        <f t="shared" si="176"/>
        <v/>
      </c>
      <c r="CA228" t="str">
        <f t="shared" si="161"/>
        <v/>
      </c>
      <c r="CB228" t="str">
        <f t="shared" si="143"/>
        <v/>
      </c>
      <c r="CC228" t="str">
        <f t="shared" si="162"/>
        <v/>
      </c>
      <c r="CD228" t="str">
        <f t="shared" si="144"/>
        <v/>
      </c>
      <c r="CE228" t="str">
        <f t="shared" si="163"/>
        <v>Bowles 5th edition</v>
      </c>
      <c r="CF228">
        <f t="shared" si="145"/>
        <v>166</v>
      </c>
      <c r="CG228" t="str">
        <f t="shared" si="164"/>
        <v/>
      </c>
      <c r="CH228" t="str">
        <f t="shared" si="146"/>
        <v/>
      </c>
      <c r="CI228" t="str">
        <f t="shared" si="165"/>
        <v/>
      </c>
      <c r="CJ228" t="str">
        <f t="shared" si="177"/>
        <v/>
      </c>
    </row>
    <row r="229" spans="2:88" x14ac:dyDescent="0.3">
      <c r="B229" t="str">
        <f t="shared" si="166"/>
        <v>36.802-76.0762</v>
      </c>
      <c r="C229" t="s">
        <v>108</v>
      </c>
      <c r="D229">
        <v>36.802</v>
      </c>
      <c r="E229">
        <v>-76.0762</v>
      </c>
      <c r="F229">
        <v>5.75</v>
      </c>
      <c r="G229" t="str">
        <f t="shared" si="167"/>
        <v>5.151.7536.802-76.0762</v>
      </c>
      <c r="H229">
        <v>5.15</v>
      </c>
      <c r="I229">
        <v>1.75</v>
      </c>
      <c r="J229" t="s">
        <v>21</v>
      </c>
      <c r="L229" t="s">
        <v>11</v>
      </c>
      <c r="M229">
        <v>14</v>
      </c>
      <c r="N229">
        <v>23</v>
      </c>
      <c r="O229">
        <v>9</v>
      </c>
      <c r="P229">
        <v>29</v>
      </c>
      <c r="Q229" s="1">
        <f t="shared" si="168"/>
        <v>20</v>
      </c>
      <c r="R229">
        <v>71</v>
      </c>
      <c r="S229" t="str">
        <f t="shared" si="139"/>
        <v>Clay</v>
      </c>
      <c r="T229">
        <f t="shared" si="169"/>
        <v>2</v>
      </c>
      <c r="AA229">
        <v>80</v>
      </c>
      <c r="AB229" s="1">
        <f t="shared" si="170"/>
        <v>19</v>
      </c>
      <c r="AC229">
        <f t="shared" si="171"/>
        <v>41</v>
      </c>
      <c r="AD229">
        <f t="shared" si="172"/>
        <v>0.7</v>
      </c>
      <c r="AG229" s="21" t="str">
        <f t="shared" si="147"/>
        <v/>
      </c>
      <c r="AI229" s="6" t="str">
        <f t="shared" si="148"/>
        <v/>
      </c>
      <c r="AM229" s="7" t="str">
        <f t="shared" si="149"/>
        <v/>
      </c>
      <c r="AQ229" s="8" t="str">
        <f t="shared" si="150"/>
        <v/>
      </c>
      <c r="AW229" s="25" t="str">
        <f t="shared" si="151"/>
        <v/>
      </c>
      <c r="AZ229" s="12" t="str">
        <f t="shared" si="152"/>
        <v/>
      </c>
      <c r="BI229" s="17" t="str">
        <f t="shared" si="153"/>
        <v/>
      </c>
      <c r="BM229" t="str">
        <f t="shared" si="154"/>
        <v>SPT Relationship</v>
      </c>
      <c r="BN229">
        <f t="shared" si="140"/>
        <v>122</v>
      </c>
      <c r="BO229" t="str">
        <f t="shared" si="155"/>
        <v>Wolff, 1989</v>
      </c>
      <c r="BP229">
        <f t="shared" si="141"/>
        <v>38</v>
      </c>
      <c r="BQ229" t="str">
        <f t="shared" si="156"/>
        <v>GTENG-2476</v>
      </c>
      <c r="BR229">
        <f t="shared" si="173"/>
        <v>24</v>
      </c>
      <c r="BS229" t="str">
        <f t="shared" si="157"/>
        <v>Stroud 1974 (K=3.5)</v>
      </c>
      <c r="BT229">
        <f t="shared" si="142"/>
        <v>1389</v>
      </c>
      <c r="BU229" t="str">
        <f t="shared" si="158"/>
        <v>Kulhawy and Mayne 1990</v>
      </c>
      <c r="BV229">
        <f t="shared" si="174"/>
        <v>0.27</v>
      </c>
      <c r="BW229" t="str">
        <f t="shared" si="159"/>
        <v>Kulhawy and Mayne 1990</v>
      </c>
      <c r="BX229">
        <f t="shared" si="175"/>
        <v>5.3999999999999999E-2</v>
      </c>
      <c r="BY229" t="str">
        <f t="shared" si="160"/>
        <v>Mesri 1990</v>
      </c>
      <c r="BZ229">
        <f t="shared" si="176"/>
        <v>8.0999999999999996E-3</v>
      </c>
      <c r="CA229" t="str">
        <f t="shared" si="161"/>
        <v>NAVFAC Vol. 7.1 Figure 4</v>
      </c>
      <c r="CB229">
        <f t="shared" si="143"/>
        <v>0.49037306020000004</v>
      </c>
      <c r="CC229" t="str">
        <f t="shared" si="162"/>
        <v>Stas and Kulhawy 1984</v>
      </c>
      <c r="CD229">
        <f t="shared" si="144"/>
        <v>1976.2574040412273</v>
      </c>
      <c r="CE229" t="str">
        <f t="shared" si="163"/>
        <v/>
      </c>
      <c r="CF229" t="str">
        <f t="shared" si="145"/>
        <v/>
      </c>
      <c r="CG229" t="str">
        <f t="shared" si="164"/>
        <v>Relationship (Gs=2.67)</v>
      </c>
      <c r="CH229">
        <f t="shared" si="146"/>
        <v>0.61</v>
      </c>
      <c r="CI229" t="str">
        <f t="shared" si="165"/>
        <v/>
      </c>
      <c r="CJ229" t="str">
        <f t="shared" si="177"/>
        <v/>
      </c>
    </row>
    <row r="230" spans="2:88" x14ac:dyDescent="0.3">
      <c r="B230" t="str">
        <f t="shared" si="166"/>
        <v>36.802-76.0762</v>
      </c>
      <c r="C230" t="s">
        <v>108</v>
      </c>
      <c r="D230">
        <v>36.802</v>
      </c>
      <c r="E230">
        <v>-76.0762</v>
      </c>
      <c r="F230">
        <v>5.75</v>
      </c>
      <c r="G230" t="str">
        <f t="shared" si="167"/>
        <v>1.75-0.2536.802-76.0762</v>
      </c>
      <c r="H230">
        <v>1.75</v>
      </c>
      <c r="I230">
        <v>-0.25</v>
      </c>
      <c r="J230" t="s">
        <v>21</v>
      </c>
      <c r="L230" t="s">
        <v>8</v>
      </c>
      <c r="M230">
        <v>13</v>
      </c>
      <c r="N230">
        <v>20</v>
      </c>
      <c r="O230">
        <v>0</v>
      </c>
      <c r="Q230" s="1" t="str">
        <f t="shared" si="168"/>
        <v/>
      </c>
      <c r="R230">
        <v>15</v>
      </c>
      <c r="S230" t="str">
        <f t="shared" si="139"/>
        <v>Sand</v>
      </c>
      <c r="T230">
        <f t="shared" si="169"/>
        <v>2</v>
      </c>
      <c r="AA230">
        <v>80</v>
      </c>
      <c r="AB230" s="1">
        <f t="shared" si="170"/>
        <v>17</v>
      </c>
      <c r="AC230">
        <f t="shared" si="171"/>
        <v>30</v>
      </c>
      <c r="AD230" t="e">
        <f t="shared" si="172"/>
        <v>#DIV/0!</v>
      </c>
      <c r="AG230" s="21" t="str">
        <f t="shared" si="147"/>
        <v/>
      </c>
      <c r="AI230" s="6" t="str">
        <f t="shared" si="148"/>
        <v/>
      </c>
      <c r="AM230" s="7" t="str">
        <f t="shared" si="149"/>
        <v/>
      </c>
      <c r="AQ230" s="8" t="str">
        <f t="shared" si="150"/>
        <v/>
      </c>
      <c r="AW230" s="25" t="str">
        <f t="shared" si="151"/>
        <v/>
      </c>
      <c r="AZ230" s="12" t="str">
        <f t="shared" si="152"/>
        <v/>
      </c>
      <c r="BI230" s="17" t="str">
        <f t="shared" si="153"/>
        <v/>
      </c>
      <c r="BM230" t="str">
        <f t="shared" si="154"/>
        <v>SPT Relationship</v>
      </c>
      <c r="BN230">
        <f t="shared" si="140"/>
        <v>121</v>
      </c>
      <c r="BO230" t="str">
        <f t="shared" si="155"/>
        <v>Wolff, 1989</v>
      </c>
      <c r="BP230">
        <f t="shared" si="141"/>
        <v>35</v>
      </c>
      <c r="BQ230" t="str">
        <f t="shared" si="156"/>
        <v/>
      </c>
      <c r="BR230" t="str">
        <f t="shared" si="173"/>
        <v/>
      </c>
      <c r="BS230" t="str">
        <f t="shared" si="157"/>
        <v/>
      </c>
      <c r="BT230" t="str">
        <f t="shared" si="142"/>
        <v/>
      </c>
      <c r="BU230" t="str">
        <f t="shared" si="158"/>
        <v/>
      </c>
      <c r="BV230" t="str">
        <f t="shared" si="174"/>
        <v/>
      </c>
      <c r="BW230" t="str">
        <f t="shared" si="159"/>
        <v/>
      </c>
      <c r="BX230" t="str">
        <f t="shared" si="175"/>
        <v/>
      </c>
      <c r="BY230" t="str">
        <f t="shared" si="160"/>
        <v/>
      </c>
      <c r="BZ230" t="str">
        <f t="shared" si="176"/>
        <v/>
      </c>
      <c r="CA230" t="str">
        <f t="shared" si="161"/>
        <v/>
      </c>
      <c r="CB230" t="str">
        <f t="shared" si="143"/>
        <v/>
      </c>
      <c r="CC230" t="e">
        <f t="shared" si="162"/>
        <v>#DIV/0!</v>
      </c>
      <c r="CD230" t="e">
        <f t="shared" si="144"/>
        <v>#DIV/0!</v>
      </c>
      <c r="CE230" t="str">
        <f t="shared" si="163"/>
        <v>Bowles 5th edition</v>
      </c>
      <c r="CF230">
        <f t="shared" si="145"/>
        <v>205</v>
      </c>
      <c r="CG230" t="str">
        <f t="shared" si="164"/>
        <v>Relationship (Gs=2.67)</v>
      </c>
      <c r="CH230">
        <f t="shared" si="146"/>
        <v>0.53</v>
      </c>
      <c r="CI230" t="str">
        <f t="shared" si="165"/>
        <v/>
      </c>
      <c r="CJ230" t="str">
        <f t="shared" si="177"/>
        <v/>
      </c>
    </row>
    <row r="231" spans="2:88" x14ac:dyDescent="0.3">
      <c r="B231" t="str">
        <f t="shared" si="166"/>
        <v>36.802-76.0762</v>
      </c>
      <c r="C231" t="s">
        <v>108</v>
      </c>
      <c r="D231">
        <v>36.802</v>
      </c>
      <c r="E231">
        <v>-76.0762</v>
      </c>
      <c r="F231">
        <v>5.75</v>
      </c>
      <c r="G231" t="str">
        <f t="shared" si="167"/>
        <v>-0.25-2.2536.802-76.0762</v>
      </c>
      <c r="H231">
        <v>-0.25</v>
      </c>
      <c r="I231">
        <v>-2.25</v>
      </c>
      <c r="J231" t="s">
        <v>21</v>
      </c>
      <c r="L231" t="s">
        <v>16</v>
      </c>
      <c r="M231">
        <v>12</v>
      </c>
      <c r="N231">
        <v>19</v>
      </c>
      <c r="O231">
        <v>0</v>
      </c>
      <c r="Q231" s="1" t="str">
        <f t="shared" si="168"/>
        <v/>
      </c>
      <c r="R231">
        <v>11</v>
      </c>
      <c r="S231" t="str">
        <f t="shared" si="139"/>
        <v>Sand</v>
      </c>
      <c r="T231">
        <f t="shared" si="169"/>
        <v>2</v>
      </c>
      <c r="AA231">
        <v>80</v>
      </c>
      <c r="AB231" s="1">
        <f t="shared" si="170"/>
        <v>16</v>
      </c>
      <c r="AC231">
        <f t="shared" si="171"/>
        <v>24</v>
      </c>
      <c r="AD231" t="e">
        <f t="shared" si="172"/>
        <v>#DIV/0!</v>
      </c>
      <c r="AG231" s="21" t="str">
        <f t="shared" si="147"/>
        <v/>
      </c>
      <c r="AI231" s="6" t="str">
        <f t="shared" si="148"/>
        <v/>
      </c>
      <c r="AM231" s="7" t="str">
        <f t="shared" si="149"/>
        <v/>
      </c>
      <c r="AQ231" s="8" t="str">
        <f t="shared" si="150"/>
        <v/>
      </c>
      <c r="AW231" s="25" t="str">
        <f t="shared" si="151"/>
        <v/>
      </c>
      <c r="AZ231" s="12" t="str">
        <f t="shared" si="152"/>
        <v/>
      </c>
      <c r="BI231" s="17" t="str">
        <f t="shared" si="153"/>
        <v/>
      </c>
      <c r="BM231" t="str">
        <f t="shared" si="154"/>
        <v>SPT Relationship</v>
      </c>
      <c r="BN231">
        <f t="shared" si="140"/>
        <v>120</v>
      </c>
      <c r="BO231" t="str">
        <f t="shared" si="155"/>
        <v>Wolff, 1989</v>
      </c>
      <c r="BP231">
        <f t="shared" si="141"/>
        <v>33</v>
      </c>
      <c r="BQ231" t="str">
        <f t="shared" si="156"/>
        <v/>
      </c>
      <c r="BR231" t="str">
        <f t="shared" si="173"/>
        <v/>
      </c>
      <c r="BS231" t="str">
        <f t="shared" si="157"/>
        <v/>
      </c>
      <c r="BT231" t="str">
        <f t="shared" si="142"/>
        <v/>
      </c>
      <c r="BU231" t="str">
        <f t="shared" si="158"/>
        <v/>
      </c>
      <c r="BV231" t="str">
        <f t="shared" si="174"/>
        <v/>
      </c>
      <c r="BW231" t="str">
        <f t="shared" si="159"/>
        <v/>
      </c>
      <c r="BX231" t="str">
        <f t="shared" si="175"/>
        <v/>
      </c>
      <c r="BY231" t="str">
        <f t="shared" si="160"/>
        <v/>
      </c>
      <c r="BZ231" t="str">
        <f t="shared" si="176"/>
        <v/>
      </c>
      <c r="CA231" t="str">
        <f t="shared" si="161"/>
        <v/>
      </c>
      <c r="CB231" t="str">
        <f t="shared" si="143"/>
        <v/>
      </c>
      <c r="CC231" t="e">
        <f t="shared" si="162"/>
        <v>#DIV/0!</v>
      </c>
      <c r="CD231" t="e">
        <f t="shared" si="144"/>
        <v>#DIV/0!</v>
      </c>
      <c r="CE231" t="str">
        <f t="shared" si="163"/>
        <v>Bowles 5th edition</v>
      </c>
      <c r="CF231">
        <f t="shared" si="145"/>
        <v>198</v>
      </c>
      <c r="CG231" t="str">
        <f t="shared" si="164"/>
        <v>Relationship (Gs=2.67)</v>
      </c>
      <c r="CH231">
        <f t="shared" si="146"/>
        <v>0.51</v>
      </c>
      <c r="CI231" t="str">
        <f t="shared" si="165"/>
        <v/>
      </c>
      <c r="CJ231" t="str">
        <f t="shared" si="177"/>
        <v/>
      </c>
    </row>
    <row r="232" spans="2:88" x14ac:dyDescent="0.3">
      <c r="B232" t="str">
        <f t="shared" si="166"/>
        <v>36.802-76.0762</v>
      </c>
      <c r="C232" t="s">
        <v>108</v>
      </c>
      <c r="D232">
        <v>36.802</v>
      </c>
      <c r="E232">
        <v>-76.0762</v>
      </c>
      <c r="F232">
        <v>5.75</v>
      </c>
      <c r="G232" t="str">
        <f t="shared" si="167"/>
        <v>-2.25-4.2536.802-76.0762</v>
      </c>
      <c r="H232">
        <v>-2.25</v>
      </c>
      <c r="I232">
        <v>-4.25</v>
      </c>
      <c r="J232" t="s">
        <v>21</v>
      </c>
      <c r="L232" t="s">
        <v>8</v>
      </c>
      <c r="M232">
        <v>13</v>
      </c>
      <c r="N232">
        <v>18</v>
      </c>
      <c r="O232">
        <v>0</v>
      </c>
      <c r="Q232" s="1" t="str">
        <f t="shared" si="168"/>
        <v/>
      </c>
      <c r="R232">
        <v>15</v>
      </c>
      <c r="S232" t="str">
        <f t="shared" ref="S232:S295" si="178">IF(OR(L232="CL",L232="CH",L232="CL_ML"),"Clay",IF(OR(L232="SM",L232="SC",L232="SP",L232="SP-SM",L232="SP-SC",L232="SC-SM",L232="SW",L232="SW-SM"),"Sand",IF(OR(L232="GP", L232="GM",L232="GC", L232="GP-GM",L232="GW"),"Gravel",IF(OR(L232="ML",L232="MH"),"Silt",IF(OR(L232="OL",L232="OH",L232="PT"),"Organic")))))</f>
        <v>Sand</v>
      </c>
      <c r="T232">
        <f t="shared" si="169"/>
        <v>2</v>
      </c>
      <c r="AA232">
        <v>80</v>
      </c>
      <c r="AB232" s="1">
        <f t="shared" si="170"/>
        <v>17</v>
      </c>
      <c r="AC232">
        <f t="shared" si="171"/>
        <v>23</v>
      </c>
      <c r="AD232" t="e">
        <f t="shared" si="172"/>
        <v>#DIV/0!</v>
      </c>
      <c r="AG232" s="21" t="str">
        <f t="shared" si="147"/>
        <v/>
      </c>
      <c r="AI232" s="6" t="str">
        <f t="shared" si="148"/>
        <v/>
      </c>
      <c r="AM232" s="7" t="str">
        <f t="shared" si="149"/>
        <v/>
      </c>
      <c r="AQ232" s="8" t="str">
        <f t="shared" si="150"/>
        <v/>
      </c>
      <c r="AW232" s="25" t="str">
        <f t="shared" si="151"/>
        <v/>
      </c>
      <c r="AZ232" s="12" t="str">
        <f t="shared" si="152"/>
        <v/>
      </c>
      <c r="BI232" s="17" t="str">
        <f t="shared" si="153"/>
        <v/>
      </c>
      <c r="BM232" t="str">
        <f t="shared" si="154"/>
        <v>SPT Relationship</v>
      </c>
      <c r="BN232">
        <f t="shared" si="140"/>
        <v>121</v>
      </c>
      <c r="BO232" t="str">
        <f t="shared" si="155"/>
        <v>Wolff, 1989</v>
      </c>
      <c r="BP232">
        <f t="shared" si="141"/>
        <v>33</v>
      </c>
      <c r="BQ232" t="str">
        <f t="shared" si="156"/>
        <v/>
      </c>
      <c r="BR232" t="str">
        <f t="shared" si="173"/>
        <v/>
      </c>
      <c r="BS232" t="str">
        <f t="shared" si="157"/>
        <v/>
      </c>
      <c r="BT232" t="str">
        <f t="shared" si="142"/>
        <v/>
      </c>
      <c r="BU232" t="str">
        <f t="shared" si="158"/>
        <v/>
      </c>
      <c r="BV232" t="str">
        <f t="shared" si="174"/>
        <v/>
      </c>
      <c r="BW232" t="str">
        <f t="shared" si="159"/>
        <v/>
      </c>
      <c r="BX232" t="str">
        <f t="shared" si="175"/>
        <v/>
      </c>
      <c r="BY232" t="str">
        <f t="shared" si="160"/>
        <v/>
      </c>
      <c r="BZ232" t="str">
        <f t="shared" si="176"/>
        <v/>
      </c>
      <c r="CA232" t="str">
        <f t="shared" si="161"/>
        <v/>
      </c>
      <c r="CB232" t="str">
        <f t="shared" si="143"/>
        <v/>
      </c>
      <c r="CC232" t="e">
        <f t="shared" si="162"/>
        <v>#DIV/0!</v>
      </c>
      <c r="CD232" t="e">
        <f t="shared" si="144"/>
        <v>#DIV/0!</v>
      </c>
      <c r="CE232" t="str">
        <f t="shared" si="163"/>
        <v>Bowles 5th edition</v>
      </c>
      <c r="CF232">
        <f t="shared" si="145"/>
        <v>205</v>
      </c>
      <c r="CG232" t="str">
        <f t="shared" si="164"/>
        <v>Relationship (Gs=2.67)</v>
      </c>
      <c r="CH232">
        <f t="shared" si="146"/>
        <v>0.48</v>
      </c>
      <c r="CI232" t="str">
        <f t="shared" si="165"/>
        <v/>
      </c>
      <c r="CJ232" t="str">
        <f t="shared" si="177"/>
        <v/>
      </c>
    </row>
    <row r="233" spans="2:88" x14ac:dyDescent="0.3">
      <c r="B233" t="str">
        <f t="shared" si="166"/>
        <v>36.802-76.0762</v>
      </c>
      <c r="C233" t="s">
        <v>108</v>
      </c>
      <c r="D233">
        <v>36.802</v>
      </c>
      <c r="E233">
        <v>-76.0762</v>
      </c>
      <c r="F233">
        <v>5.75</v>
      </c>
      <c r="G233" t="str">
        <f t="shared" si="167"/>
        <v>-4.25-10.7536.802-76.0762</v>
      </c>
      <c r="H233">
        <v>-4.25</v>
      </c>
      <c r="I233">
        <v>-10.75</v>
      </c>
      <c r="J233" t="s">
        <v>21</v>
      </c>
      <c r="L233" t="s">
        <v>16</v>
      </c>
      <c r="M233">
        <v>3</v>
      </c>
      <c r="N233">
        <v>22</v>
      </c>
      <c r="O233">
        <v>0</v>
      </c>
      <c r="Q233" s="1" t="str">
        <f t="shared" si="168"/>
        <v/>
      </c>
      <c r="R233">
        <v>5</v>
      </c>
      <c r="S233" t="str">
        <f t="shared" si="178"/>
        <v>Sand</v>
      </c>
      <c r="T233">
        <f t="shared" si="169"/>
        <v>2</v>
      </c>
      <c r="AA233">
        <v>80</v>
      </c>
      <c r="AB233" s="1">
        <f t="shared" si="170"/>
        <v>4</v>
      </c>
      <c r="AC233">
        <f t="shared" si="171"/>
        <v>4</v>
      </c>
      <c r="AD233" t="e">
        <f t="shared" si="172"/>
        <v>#DIV/0!</v>
      </c>
      <c r="AG233" s="21" t="str">
        <f t="shared" si="147"/>
        <v/>
      </c>
      <c r="AI233" s="6" t="str">
        <f t="shared" si="148"/>
        <v/>
      </c>
      <c r="AM233" s="7" t="str">
        <f t="shared" si="149"/>
        <v/>
      </c>
      <c r="AQ233" s="8" t="str">
        <f t="shared" si="150"/>
        <v/>
      </c>
      <c r="AW233" s="25" t="str">
        <f t="shared" si="151"/>
        <v/>
      </c>
      <c r="AZ233" s="12" t="str">
        <f t="shared" si="152"/>
        <v/>
      </c>
      <c r="BI233" s="17" t="str">
        <f t="shared" si="153"/>
        <v/>
      </c>
      <c r="BM233" t="str">
        <f t="shared" si="154"/>
        <v>SPT Relationship</v>
      </c>
      <c r="BN233">
        <f t="shared" si="140"/>
        <v>105</v>
      </c>
      <c r="BO233" t="str">
        <f t="shared" si="155"/>
        <v>Wolff, 1989</v>
      </c>
      <c r="BP233">
        <f t="shared" si="141"/>
        <v>28</v>
      </c>
      <c r="BQ233" t="str">
        <f t="shared" si="156"/>
        <v/>
      </c>
      <c r="BR233" t="str">
        <f t="shared" si="173"/>
        <v/>
      </c>
      <c r="BS233" t="str">
        <f t="shared" si="157"/>
        <v/>
      </c>
      <c r="BT233" t="str">
        <f t="shared" si="142"/>
        <v/>
      </c>
      <c r="BU233" t="str">
        <f t="shared" si="158"/>
        <v/>
      </c>
      <c r="BV233" t="str">
        <f t="shared" si="174"/>
        <v/>
      </c>
      <c r="BW233" t="str">
        <f t="shared" si="159"/>
        <v/>
      </c>
      <c r="BX233" t="str">
        <f t="shared" si="175"/>
        <v/>
      </c>
      <c r="BY233" t="str">
        <f t="shared" si="160"/>
        <v/>
      </c>
      <c r="BZ233" t="str">
        <f t="shared" si="176"/>
        <v/>
      </c>
      <c r="CA233" t="str">
        <f t="shared" si="161"/>
        <v/>
      </c>
      <c r="CB233" t="str">
        <f t="shared" si="143"/>
        <v/>
      </c>
      <c r="CC233" t="e">
        <f t="shared" si="162"/>
        <v>#DIV/0!</v>
      </c>
      <c r="CD233" t="e">
        <f t="shared" si="144"/>
        <v>#DIV/0!</v>
      </c>
      <c r="CE233" t="str">
        <f t="shared" si="163"/>
        <v>Bowles 5th edition</v>
      </c>
      <c r="CF233">
        <f t="shared" si="145"/>
        <v>122</v>
      </c>
      <c r="CG233" t="str">
        <f t="shared" si="164"/>
        <v>Relationship (Gs=2.67)</v>
      </c>
      <c r="CH233">
        <f t="shared" si="146"/>
        <v>0.59</v>
      </c>
      <c r="CI233" t="str">
        <f t="shared" si="165"/>
        <v/>
      </c>
      <c r="CJ233" t="str">
        <f t="shared" si="177"/>
        <v/>
      </c>
    </row>
    <row r="234" spans="2:88" x14ac:dyDescent="0.3">
      <c r="B234" t="str">
        <f t="shared" si="166"/>
        <v>36.802-76.0762</v>
      </c>
      <c r="C234" t="s">
        <v>108</v>
      </c>
      <c r="D234">
        <v>36.802</v>
      </c>
      <c r="E234">
        <v>-76.0762</v>
      </c>
      <c r="F234">
        <v>5.75</v>
      </c>
      <c r="G234" t="str">
        <f t="shared" si="167"/>
        <v>-10.75-15.7536.802-76.0762</v>
      </c>
      <c r="H234">
        <v>-10.75</v>
      </c>
      <c r="I234">
        <v>-15.75</v>
      </c>
      <c r="J234" t="s">
        <v>21</v>
      </c>
      <c r="L234" t="s">
        <v>8</v>
      </c>
      <c r="M234">
        <v>3</v>
      </c>
      <c r="N234">
        <v>25</v>
      </c>
      <c r="Q234" s="1" t="str">
        <f t="shared" si="168"/>
        <v/>
      </c>
      <c r="R234">
        <v>16</v>
      </c>
      <c r="S234" t="str">
        <f t="shared" si="178"/>
        <v>Sand</v>
      </c>
      <c r="T234">
        <f t="shared" si="169"/>
        <v>2</v>
      </c>
      <c r="AA234">
        <v>80</v>
      </c>
      <c r="AB234" s="1">
        <f t="shared" si="170"/>
        <v>4</v>
      </c>
      <c r="AC234">
        <f t="shared" si="171"/>
        <v>3</v>
      </c>
      <c r="AD234" t="str">
        <f t="shared" si="172"/>
        <v/>
      </c>
      <c r="AG234" s="21" t="str">
        <f t="shared" si="147"/>
        <v/>
      </c>
      <c r="AI234" s="6" t="str">
        <f t="shared" si="148"/>
        <v/>
      </c>
      <c r="AM234" s="7" t="str">
        <f t="shared" si="149"/>
        <v/>
      </c>
      <c r="AQ234" s="8" t="str">
        <f t="shared" si="150"/>
        <v/>
      </c>
      <c r="AW234" s="25" t="str">
        <f t="shared" si="151"/>
        <v/>
      </c>
      <c r="AZ234" s="12" t="str">
        <f t="shared" si="152"/>
        <v/>
      </c>
      <c r="BI234" s="17" t="str">
        <f t="shared" si="153"/>
        <v/>
      </c>
      <c r="BM234" t="str">
        <f t="shared" si="154"/>
        <v>SPT Relationship</v>
      </c>
      <c r="BN234">
        <f t="shared" si="140"/>
        <v>105</v>
      </c>
      <c r="BO234" t="str">
        <f t="shared" si="155"/>
        <v>Wolff, 1989</v>
      </c>
      <c r="BP234">
        <f t="shared" si="141"/>
        <v>27</v>
      </c>
      <c r="BQ234" t="str">
        <f t="shared" si="156"/>
        <v/>
      </c>
      <c r="BR234" t="str">
        <f t="shared" si="173"/>
        <v/>
      </c>
      <c r="BS234" t="str">
        <f t="shared" si="157"/>
        <v/>
      </c>
      <c r="BT234" t="str">
        <f t="shared" si="142"/>
        <v/>
      </c>
      <c r="BU234" t="str">
        <f t="shared" si="158"/>
        <v/>
      </c>
      <c r="BV234" t="str">
        <f t="shared" si="174"/>
        <v/>
      </c>
      <c r="BW234" t="str">
        <f t="shared" si="159"/>
        <v/>
      </c>
      <c r="BX234" t="str">
        <f t="shared" si="175"/>
        <v/>
      </c>
      <c r="BY234" t="str">
        <f t="shared" si="160"/>
        <v/>
      </c>
      <c r="BZ234" t="str">
        <f t="shared" si="176"/>
        <v/>
      </c>
      <c r="CA234" t="str">
        <f t="shared" si="161"/>
        <v/>
      </c>
      <c r="CB234" t="str">
        <f t="shared" si="143"/>
        <v/>
      </c>
      <c r="CC234" t="str">
        <f t="shared" si="162"/>
        <v/>
      </c>
      <c r="CD234" t="str">
        <f t="shared" si="144"/>
        <v/>
      </c>
      <c r="CE234" t="str">
        <f t="shared" si="163"/>
        <v>Bowles 5th edition</v>
      </c>
      <c r="CF234">
        <f t="shared" si="145"/>
        <v>122</v>
      </c>
      <c r="CG234" t="str">
        <f t="shared" si="164"/>
        <v>Relationship (Gs=2.67)</v>
      </c>
      <c r="CH234">
        <f t="shared" si="146"/>
        <v>0.67</v>
      </c>
      <c r="CI234" t="str">
        <f t="shared" si="165"/>
        <v/>
      </c>
      <c r="CJ234" t="str">
        <f t="shared" si="177"/>
        <v/>
      </c>
    </row>
    <row r="235" spans="2:88" x14ac:dyDescent="0.3">
      <c r="B235" t="str">
        <f t="shared" si="166"/>
        <v>36.802-76.0762</v>
      </c>
      <c r="C235" t="s">
        <v>108</v>
      </c>
      <c r="D235">
        <v>36.802</v>
      </c>
      <c r="E235">
        <v>-76.0762</v>
      </c>
      <c r="F235">
        <v>5.75</v>
      </c>
      <c r="G235" t="str">
        <f t="shared" si="167"/>
        <v>-15.75-20.7536.802-76.0762</v>
      </c>
      <c r="H235">
        <v>-15.75</v>
      </c>
      <c r="I235">
        <v>-20.75</v>
      </c>
      <c r="J235" t="s">
        <v>21</v>
      </c>
      <c r="L235" t="s">
        <v>8</v>
      </c>
      <c r="M235">
        <v>11</v>
      </c>
      <c r="Q235" s="1" t="str">
        <f t="shared" si="168"/>
        <v/>
      </c>
      <c r="S235" t="str">
        <f t="shared" si="178"/>
        <v>Sand</v>
      </c>
      <c r="T235">
        <f t="shared" si="169"/>
        <v>1</v>
      </c>
      <c r="AA235">
        <v>80</v>
      </c>
      <c r="AB235" s="1">
        <f t="shared" si="170"/>
        <v>15</v>
      </c>
      <c r="AC235">
        <f t="shared" si="171"/>
        <v>12</v>
      </c>
      <c r="AD235" t="str">
        <f t="shared" si="172"/>
        <v/>
      </c>
      <c r="AG235" s="21" t="str">
        <f t="shared" si="147"/>
        <v/>
      </c>
      <c r="AI235" s="6" t="str">
        <f t="shared" si="148"/>
        <v/>
      </c>
      <c r="AM235" s="7" t="str">
        <f t="shared" si="149"/>
        <v/>
      </c>
      <c r="AQ235" s="8" t="str">
        <f t="shared" si="150"/>
        <v/>
      </c>
      <c r="AW235" s="25" t="str">
        <f t="shared" si="151"/>
        <v/>
      </c>
      <c r="AZ235" s="12" t="str">
        <f t="shared" si="152"/>
        <v/>
      </c>
      <c r="BI235" s="17" t="str">
        <f t="shared" si="153"/>
        <v/>
      </c>
      <c r="BM235" t="str">
        <f t="shared" si="154"/>
        <v>SPT Relationship</v>
      </c>
      <c r="BN235">
        <f t="shared" si="140"/>
        <v>119</v>
      </c>
      <c r="BO235" t="str">
        <f t="shared" si="155"/>
        <v>Wolff, 1989</v>
      </c>
      <c r="BP235">
        <f t="shared" si="141"/>
        <v>30</v>
      </c>
      <c r="BQ235" t="str">
        <f t="shared" si="156"/>
        <v/>
      </c>
      <c r="BR235" t="str">
        <f t="shared" si="173"/>
        <v/>
      </c>
      <c r="BS235" t="str">
        <f t="shared" si="157"/>
        <v/>
      </c>
      <c r="BT235" t="str">
        <f t="shared" si="142"/>
        <v/>
      </c>
      <c r="BU235" t="str">
        <f t="shared" si="158"/>
        <v/>
      </c>
      <c r="BV235" t="str">
        <f t="shared" si="174"/>
        <v/>
      </c>
      <c r="BW235" t="str">
        <f t="shared" si="159"/>
        <v/>
      </c>
      <c r="BX235" t="str">
        <f t="shared" si="175"/>
        <v/>
      </c>
      <c r="BY235" t="str">
        <f t="shared" si="160"/>
        <v/>
      </c>
      <c r="BZ235" t="str">
        <f t="shared" si="176"/>
        <v/>
      </c>
      <c r="CA235" t="str">
        <f t="shared" si="161"/>
        <v/>
      </c>
      <c r="CB235" t="str">
        <f t="shared" si="143"/>
        <v/>
      </c>
      <c r="CC235" t="str">
        <f t="shared" si="162"/>
        <v/>
      </c>
      <c r="CD235" t="str">
        <f t="shared" si="144"/>
        <v/>
      </c>
      <c r="CE235" t="str">
        <f t="shared" si="163"/>
        <v>Bowles 5th edition</v>
      </c>
      <c r="CF235">
        <f t="shared" si="145"/>
        <v>192</v>
      </c>
      <c r="CG235" t="str">
        <f t="shared" si="164"/>
        <v/>
      </c>
      <c r="CH235" t="str">
        <f t="shared" si="146"/>
        <v/>
      </c>
      <c r="CI235" t="str">
        <f t="shared" si="165"/>
        <v/>
      </c>
      <c r="CJ235" t="str">
        <f t="shared" si="177"/>
        <v/>
      </c>
    </row>
    <row r="236" spans="2:88" x14ac:dyDescent="0.3">
      <c r="B236" t="str">
        <f t="shared" si="166"/>
        <v>36.802-76.0762</v>
      </c>
      <c r="C236" t="s">
        <v>108</v>
      </c>
      <c r="D236">
        <v>36.802</v>
      </c>
      <c r="E236">
        <v>-76.0762</v>
      </c>
      <c r="F236">
        <v>5.75</v>
      </c>
      <c r="G236" t="str">
        <f t="shared" si="167"/>
        <v>-30.75-60.7536.802-76.0762</v>
      </c>
      <c r="H236">
        <v>-30.75</v>
      </c>
      <c r="I236">
        <v>-60.75</v>
      </c>
      <c r="J236" t="s">
        <v>21</v>
      </c>
      <c r="L236" t="s">
        <v>11</v>
      </c>
      <c r="M236">
        <v>2</v>
      </c>
      <c r="N236">
        <v>39</v>
      </c>
      <c r="O236">
        <v>15</v>
      </c>
      <c r="P236">
        <v>61</v>
      </c>
      <c r="Q236" s="1">
        <f t="shared" si="168"/>
        <v>46</v>
      </c>
      <c r="R236">
        <v>89</v>
      </c>
      <c r="S236" t="str">
        <f t="shared" si="178"/>
        <v>Clay</v>
      </c>
      <c r="T236">
        <f t="shared" si="169"/>
        <v>2</v>
      </c>
      <c r="AA236">
        <v>80</v>
      </c>
      <c r="AB236" s="1">
        <f t="shared" si="170"/>
        <v>3</v>
      </c>
      <c r="AC236">
        <f t="shared" si="171"/>
        <v>1</v>
      </c>
      <c r="AD236">
        <f t="shared" si="172"/>
        <v>0.52173913043478259</v>
      </c>
      <c r="AG236" s="21" t="str">
        <f t="shared" si="147"/>
        <v/>
      </c>
      <c r="AI236" s="6" t="str">
        <f t="shared" si="148"/>
        <v/>
      </c>
      <c r="AM236" s="7" t="str">
        <f t="shared" si="149"/>
        <v/>
      </c>
      <c r="AQ236" s="8" t="str">
        <f t="shared" si="150"/>
        <v/>
      </c>
      <c r="AW236" s="25" t="str">
        <f t="shared" si="151"/>
        <v/>
      </c>
      <c r="AZ236" s="12" t="str">
        <f t="shared" si="152"/>
        <v/>
      </c>
      <c r="BI236" s="17" t="str">
        <f t="shared" si="153"/>
        <v/>
      </c>
      <c r="BM236" t="str">
        <f t="shared" si="154"/>
        <v>SPT Relationship</v>
      </c>
      <c r="BN236">
        <f t="shared" si="140"/>
        <v>101</v>
      </c>
      <c r="BO236" t="str">
        <f t="shared" si="155"/>
        <v>Wolff, 1989</v>
      </c>
      <c r="BP236">
        <f t="shared" si="141"/>
        <v>27</v>
      </c>
      <c r="BQ236" t="str">
        <f t="shared" si="156"/>
        <v>GTENG-2476</v>
      </c>
      <c r="BR236">
        <f t="shared" si="173"/>
        <v>20</v>
      </c>
      <c r="BS236" t="str">
        <f t="shared" si="157"/>
        <v>Stroud 1974 (K=3.5)</v>
      </c>
      <c r="BT236">
        <f t="shared" si="142"/>
        <v>219</v>
      </c>
      <c r="BU236" t="str">
        <f t="shared" si="158"/>
        <v>Kulhawy and Mayne 1990</v>
      </c>
      <c r="BV236">
        <f t="shared" si="174"/>
        <v>0.622</v>
      </c>
      <c r="BW236" t="str">
        <f t="shared" si="159"/>
        <v>Kulhawy and Mayne 1990</v>
      </c>
      <c r="BX236">
        <f t="shared" si="175"/>
        <v>0.124</v>
      </c>
      <c r="BY236" t="str">
        <f t="shared" si="160"/>
        <v>Mesri 1990</v>
      </c>
      <c r="BZ236">
        <f t="shared" si="176"/>
        <v>1.8700000000000001E-2</v>
      </c>
      <c r="CA236" t="str">
        <f t="shared" si="161"/>
        <v>NAVFAC Vol. 7.1 Figure 4</v>
      </c>
      <c r="CB236">
        <f t="shared" si="143"/>
        <v>-0.26861357020000121</v>
      </c>
      <c r="CC236" t="str">
        <f t="shared" si="162"/>
        <v>Stas and Kulhawy 1984</v>
      </c>
      <c r="CD236">
        <f t="shared" si="144"/>
        <v>3842.6083197299704</v>
      </c>
      <c r="CE236" t="str">
        <f t="shared" si="163"/>
        <v/>
      </c>
      <c r="CF236" t="str">
        <f t="shared" si="145"/>
        <v/>
      </c>
      <c r="CG236" t="str">
        <f t="shared" si="164"/>
        <v>Relationship (Gs=2.67)</v>
      </c>
      <c r="CH236">
        <f t="shared" si="146"/>
        <v>1.04</v>
      </c>
      <c r="CI236" t="str">
        <f t="shared" si="165"/>
        <v/>
      </c>
      <c r="CJ236" t="str">
        <f t="shared" si="177"/>
        <v/>
      </c>
    </row>
    <row r="237" spans="2:88" x14ac:dyDescent="0.3">
      <c r="B237" t="str">
        <f t="shared" si="166"/>
        <v>36.802-76.0762</v>
      </c>
      <c r="C237" t="s">
        <v>108</v>
      </c>
      <c r="D237">
        <v>36.802</v>
      </c>
      <c r="E237">
        <v>-76.0762</v>
      </c>
      <c r="F237">
        <v>5.75</v>
      </c>
      <c r="G237" t="str">
        <f t="shared" si="167"/>
        <v>-60.75-70.7536.802-76.0762</v>
      </c>
      <c r="H237">
        <v>-60.75</v>
      </c>
      <c r="I237">
        <v>-70.75</v>
      </c>
      <c r="J237" t="s">
        <v>21</v>
      </c>
      <c r="L237" t="s">
        <v>11</v>
      </c>
      <c r="M237">
        <v>5</v>
      </c>
      <c r="N237">
        <v>33</v>
      </c>
      <c r="O237">
        <v>19</v>
      </c>
      <c r="P237">
        <v>39</v>
      </c>
      <c r="Q237" s="1">
        <f t="shared" si="168"/>
        <v>20</v>
      </c>
      <c r="R237">
        <v>80</v>
      </c>
      <c r="S237" t="str">
        <f t="shared" si="178"/>
        <v>Clay</v>
      </c>
      <c r="T237">
        <f t="shared" si="169"/>
        <v>2</v>
      </c>
      <c r="AA237">
        <v>80</v>
      </c>
      <c r="AB237" s="1">
        <f t="shared" si="170"/>
        <v>7</v>
      </c>
      <c r="AC237">
        <f t="shared" si="171"/>
        <v>3</v>
      </c>
      <c r="AD237">
        <f t="shared" si="172"/>
        <v>0.7</v>
      </c>
      <c r="AG237" s="21" t="str">
        <f t="shared" si="147"/>
        <v/>
      </c>
      <c r="AI237" s="6" t="str">
        <f t="shared" si="148"/>
        <v/>
      </c>
      <c r="AM237" s="7" t="str">
        <f t="shared" si="149"/>
        <v/>
      </c>
      <c r="AQ237" s="8" t="str">
        <f t="shared" si="150"/>
        <v/>
      </c>
      <c r="AW237" s="25" t="str">
        <f t="shared" si="151"/>
        <v/>
      </c>
      <c r="AZ237" s="12" t="str">
        <f t="shared" si="152"/>
        <v/>
      </c>
      <c r="BI237" s="17" t="str">
        <f t="shared" si="153"/>
        <v/>
      </c>
      <c r="BM237" t="str">
        <f t="shared" si="154"/>
        <v>SPT Relationship</v>
      </c>
      <c r="BN237">
        <f t="shared" si="140"/>
        <v>111</v>
      </c>
      <c r="BO237" t="str">
        <f t="shared" si="155"/>
        <v>Wolff, 1989</v>
      </c>
      <c r="BP237">
        <f t="shared" si="141"/>
        <v>27</v>
      </c>
      <c r="BQ237" t="str">
        <f t="shared" si="156"/>
        <v>GTENG-2476</v>
      </c>
      <c r="BR237">
        <f t="shared" si="173"/>
        <v>22</v>
      </c>
      <c r="BS237" t="str">
        <f t="shared" si="157"/>
        <v>Stroud 1974 (K=3.5)</v>
      </c>
      <c r="BT237">
        <f t="shared" si="142"/>
        <v>512</v>
      </c>
      <c r="BU237" t="str">
        <f t="shared" si="158"/>
        <v>Kulhawy and Mayne 1990</v>
      </c>
      <c r="BV237">
        <f t="shared" si="174"/>
        <v>0.27</v>
      </c>
      <c r="BW237" t="str">
        <f t="shared" si="159"/>
        <v>Kulhawy and Mayne 1990</v>
      </c>
      <c r="BX237">
        <f t="shared" si="175"/>
        <v>5.3999999999999999E-2</v>
      </c>
      <c r="BY237" t="str">
        <f t="shared" si="160"/>
        <v>Mesri 1990</v>
      </c>
      <c r="BZ237">
        <f t="shared" si="176"/>
        <v>8.0999999999999996E-3</v>
      </c>
      <c r="CA237" t="str">
        <f t="shared" si="161"/>
        <v>NAVFAC Vol. 7.1 Figure 4</v>
      </c>
      <c r="CB237">
        <f t="shared" si="143"/>
        <v>0.21538485019999998</v>
      </c>
      <c r="CC237" t="str">
        <f t="shared" si="162"/>
        <v>Stas and Kulhawy 1984</v>
      </c>
      <c r="CD237">
        <f t="shared" si="144"/>
        <v>1976.2574040412273</v>
      </c>
      <c r="CE237" t="str">
        <f t="shared" si="163"/>
        <v/>
      </c>
      <c r="CF237" t="str">
        <f t="shared" si="145"/>
        <v/>
      </c>
      <c r="CG237" t="str">
        <f t="shared" si="164"/>
        <v>Relationship (Gs=2.67)</v>
      </c>
      <c r="CH237">
        <f t="shared" si="146"/>
        <v>0.88</v>
      </c>
      <c r="CI237" t="str">
        <f t="shared" si="165"/>
        <v/>
      </c>
      <c r="CJ237" t="str">
        <f t="shared" si="177"/>
        <v/>
      </c>
    </row>
    <row r="238" spans="2:88" x14ac:dyDescent="0.3">
      <c r="B238" t="str">
        <f t="shared" si="166"/>
        <v>36.802-76.0762</v>
      </c>
      <c r="C238" t="s">
        <v>108</v>
      </c>
      <c r="D238">
        <v>36.802</v>
      </c>
      <c r="E238">
        <v>-76.0762</v>
      </c>
      <c r="F238">
        <v>5.75</v>
      </c>
      <c r="G238" t="str">
        <f t="shared" si="167"/>
        <v>-70.75-75.7536.802-76.0762</v>
      </c>
      <c r="H238">
        <v>-70.75</v>
      </c>
      <c r="I238">
        <v>-75.75</v>
      </c>
      <c r="J238" t="s">
        <v>21</v>
      </c>
      <c r="L238" t="s">
        <v>8</v>
      </c>
      <c r="M238">
        <v>29</v>
      </c>
      <c r="Q238" s="1" t="str">
        <f t="shared" si="168"/>
        <v/>
      </c>
      <c r="S238" t="str">
        <f t="shared" si="178"/>
        <v>Sand</v>
      </c>
      <c r="T238">
        <f t="shared" si="169"/>
        <v>1</v>
      </c>
      <c r="AA238">
        <v>80</v>
      </c>
      <c r="AB238" s="1">
        <f t="shared" si="170"/>
        <v>39</v>
      </c>
      <c r="AC238">
        <f t="shared" si="171"/>
        <v>18</v>
      </c>
      <c r="AD238" t="str">
        <f t="shared" si="172"/>
        <v/>
      </c>
      <c r="AG238" s="21" t="str">
        <f t="shared" si="147"/>
        <v/>
      </c>
      <c r="AI238" s="6" t="str">
        <f t="shared" si="148"/>
        <v/>
      </c>
      <c r="AM238" s="7" t="str">
        <f t="shared" si="149"/>
        <v/>
      </c>
      <c r="AQ238" s="8" t="str">
        <f t="shared" si="150"/>
        <v/>
      </c>
      <c r="AW238" s="25" t="str">
        <f t="shared" si="151"/>
        <v/>
      </c>
      <c r="AZ238" s="12" t="str">
        <f t="shared" si="152"/>
        <v/>
      </c>
      <c r="BI238" s="17" t="str">
        <f t="shared" si="153"/>
        <v/>
      </c>
      <c r="BM238" t="str">
        <f t="shared" si="154"/>
        <v>SPT Relationship</v>
      </c>
      <c r="BN238">
        <f t="shared" si="140"/>
        <v>131</v>
      </c>
      <c r="BO238" t="str">
        <f t="shared" si="155"/>
        <v>Wolff, 1989</v>
      </c>
      <c r="BP238">
        <f t="shared" si="141"/>
        <v>32</v>
      </c>
      <c r="BQ238" t="str">
        <f t="shared" si="156"/>
        <v/>
      </c>
      <c r="BR238" t="str">
        <f t="shared" si="173"/>
        <v/>
      </c>
      <c r="BS238" t="str">
        <f t="shared" si="157"/>
        <v/>
      </c>
      <c r="BT238" t="str">
        <f t="shared" si="142"/>
        <v/>
      </c>
      <c r="BU238" t="str">
        <f t="shared" si="158"/>
        <v/>
      </c>
      <c r="BV238" t="str">
        <f t="shared" si="174"/>
        <v/>
      </c>
      <c r="BW238" t="str">
        <f t="shared" si="159"/>
        <v/>
      </c>
      <c r="BX238" t="str">
        <f t="shared" si="175"/>
        <v/>
      </c>
      <c r="BY238" t="str">
        <f t="shared" si="160"/>
        <v/>
      </c>
      <c r="BZ238" t="str">
        <f t="shared" si="176"/>
        <v/>
      </c>
      <c r="CA238" t="str">
        <f t="shared" si="161"/>
        <v/>
      </c>
      <c r="CB238" t="str">
        <f t="shared" si="143"/>
        <v/>
      </c>
      <c r="CC238" t="str">
        <f t="shared" si="162"/>
        <v/>
      </c>
      <c r="CD238" t="str">
        <f t="shared" si="144"/>
        <v/>
      </c>
      <c r="CE238" t="str">
        <f t="shared" si="163"/>
        <v>Bowles 5th edition</v>
      </c>
      <c r="CF238">
        <f t="shared" si="145"/>
        <v>346</v>
      </c>
      <c r="CG238" t="str">
        <f t="shared" si="164"/>
        <v/>
      </c>
      <c r="CH238" t="str">
        <f t="shared" si="146"/>
        <v/>
      </c>
      <c r="CI238" t="str">
        <f t="shared" si="165"/>
        <v/>
      </c>
      <c r="CJ238" t="str">
        <f t="shared" si="177"/>
        <v/>
      </c>
    </row>
    <row r="239" spans="2:88" x14ac:dyDescent="0.3">
      <c r="B239" t="str">
        <f t="shared" si="166"/>
        <v>36.802-76.0762</v>
      </c>
      <c r="C239" t="s">
        <v>108</v>
      </c>
      <c r="D239">
        <v>36.802</v>
      </c>
      <c r="E239">
        <v>-76.0762</v>
      </c>
      <c r="F239">
        <v>5.75</v>
      </c>
      <c r="G239" t="str">
        <f t="shared" si="167"/>
        <v>-75.75-80.7536.802-76.0762</v>
      </c>
      <c r="H239">
        <v>-75.75</v>
      </c>
      <c r="I239">
        <v>-80.75</v>
      </c>
      <c r="J239" t="s">
        <v>21</v>
      </c>
      <c r="L239" t="s">
        <v>17</v>
      </c>
      <c r="M239">
        <v>8</v>
      </c>
      <c r="N239">
        <v>27</v>
      </c>
      <c r="O239">
        <v>11</v>
      </c>
      <c r="P239">
        <v>22</v>
      </c>
      <c r="Q239" s="1">
        <f t="shared" si="168"/>
        <v>11</v>
      </c>
      <c r="R239">
        <v>23</v>
      </c>
      <c r="S239" t="str">
        <f t="shared" si="178"/>
        <v>Sand</v>
      </c>
      <c r="T239">
        <f t="shared" si="169"/>
        <v>2</v>
      </c>
      <c r="AA239">
        <v>80</v>
      </c>
      <c r="AB239" s="1">
        <f t="shared" si="170"/>
        <v>11</v>
      </c>
      <c r="AC239">
        <f t="shared" si="171"/>
        <v>5</v>
      </c>
      <c r="AD239">
        <f t="shared" si="172"/>
        <v>1.4545454545454546</v>
      </c>
      <c r="AG239" s="21" t="str">
        <f t="shared" si="147"/>
        <v/>
      </c>
      <c r="AI239" s="6" t="str">
        <f t="shared" si="148"/>
        <v/>
      </c>
      <c r="AM239" s="7" t="str">
        <f t="shared" si="149"/>
        <v/>
      </c>
      <c r="AQ239" s="8" t="str">
        <f t="shared" si="150"/>
        <v/>
      </c>
      <c r="AW239" s="25" t="str">
        <f t="shared" si="151"/>
        <v/>
      </c>
      <c r="AZ239" s="12" t="str">
        <f t="shared" si="152"/>
        <v/>
      </c>
      <c r="BI239" s="17" t="str">
        <f t="shared" si="153"/>
        <v/>
      </c>
      <c r="BM239" t="str">
        <f t="shared" si="154"/>
        <v>SPT Relationship</v>
      </c>
      <c r="BN239">
        <f t="shared" si="140"/>
        <v>116</v>
      </c>
      <c r="BO239" t="str">
        <f t="shared" si="155"/>
        <v>Wolff, 1989</v>
      </c>
      <c r="BP239">
        <f t="shared" si="141"/>
        <v>28</v>
      </c>
      <c r="BQ239" t="str">
        <f t="shared" si="156"/>
        <v>GTENG-2476</v>
      </c>
      <c r="BR239">
        <f t="shared" si="173"/>
        <v>24</v>
      </c>
      <c r="BS239" t="str">
        <f t="shared" si="157"/>
        <v/>
      </c>
      <c r="BT239" t="str">
        <f t="shared" si="142"/>
        <v/>
      </c>
      <c r="BU239" t="str">
        <f t="shared" si="158"/>
        <v>Kulhawy and Mayne 1990</v>
      </c>
      <c r="BV239">
        <f t="shared" si="174"/>
        <v>0.14899999999999999</v>
      </c>
      <c r="BW239" t="str">
        <f t="shared" si="159"/>
        <v>Kulhawy and Mayne 1990</v>
      </c>
      <c r="BX239">
        <f t="shared" si="175"/>
        <v>0.03</v>
      </c>
      <c r="BY239" t="str">
        <f t="shared" si="160"/>
        <v>Mesri 1990</v>
      </c>
      <c r="BZ239">
        <f t="shared" si="176"/>
        <v>4.4999999999999997E-3</v>
      </c>
      <c r="CA239" t="str">
        <f t="shared" si="161"/>
        <v>NAVFAC Vol. 7.1 Figure 4</v>
      </c>
      <c r="CB239">
        <f t="shared" si="143"/>
        <v>0.7466923136000001</v>
      </c>
      <c r="CC239" t="str">
        <f t="shared" si="162"/>
        <v>Stas and Kulhawy 1984</v>
      </c>
      <c r="CD239">
        <f t="shared" si="144"/>
        <v>118.43494798852787</v>
      </c>
      <c r="CE239" t="str">
        <f t="shared" si="163"/>
        <v>Bowles 5th edition</v>
      </c>
      <c r="CF239">
        <f t="shared" si="145"/>
        <v>166</v>
      </c>
      <c r="CG239" t="str">
        <f t="shared" si="164"/>
        <v>Relationship (Gs=2.67)</v>
      </c>
      <c r="CH239">
        <f t="shared" si="146"/>
        <v>0.72</v>
      </c>
      <c r="CI239" t="str">
        <f t="shared" si="165"/>
        <v/>
      </c>
      <c r="CJ239" t="str">
        <f t="shared" si="177"/>
        <v/>
      </c>
    </row>
    <row r="240" spans="2:88" x14ac:dyDescent="0.3">
      <c r="B240" t="str">
        <f t="shared" si="166"/>
        <v>36.802-76.0762</v>
      </c>
      <c r="C240" t="s">
        <v>108</v>
      </c>
      <c r="D240">
        <v>36.802</v>
      </c>
      <c r="E240">
        <v>-76.0762</v>
      </c>
      <c r="F240">
        <v>5.75</v>
      </c>
      <c r="G240" t="str">
        <f t="shared" si="167"/>
        <v>-80.75-85.7536.802-76.0762</v>
      </c>
      <c r="H240">
        <v>-80.75</v>
      </c>
      <c r="I240">
        <v>-85.75</v>
      </c>
      <c r="J240" t="s">
        <v>21</v>
      </c>
      <c r="L240" t="s">
        <v>113</v>
      </c>
      <c r="M240">
        <v>8</v>
      </c>
      <c r="Q240" s="1" t="str">
        <f t="shared" si="168"/>
        <v/>
      </c>
      <c r="S240" t="str">
        <f t="shared" si="178"/>
        <v>Clay</v>
      </c>
      <c r="T240">
        <f t="shared" si="169"/>
        <v>1</v>
      </c>
      <c r="AA240">
        <v>80</v>
      </c>
      <c r="AB240" s="1">
        <f t="shared" si="170"/>
        <v>11</v>
      </c>
      <c r="AC240">
        <f t="shared" si="171"/>
        <v>5</v>
      </c>
      <c r="AD240" t="str">
        <f t="shared" si="172"/>
        <v/>
      </c>
      <c r="AG240" s="21" t="str">
        <f t="shared" si="147"/>
        <v/>
      </c>
      <c r="AI240" s="6" t="str">
        <f t="shared" si="148"/>
        <v/>
      </c>
      <c r="AM240" s="7" t="str">
        <f t="shared" si="149"/>
        <v/>
      </c>
      <c r="AQ240" s="8" t="str">
        <f t="shared" si="150"/>
        <v/>
      </c>
      <c r="AW240" s="25" t="str">
        <f t="shared" si="151"/>
        <v/>
      </c>
      <c r="AZ240" s="12" t="str">
        <f t="shared" si="152"/>
        <v/>
      </c>
      <c r="BI240" s="17" t="str">
        <f t="shared" si="153"/>
        <v/>
      </c>
      <c r="BM240" t="str">
        <f t="shared" si="154"/>
        <v>SPT Relationship</v>
      </c>
      <c r="BN240">
        <f t="shared" si="140"/>
        <v>116</v>
      </c>
      <c r="BO240" t="str">
        <f t="shared" si="155"/>
        <v>Wolff, 1989</v>
      </c>
      <c r="BP240">
        <f t="shared" si="141"/>
        <v>28</v>
      </c>
      <c r="BQ240" t="str">
        <f t="shared" si="156"/>
        <v/>
      </c>
      <c r="BR240" t="str">
        <f t="shared" si="173"/>
        <v/>
      </c>
      <c r="BS240" t="str">
        <f t="shared" si="157"/>
        <v>Stroud 1974 (K=3.5)</v>
      </c>
      <c r="BT240">
        <f t="shared" si="142"/>
        <v>804</v>
      </c>
      <c r="BU240" t="str">
        <f t="shared" si="158"/>
        <v/>
      </c>
      <c r="BV240" t="str">
        <f t="shared" si="174"/>
        <v/>
      </c>
      <c r="BW240" t="str">
        <f t="shared" si="159"/>
        <v/>
      </c>
      <c r="BX240" t="str">
        <f t="shared" si="175"/>
        <v/>
      </c>
      <c r="BY240" t="str">
        <f t="shared" si="160"/>
        <v/>
      </c>
      <c r="BZ240" t="str">
        <f t="shared" si="176"/>
        <v/>
      </c>
      <c r="CA240" t="str">
        <f t="shared" si="161"/>
        <v/>
      </c>
      <c r="CB240" t="str">
        <f t="shared" si="143"/>
        <v/>
      </c>
      <c r="CC240" t="str">
        <f t="shared" si="162"/>
        <v/>
      </c>
      <c r="CD240" t="str">
        <f t="shared" si="144"/>
        <v/>
      </c>
      <c r="CE240" t="str">
        <f t="shared" si="163"/>
        <v/>
      </c>
      <c r="CF240" t="str">
        <f t="shared" si="145"/>
        <v/>
      </c>
      <c r="CG240" t="str">
        <f t="shared" si="164"/>
        <v/>
      </c>
      <c r="CH240" t="str">
        <f t="shared" si="146"/>
        <v/>
      </c>
      <c r="CI240" t="str">
        <f t="shared" si="165"/>
        <v/>
      </c>
      <c r="CJ240" t="str">
        <f t="shared" si="177"/>
        <v/>
      </c>
    </row>
    <row r="241" spans="2:88" x14ac:dyDescent="0.3">
      <c r="B241" t="str">
        <f t="shared" si="166"/>
        <v>36.802-76.0762</v>
      </c>
      <c r="C241" t="s">
        <v>108</v>
      </c>
      <c r="D241">
        <v>36.802</v>
      </c>
      <c r="E241">
        <v>-76.0762</v>
      </c>
      <c r="F241">
        <v>5.75</v>
      </c>
      <c r="G241" t="str">
        <f t="shared" si="167"/>
        <v>-85.75-90.7536.802-76.0762</v>
      </c>
      <c r="H241">
        <v>-85.75</v>
      </c>
      <c r="I241">
        <v>-90.75</v>
      </c>
      <c r="J241" t="s">
        <v>21</v>
      </c>
      <c r="L241" t="s">
        <v>17</v>
      </c>
      <c r="M241">
        <v>14</v>
      </c>
      <c r="Q241" s="1" t="str">
        <f t="shared" si="168"/>
        <v/>
      </c>
      <c r="S241" t="str">
        <f t="shared" si="178"/>
        <v>Sand</v>
      </c>
      <c r="T241">
        <f t="shared" si="169"/>
        <v>1</v>
      </c>
      <c r="AA241">
        <v>80</v>
      </c>
      <c r="AB241" s="1">
        <f t="shared" si="170"/>
        <v>19</v>
      </c>
      <c r="AC241">
        <f t="shared" si="171"/>
        <v>8</v>
      </c>
      <c r="AD241" t="str">
        <f t="shared" si="172"/>
        <v/>
      </c>
      <c r="AG241" s="21" t="str">
        <f t="shared" si="147"/>
        <v/>
      </c>
      <c r="AI241" s="6" t="str">
        <f t="shared" si="148"/>
        <v/>
      </c>
      <c r="AM241" s="7" t="str">
        <f t="shared" si="149"/>
        <v/>
      </c>
      <c r="AQ241" s="8" t="str">
        <f t="shared" si="150"/>
        <v/>
      </c>
      <c r="AW241" s="25" t="str">
        <f t="shared" si="151"/>
        <v/>
      </c>
      <c r="AZ241" s="12" t="str">
        <f t="shared" si="152"/>
        <v/>
      </c>
      <c r="BI241" s="17" t="str">
        <f t="shared" si="153"/>
        <v/>
      </c>
      <c r="BM241" t="str">
        <f t="shared" si="154"/>
        <v>SPT Relationship</v>
      </c>
      <c r="BN241">
        <f t="shared" si="140"/>
        <v>122</v>
      </c>
      <c r="BO241" t="str">
        <f t="shared" si="155"/>
        <v>Wolff, 1989</v>
      </c>
      <c r="BP241">
        <f t="shared" si="141"/>
        <v>29</v>
      </c>
      <c r="BQ241" t="str">
        <f t="shared" si="156"/>
        <v/>
      </c>
      <c r="BR241" t="str">
        <f t="shared" si="173"/>
        <v/>
      </c>
      <c r="BS241" t="str">
        <f t="shared" si="157"/>
        <v/>
      </c>
      <c r="BT241" t="str">
        <f t="shared" si="142"/>
        <v/>
      </c>
      <c r="BU241" t="str">
        <f t="shared" si="158"/>
        <v/>
      </c>
      <c r="BV241" t="str">
        <f t="shared" si="174"/>
        <v/>
      </c>
      <c r="BW241" t="str">
        <f t="shared" si="159"/>
        <v/>
      </c>
      <c r="BX241" t="str">
        <f t="shared" si="175"/>
        <v/>
      </c>
      <c r="BY241" t="str">
        <f t="shared" si="160"/>
        <v/>
      </c>
      <c r="BZ241" t="str">
        <f t="shared" si="176"/>
        <v/>
      </c>
      <c r="CA241" t="str">
        <f t="shared" si="161"/>
        <v/>
      </c>
      <c r="CB241" t="str">
        <f t="shared" si="143"/>
        <v/>
      </c>
      <c r="CC241" t="str">
        <f t="shared" si="162"/>
        <v/>
      </c>
      <c r="CD241" t="str">
        <f t="shared" si="144"/>
        <v/>
      </c>
      <c r="CE241" t="str">
        <f t="shared" si="163"/>
        <v>Bowles 5th edition</v>
      </c>
      <c r="CF241">
        <f t="shared" si="145"/>
        <v>218</v>
      </c>
      <c r="CG241" t="str">
        <f t="shared" si="164"/>
        <v/>
      </c>
      <c r="CH241" t="str">
        <f t="shared" si="146"/>
        <v/>
      </c>
      <c r="CI241" t="str">
        <f t="shared" si="165"/>
        <v/>
      </c>
      <c r="CJ241" t="str">
        <f t="shared" si="177"/>
        <v/>
      </c>
    </row>
    <row r="242" spans="2:88" x14ac:dyDescent="0.3">
      <c r="B242" t="str">
        <f t="shared" si="166"/>
        <v>36.802-76.0762</v>
      </c>
      <c r="C242" t="s">
        <v>108</v>
      </c>
      <c r="D242">
        <v>36.802</v>
      </c>
      <c r="E242">
        <v>-76.0762</v>
      </c>
      <c r="F242">
        <v>5.75</v>
      </c>
      <c r="G242" t="str">
        <f t="shared" si="167"/>
        <v>-90.75-94.2536.802-76.0762</v>
      </c>
      <c r="H242">
        <v>-90.75</v>
      </c>
      <c r="I242">
        <v>-94.25</v>
      </c>
      <c r="J242" t="s">
        <v>21</v>
      </c>
      <c r="L242" t="s">
        <v>8</v>
      </c>
      <c r="M242">
        <v>14</v>
      </c>
      <c r="Q242" s="1" t="str">
        <f t="shared" si="168"/>
        <v/>
      </c>
      <c r="S242" t="str">
        <f t="shared" si="178"/>
        <v>Sand</v>
      </c>
      <c r="T242">
        <f t="shared" si="169"/>
        <v>1</v>
      </c>
      <c r="AA242">
        <v>80</v>
      </c>
      <c r="AB242" s="1">
        <f t="shared" si="170"/>
        <v>19</v>
      </c>
      <c r="AC242">
        <f t="shared" si="171"/>
        <v>8</v>
      </c>
      <c r="AD242" t="str">
        <f t="shared" si="172"/>
        <v/>
      </c>
      <c r="AG242" s="21" t="str">
        <f t="shared" si="147"/>
        <v/>
      </c>
      <c r="AI242" s="6" t="str">
        <f t="shared" si="148"/>
        <v/>
      </c>
      <c r="AM242" s="7" t="str">
        <f t="shared" si="149"/>
        <v/>
      </c>
      <c r="AQ242" s="8" t="str">
        <f t="shared" si="150"/>
        <v/>
      </c>
      <c r="AW242" s="25" t="str">
        <f t="shared" si="151"/>
        <v/>
      </c>
      <c r="AZ242" s="12" t="str">
        <f t="shared" si="152"/>
        <v/>
      </c>
      <c r="BI242" s="17" t="str">
        <f t="shared" si="153"/>
        <v/>
      </c>
      <c r="BM242" t="str">
        <f t="shared" si="154"/>
        <v>SPT Relationship</v>
      </c>
      <c r="BN242">
        <f t="shared" si="140"/>
        <v>122</v>
      </c>
      <c r="BO242" t="str">
        <f t="shared" si="155"/>
        <v>Wolff, 1989</v>
      </c>
      <c r="BP242">
        <f t="shared" si="141"/>
        <v>29</v>
      </c>
      <c r="BQ242" t="str">
        <f t="shared" si="156"/>
        <v/>
      </c>
      <c r="BR242" t="str">
        <f t="shared" si="173"/>
        <v/>
      </c>
      <c r="BS242" t="str">
        <f t="shared" si="157"/>
        <v/>
      </c>
      <c r="BT242" t="str">
        <f t="shared" si="142"/>
        <v/>
      </c>
      <c r="BU242" t="str">
        <f t="shared" si="158"/>
        <v/>
      </c>
      <c r="BV242" t="str">
        <f t="shared" si="174"/>
        <v/>
      </c>
      <c r="BW242" t="str">
        <f t="shared" si="159"/>
        <v/>
      </c>
      <c r="BX242" t="str">
        <f t="shared" si="175"/>
        <v/>
      </c>
      <c r="BY242" t="str">
        <f t="shared" si="160"/>
        <v/>
      </c>
      <c r="BZ242" t="str">
        <f t="shared" si="176"/>
        <v/>
      </c>
      <c r="CA242" t="str">
        <f t="shared" si="161"/>
        <v/>
      </c>
      <c r="CB242" t="str">
        <f t="shared" si="143"/>
        <v/>
      </c>
      <c r="CC242" t="str">
        <f t="shared" si="162"/>
        <v/>
      </c>
      <c r="CD242" t="str">
        <f t="shared" si="144"/>
        <v/>
      </c>
      <c r="CE242" t="str">
        <f t="shared" si="163"/>
        <v>Bowles 5th edition</v>
      </c>
      <c r="CF242">
        <f t="shared" si="145"/>
        <v>218</v>
      </c>
      <c r="CG242" t="str">
        <f t="shared" si="164"/>
        <v/>
      </c>
      <c r="CH242" t="str">
        <f t="shared" si="146"/>
        <v/>
      </c>
      <c r="CI242" t="str">
        <f t="shared" si="165"/>
        <v/>
      </c>
      <c r="CJ242" t="str">
        <f t="shared" si="177"/>
        <v/>
      </c>
    </row>
    <row r="243" spans="2:88" x14ac:dyDescent="0.3">
      <c r="B243" t="str">
        <f t="shared" si="166"/>
        <v>36.8224-76.07736</v>
      </c>
      <c r="C243" t="s">
        <v>109</v>
      </c>
      <c r="D243">
        <v>36.822400000000002</v>
      </c>
      <c r="E243">
        <v>-76.077359999999999</v>
      </c>
      <c r="F243">
        <v>5.5</v>
      </c>
      <c r="G243" t="str">
        <f t="shared" si="167"/>
        <v>5.55.236.8224-76.07736</v>
      </c>
      <c r="H243">
        <v>5.5</v>
      </c>
      <c r="I243">
        <v>5.2</v>
      </c>
      <c r="J243" t="s">
        <v>21</v>
      </c>
      <c r="L243" t="s">
        <v>8</v>
      </c>
      <c r="M243">
        <v>15</v>
      </c>
      <c r="Q243" s="1" t="str">
        <f t="shared" si="168"/>
        <v/>
      </c>
      <c r="S243" t="str">
        <f t="shared" si="178"/>
        <v>Sand</v>
      </c>
      <c r="T243">
        <f t="shared" si="169"/>
        <v>1</v>
      </c>
      <c r="AA243">
        <v>80</v>
      </c>
      <c r="AB243" s="1">
        <f t="shared" si="170"/>
        <v>20</v>
      </c>
      <c r="AC243">
        <f t="shared" si="171"/>
        <v>159</v>
      </c>
      <c r="AD243" t="str">
        <f t="shared" si="172"/>
        <v/>
      </c>
      <c r="AG243" s="21" t="str">
        <f t="shared" si="147"/>
        <v/>
      </c>
      <c r="AI243" s="6" t="str">
        <f t="shared" si="148"/>
        <v/>
      </c>
      <c r="AM243" s="7" t="str">
        <f t="shared" si="149"/>
        <v/>
      </c>
      <c r="AQ243" s="8" t="str">
        <f t="shared" si="150"/>
        <v/>
      </c>
      <c r="AW243" s="25" t="str">
        <f t="shared" si="151"/>
        <v/>
      </c>
      <c r="AZ243" s="12" t="str">
        <f t="shared" si="152"/>
        <v/>
      </c>
      <c r="BI243" s="17" t="str">
        <f t="shared" si="153"/>
        <v/>
      </c>
      <c r="BM243" t="str">
        <f t="shared" si="154"/>
        <v>SPT Relationship</v>
      </c>
      <c r="BN243">
        <f t="shared" si="140"/>
        <v>123</v>
      </c>
      <c r="BO243" t="str">
        <f t="shared" si="155"/>
        <v>Wolff, 1989</v>
      </c>
      <c r="BP243">
        <f t="shared" si="141"/>
        <v>61</v>
      </c>
      <c r="BQ243" t="str">
        <f t="shared" si="156"/>
        <v/>
      </c>
      <c r="BR243" t="str">
        <f t="shared" si="173"/>
        <v/>
      </c>
      <c r="BS243" t="str">
        <f t="shared" si="157"/>
        <v/>
      </c>
      <c r="BT243" t="str">
        <f t="shared" si="142"/>
        <v/>
      </c>
      <c r="BU243" t="str">
        <f t="shared" si="158"/>
        <v/>
      </c>
      <c r="BV243" t="str">
        <f t="shared" si="174"/>
        <v/>
      </c>
      <c r="BW243" t="str">
        <f t="shared" si="159"/>
        <v/>
      </c>
      <c r="BX243" t="str">
        <f t="shared" si="175"/>
        <v/>
      </c>
      <c r="BY243" t="str">
        <f t="shared" si="160"/>
        <v/>
      </c>
      <c r="BZ243" t="str">
        <f t="shared" si="176"/>
        <v/>
      </c>
      <c r="CA243" t="str">
        <f t="shared" si="161"/>
        <v/>
      </c>
      <c r="CB243" t="str">
        <f t="shared" si="143"/>
        <v/>
      </c>
      <c r="CC243" t="str">
        <f t="shared" si="162"/>
        <v/>
      </c>
      <c r="CD243" t="str">
        <f t="shared" si="144"/>
        <v/>
      </c>
      <c r="CE243" t="str">
        <f t="shared" si="163"/>
        <v>Bowles 5th edition</v>
      </c>
      <c r="CF243">
        <f t="shared" si="145"/>
        <v>224</v>
      </c>
      <c r="CG243" t="str">
        <f t="shared" si="164"/>
        <v/>
      </c>
      <c r="CH243" t="str">
        <f t="shared" si="146"/>
        <v/>
      </c>
      <c r="CI243" t="str">
        <f t="shared" si="165"/>
        <v/>
      </c>
      <c r="CJ243" t="str">
        <f t="shared" si="177"/>
        <v/>
      </c>
    </row>
    <row r="244" spans="2:88" x14ac:dyDescent="0.3">
      <c r="B244" t="str">
        <f t="shared" si="166"/>
        <v>36.8224-76.07736</v>
      </c>
      <c r="C244" t="s">
        <v>109</v>
      </c>
      <c r="D244">
        <v>36.822400000000002</v>
      </c>
      <c r="E244">
        <v>-76.077359999999999</v>
      </c>
      <c r="F244">
        <v>5.5</v>
      </c>
      <c r="G244" t="str">
        <f t="shared" si="167"/>
        <v>5.23.536.8224-76.07736</v>
      </c>
      <c r="H244">
        <v>5.2</v>
      </c>
      <c r="I244">
        <v>3.5</v>
      </c>
      <c r="J244" t="s">
        <v>21</v>
      </c>
      <c r="L244" t="s">
        <v>116</v>
      </c>
      <c r="M244">
        <v>6</v>
      </c>
      <c r="Q244" s="1" t="str">
        <f t="shared" si="168"/>
        <v/>
      </c>
      <c r="S244" t="b">
        <f t="shared" si="178"/>
        <v>0</v>
      </c>
      <c r="T244">
        <f t="shared" si="169"/>
        <v>1</v>
      </c>
      <c r="AA244">
        <v>80</v>
      </c>
      <c r="AB244" s="1">
        <f t="shared" si="170"/>
        <v>8</v>
      </c>
      <c r="AC244">
        <f t="shared" si="171"/>
        <v>24</v>
      </c>
      <c r="AD244" t="str">
        <f t="shared" si="172"/>
        <v/>
      </c>
      <c r="AG244" s="21" t="str">
        <f t="shared" si="147"/>
        <v/>
      </c>
      <c r="AI244" s="6" t="str">
        <f t="shared" si="148"/>
        <v/>
      </c>
      <c r="AM244" s="7" t="str">
        <f t="shared" si="149"/>
        <v/>
      </c>
      <c r="AQ244" s="8" t="str">
        <f t="shared" si="150"/>
        <v/>
      </c>
      <c r="AW244" s="25" t="str">
        <f t="shared" si="151"/>
        <v/>
      </c>
      <c r="AZ244" s="12" t="str">
        <f t="shared" si="152"/>
        <v/>
      </c>
      <c r="BI244" s="17" t="str">
        <f t="shared" si="153"/>
        <v/>
      </c>
      <c r="BM244" t="str">
        <f t="shared" si="154"/>
        <v>SPT Relationship</v>
      </c>
      <c r="BN244">
        <f t="shared" si="140"/>
        <v>113</v>
      </c>
      <c r="BO244" t="str">
        <f t="shared" si="155"/>
        <v>Wolff, 1989</v>
      </c>
      <c r="BP244">
        <f t="shared" si="141"/>
        <v>33</v>
      </c>
      <c r="BQ244" t="str">
        <f t="shared" si="156"/>
        <v/>
      </c>
      <c r="BR244" t="str">
        <f t="shared" si="173"/>
        <v/>
      </c>
      <c r="BS244" t="str">
        <f t="shared" si="157"/>
        <v/>
      </c>
      <c r="BT244" t="str">
        <f t="shared" si="142"/>
        <v/>
      </c>
      <c r="BU244" t="str">
        <f t="shared" si="158"/>
        <v/>
      </c>
      <c r="BV244" t="str">
        <f t="shared" si="174"/>
        <v/>
      </c>
      <c r="BW244" t="str">
        <f t="shared" si="159"/>
        <v/>
      </c>
      <c r="BX244" t="str">
        <f t="shared" si="175"/>
        <v/>
      </c>
      <c r="BY244" t="str">
        <f t="shared" si="160"/>
        <v/>
      </c>
      <c r="BZ244" t="str">
        <f t="shared" si="176"/>
        <v/>
      </c>
      <c r="CA244" t="str">
        <f t="shared" si="161"/>
        <v/>
      </c>
      <c r="CB244" t="str">
        <f t="shared" si="143"/>
        <v/>
      </c>
      <c r="CC244" t="str">
        <f t="shared" si="162"/>
        <v/>
      </c>
      <c r="CD244" t="str">
        <f t="shared" si="144"/>
        <v/>
      </c>
      <c r="CE244" t="str">
        <f t="shared" si="163"/>
        <v>Bowles 5th edition</v>
      </c>
      <c r="CF244">
        <f t="shared" si="145"/>
        <v>147</v>
      </c>
      <c r="CG244" t="str">
        <f t="shared" si="164"/>
        <v/>
      </c>
      <c r="CH244" t="str">
        <f t="shared" si="146"/>
        <v/>
      </c>
      <c r="CI244" t="str">
        <f t="shared" si="165"/>
        <v/>
      </c>
      <c r="CJ244" t="str">
        <f t="shared" si="177"/>
        <v/>
      </c>
    </row>
    <row r="245" spans="2:88" x14ac:dyDescent="0.3">
      <c r="B245" t="str">
        <f t="shared" si="166"/>
        <v>36.8224-76.07736</v>
      </c>
      <c r="C245" t="s">
        <v>109</v>
      </c>
      <c r="D245">
        <v>36.822400000000002</v>
      </c>
      <c r="E245">
        <v>-76.077359999999999</v>
      </c>
      <c r="F245">
        <v>5.5</v>
      </c>
      <c r="G245" t="str">
        <f t="shared" si="167"/>
        <v>3.51.536.8224-76.07736</v>
      </c>
      <c r="H245">
        <v>3.5</v>
      </c>
      <c r="I245">
        <v>1.5</v>
      </c>
      <c r="J245" t="s">
        <v>21</v>
      </c>
      <c r="L245" t="s">
        <v>11</v>
      </c>
      <c r="M245">
        <v>6</v>
      </c>
      <c r="N245">
        <v>18</v>
      </c>
      <c r="O245">
        <v>11</v>
      </c>
      <c r="P245">
        <v>21</v>
      </c>
      <c r="Q245" s="1">
        <f t="shared" si="168"/>
        <v>10</v>
      </c>
      <c r="R245">
        <v>65</v>
      </c>
      <c r="S245" t="str">
        <f t="shared" si="178"/>
        <v>Clay</v>
      </c>
      <c r="T245">
        <f t="shared" si="169"/>
        <v>2</v>
      </c>
      <c r="AA245">
        <v>80</v>
      </c>
      <c r="AB245" s="1">
        <f t="shared" si="170"/>
        <v>8</v>
      </c>
      <c r="AC245">
        <f t="shared" si="171"/>
        <v>17</v>
      </c>
      <c r="AD245">
        <f t="shared" si="172"/>
        <v>0.7</v>
      </c>
      <c r="AG245" s="21" t="str">
        <f t="shared" si="147"/>
        <v/>
      </c>
      <c r="AI245" s="6" t="str">
        <f t="shared" si="148"/>
        <v/>
      </c>
      <c r="AM245" s="7" t="str">
        <f t="shared" si="149"/>
        <v/>
      </c>
      <c r="AQ245" s="8" t="str">
        <f t="shared" si="150"/>
        <v/>
      </c>
      <c r="AW245" s="25" t="str">
        <f t="shared" si="151"/>
        <v/>
      </c>
      <c r="AZ245" s="12" t="str">
        <f t="shared" si="152"/>
        <v/>
      </c>
      <c r="BI245" s="17" t="str">
        <f t="shared" si="153"/>
        <v/>
      </c>
      <c r="BM245" t="str">
        <f t="shared" si="154"/>
        <v>SPT Relationship</v>
      </c>
      <c r="BN245">
        <f t="shared" si="140"/>
        <v>113</v>
      </c>
      <c r="BO245" t="str">
        <f t="shared" si="155"/>
        <v>Wolff, 1989</v>
      </c>
      <c r="BP245">
        <f t="shared" si="141"/>
        <v>32</v>
      </c>
      <c r="BQ245" t="str">
        <f t="shared" si="156"/>
        <v>GTENG-2476</v>
      </c>
      <c r="BR245">
        <f t="shared" si="173"/>
        <v>25</v>
      </c>
      <c r="BS245" t="str">
        <f t="shared" si="157"/>
        <v>Stroud 1974 (K=3.5)</v>
      </c>
      <c r="BT245">
        <f t="shared" si="142"/>
        <v>585</v>
      </c>
      <c r="BU245" t="str">
        <f t="shared" si="158"/>
        <v>Kulhawy and Mayne 1990</v>
      </c>
      <c r="BV245">
        <f t="shared" si="174"/>
        <v>0.13500000000000001</v>
      </c>
      <c r="BW245" t="str">
        <f t="shared" si="159"/>
        <v>Kulhawy and Mayne 1990</v>
      </c>
      <c r="BX245">
        <f t="shared" si="175"/>
        <v>2.7E-2</v>
      </c>
      <c r="BY245" t="str">
        <f t="shared" si="160"/>
        <v>Mesri 1990</v>
      </c>
      <c r="BZ245">
        <f t="shared" si="176"/>
        <v>4.1000000000000003E-3</v>
      </c>
      <c r="CA245" t="str">
        <f t="shared" si="161"/>
        <v>NAVFAC Vol. 7.1 Figure 4</v>
      </c>
      <c r="CB245">
        <f t="shared" si="143"/>
        <v>0.78926646979999981</v>
      </c>
      <c r="CC245" t="str">
        <f t="shared" si="162"/>
        <v>Stas and Kulhawy 1984</v>
      </c>
      <c r="CD245">
        <f t="shared" si="144"/>
        <v>1976.2574040412273</v>
      </c>
      <c r="CE245" t="str">
        <f t="shared" si="163"/>
        <v/>
      </c>
      <c r="CF245" t="str">
        <f t="shared" si="145"/>
        <v/>
      </c>
      <c r="CG245" t="str">
        <f t="shared" si="164"/>
        <v>Relationship (Gs=2.67)</v>
      </c>
      <c r="CH245">
        <f t="shared" si="146"/>
        <v>0.48</v>
      </c>
      <c r="CI245" t="str">
        <f t="shared" si="165"/>
        <v/>
      </c>
      <c r="CJ245" t="str">
        <f t="shared" si="177"/>
        <v/>
      </c>
    </row>
    <row r="246" spans="2:88" x14ac:dyDescent="0.3">
      <c r="B246" t="str">
        <f t="shared" si="166"/>
        <v>36.8224-76.07736</v>
      </c>
      <c r="C246" t="s">
        <v>109</v>
      </c>
      <c r="D246">
        <v>36.822400000000002</v>
      </c>
      <c r="E246">
        <v>-76.077359999999999</v>
      </c>
      <c r="F246">
        <v>5.5</v>
      </c>
      <c r="G246" t="str">
        <f t="shared" si="167"/>
        <v>1.5-2.536.8224-76.07736</v>
      </c>
      <c r="H246">
        <v>1.5</v>
      </c>
      <c r="I246">
        <v>-2.5</v>
      </c>
      <c r="J246" t="s">
        <v>21</v>
      </c>
      <c r="L246" t="s">
        <v>8</v>
      </c>
      <c r="M246">
        <v>9</v>
      </c>
      <c r="Q246" s="1" t="str">
        <f t="shared" si="168"/>
        <v/>
      </c>
      <c r="S246" t="str">
        <f t="shared" si="178"/>
        <v>Sand</v>
      </c>
      <c r="T246">
        <f t="shared" si="169"/>
        <v>1</v>
      </c>
      <c r="AA246">
        <v>80</v>
      </c>
      <c r="AB246" s="1">
        <f t="shared" si="170"/>
        <v>12</v>
      </c>
      <c r="AC246">
        <f t="shared" si="171"/>
        <v>18</v>
      </c>
      <c r="AD246" t="str">
        <f t="shared" si="172"/>
        <v/>
      </c>
      <c r="AG246" s="21" t="str">
        <f t="shared" si="147"/>
        <v/>
      </c>
      <c r="AI246" s="6" t="str">
        <f t="shared" si="148"/>
        <v/>
      </c>
      <c r="AM246" s="7" t="str">
        <f t="shared" si="149"/>
        <v/>
      </c>
      <c r="AQ246" s="8" t="str">
        <f t="shared" si="150"/>
        <v/>
      </c>
      <c r="AW246" s="25" t="str">
        <f t="shared" si="151"/>
        <v/>
      </c>
      <c r="AZ246" s="12" t="str">
        <f t="shared" si="152"/>
        <v/>
      </c>
      <c r="BI246" s="17" t="str">
        <f t="shared" si="153"/>
        <v/>
      </c>
      <c r="BM246" t="str">
        <f t="shared" si="154"/>
        <v>SPT Relationship</v>
      </c>
      <c r="BN246">
        <f t="shared" si="140"/>
        <v>117</v>
      </c>
      <c r="BO246" t="str">
        <f t="shared" si="155"/>
        <v>Wolff, 1989</v>
      </c>
      <c r="BP246">
        <f t="shared" si="141"/>
        <v>32</v>
      </c>
      <c r="BQ246" t="str">
        <f t="shared" si="156"/>
        <v/>
      </c>
      <c r="BR246" t="str">
        <f t="shared" si="173"/>
        <v/>
      </c>
      <c r="BS246" t="str">
        <f t="shared" si="157"/>
        <v/>
      </c>
      <c r="BT246" t="str">
        <f t="shared" si="142"/>
        <v/>
      </c>
      <c r="BU246" t="str">
        <f t="shared" si="158"/>
        <v/>
      </c>
      <c r="BV246" t="str">
        <f t="shared" si="174"/>
        <v/>
      </c>
      <c r="BW246" t="str">
        <f t="shared" si="159"/>
        <v/>
      </c>
      <c r="BX246" t="str">
        <f t="shared" si="175"/>
        <v/>
      </c>
      <c r="BY246" t="str">
        <f t="shared" si="160"/>
        <v/>
      </c>
      <c r="BZ246" t="str">
        <f t="shared" si="176"/>
        <v/>
      </c>
      <c r="CA246" t="str">
        <f t="shared" si="161"/>
        <v/>
      </c>
      <c r="CB246" t="str">
        <f t="shared" si="143"/>
        <v/>
      </c>
      <c r="CC246" t="str">
        <f t="shared" si="162"/>
        <v/>
      </c>
      <c r="CD246" t="str">
        <f t="shared" si="144"/>
        <v/>
      </c>
      <c r="CE246" t="str">
        <f t="shared" si="163"/>
        <v>Bowles 5th edition</v>
      </c>
      <c r="CF246">
        <f t="shared" si="145"/>
        <v>173</v>
      </c>
      <c r="CG246" t="str">
        <f t="shared" si="164"/>
        <v/>
      </c>
      <c r="CH246" t="str">
        <f t="shared" si="146"/>
        <v/>
      </c>
      <c r="CI246" t="str">
        <f t="shared" si="165"/>
        <v/>
      </c>
      <c r="CJ246" t="str">
        <f t="shared" si="177"/>
        <v/>
      </c>
    </row>
    <row r="247" spans="2:88" x14ac:dyDescent="0.3">
      <c r="B247" t="str">
        <f t="shared" si="166"/>
        <v>36.8224-76.07736</v>
      </c>
      <c r="C247" t="s">
        <v>109</v>
      </c>
      <c r="D247">
        <v>36.822400000000002</v>
      </c>
      <c r="E247">
        <v>-76.077359999999999</v>
      </c>
      <c r="F247">
        <v>5.5</v>
      </c>
      <c r="G247" t="str">
        <f t="shared" si="167"/>
        <v>-2.5-8.536.8224-76.07736</v>
      </c>
      <c r="H247">
        <v>-2.5</v>
      </c>
      <c r="I247">
        <v>-8.5</v>
      </c>
      <c r="J247" t="s">
        <v>21</v>
      </c>
      <c r="L247" t="s">
        <v>16</v>
      </c>
      <c r="M247">
        <v>3</v>
      </c>
      <c r="N247">
        <v>18</v>
      </c>
      <c r="O247">
        <v>0</v>
      </c>
      <c r="P247">
        <v>0</v>
      </c>
      <c r="Q247" s="1">
        <f t="shared" si="168"/>
        <v>0</v>
      </c>
      <c r="R247">
        <v>6</v>
      </c>
      <c r="S247" t="str">
        <f t="shared" si="178"/>
        <v>Sand</v>
      </c>
      <c r="T247">
        <f t="shared" si="169"/>
        <v>2</v>
      </c>
      <c r="AA247">
        <v>80</v>
      </c>
      <c r="AB247" s="1">
        <f t="shared" si="170"/>
        <v>4</v>
      </c>
      <c r="AC247">
        <f t="shared" si="171"/>
        <v>4</v>
      </c>
      <c r="AD247" t="e">
        <f t="shared" si="172"/>
        <v>#DIV/0!</v>
      </c>
      <c r="AG247" s="21" t="str">
        <f t="shared" si="147"/>
        <v/>
      </c>
      <c r="AI247" s="6" t="str">
        <f t="shared" si="148"/>
        <v/>
      </c>
      <c r="AM247" s="7" t="str">
        <f t="shared" si="149"/>
        <v/>
      </c>
      <c r="AQ247" s="8" t="str">
        <f t="shared" si="150"/>
        <v/>
      </c>
      <c r="AW247" s="25" t="str">
        <f t="shared" si="151"/>
        <v/>
      </c>
      <c r="AZ247" s="12" t="str">
        <f t="shared" si="152"/>
        <v/>
      </c>
      <c r="BI247" s="17" t="str">
        <f t="shared" si="153"/>
        <v/>
      </c>
      <c r="BM247" t="str">
        <f t="shared" si="154"/>
        <v>SPT Relationship</v>
      </c>
      <c r="BN247">
        <f t="shared" si="140"/>
        <v>105</v>
      </c>
      <c r="BO247" t="str">
        <f t="shared" si="155"/>
        <v>Wolff, 1989</v>
      </c>
      <c r="BP247">
        <f t="shared" si="141"/>
        <v>28</v>
      </c>
      <c r="BQ247" t="str">
        <f t="shared" si="156"/>
        <v>GTENG-2476</v>
      </c>
      <c r="BR247">
        <f t="shared" si="173"/>
        <v>28</v>
      </c>
      <c r="BS247" t="str">
        <f t="shared" si="157"/>
        <v/>
      </c>
      <c r="BT247" t="str">
        <f t="shared" si="142"/>
        <v/>
      </c>
      <c r="BU247" t="str">
        <f t="shared" si="158"/>
        <v>Kulhawy and Mayne 1990</v>
      </c>
      <c r="BV247">
        <f t="shared" si="174"/>
        <v>0</v>
      </c>
      <c r="BW247" t="str">
        <f t="shared" si="159"/>
        <v>Kulhawy and Mayne 1990</v>
      </c>
      <c r="BX247">
        <f t="shared" si="175"/>
        <v>0</v>
      </c>
      <c r="BY247" t="str">
        <f t="shared" si="160"/>
        <v>Mesri 1990</v>
      </c>
      <c r="BZ247">
        <f t="shared" si="176"/>
        <v>0</v>
      </c>
      <c r="CA247" t="str">
        <f t="shared" si="161"/>
        <v>NAVFAC Vol. 7.1 Figure 4</v>
      </c>
      <c r="CB247">
        <f t="shared" si="143"/>
        <v>2.2178</v>
      </c>
      <c r="CC247" t="e">
        <f t="shared" si="162"/>
        <v>#DIV/0!</v>
      </c>
      <c r="CD247" t="e">
        <f t="shared" si="144"/>
        <v>#DIV/0!</v>
      </c>
      <c r="CE247" t="str">
        <f t="shared" si="163"/>
        <v>Bowles 5th edition</v>
      </c>
      <c r="CF247">
        <f t="shared" si="145"/>
        <v>122</v>
      </c>
      <c r="CG247" t="str">
        <f t="shared" si="164"/>
        <v>Relationship (Gs=2.67)</v>
      </c>
      <c r="CH247">
        <f t="shared" si="146"/>
        <v>0.48</v>
      </c>
      <c r="CI247" t="str">
        <f t="shared" si="165"/>
        <v/>
      </c>
      <c r="CJ247" t="str">
        <f t="shared" si="177"/>
        <v/>
      </c>
    </row>
    <row r="248" spans="2:88" x14ac:dyDescent="0.3">
      <c r="B248" t="str">
        <f t="shared" si="166"/>
        <v>36.8224-76.07736</v>
      </c>
      <c r="C248" t="s">
        <v>109</v>
      </c>
      <c r="D248">
        <v>36.822400000000002</v>
      </c>
      <c r="E248">
        <v>-76.077359999999999</v>
      </c>
      <c r="F248">
        <v>5.5</v>
      </c>
      <c r="G248" t="str">
        <f t="shared" si="167"/>
        <v>-8.5-1136.8224-76.07736</v>
      </c>
      <c r="H248">
        <v>-8.5</v>
      </c>
      <c r="I248">
        <v>-11</v>
      </c>
      <c r="J248" t="s">
        <v>21</v>
      </c>
      <c r="L248" t="s">
        <v>11</v>
      </c>
      <c r="M248">
        <v>3</v>
      </c>
      <c r="N248">
        <v>40</v>
      </c>
      <c r="O248">
        <v>15</v>
      </c>
      <c r="P248">
        <v>31</v>
      </c>
      <c r="Q248" s="1">
        <f t="shared" si="168"/>
        <v>16</v>
      </c>
      <c r="R248">
        <v>78</v>
      </c>
      <c r="S248" t="str">
        <f t="shared" si="178"/>
        <v>Clay</v>
      </c>
      <c r="T248">
        <f t="shared" si="169"/>
        <v>2</v>
      </c>
      <c r="AA248">
        <v>80</v>
      </c>
      <c r="AB248" s="1">
        <f t="shared" si="170"/>
        <v>4</v>
      </c>
      <c r="AC248">
        <f t="shared" si="171"/>
        <v>4</v>
      </c>
      <c r="AD248">
        <f t="shared" si="172"/>
        <v>1.5625</v>
      </c>
      <c r="AG248" s="21" t="str">
        <f t="shared" si="147"/>
        <v/>
      </c>
      <c r="AI248" s="6" t="str">
        <f t="shared" si="148"/>
        <v/>
      </c>
      <c r="AM248" s="7" t="str">
        <f t="shared" si="149"/>
        <v/>
      </c>
      <c r="AQ248" s="8" t="str">
        <f t="shared" si="150"/>
        <v/>
      </c>
      <c r="AW248" s="25" t="str">
        <f t="shared" si="151"/>
        <v/>
      </c>
      <c r="AZ248" s="12" t="str">
        <f t="shared" si="152"/>
        <v/>
      </c>
      <c r="BI248" s="17" t="str">
        <f t="shared" si="153"/>
        <v/>
      </c>
      <c r="BM248" t="str">
        <f t="shared" si="154"/>
        <v>SPT Relationship</v>
      </c>
      <c r="BN248">
        <f t="shared" si="140"/>
        <v>105</v>
      </c>
      <c r="BO248" t="str">
        <f t="shared" si="155"/>
        <v>Wolff, 1989</v>
      </c>
      <c r="BP248">
        <f t="shared" si="141"/>
        <v>28</v>
      </c>
      <c r="BQ248" t="str">
        <f t="shared" si="156"/>
        <v>GTENG-2476</v>
      </c>
      <c r="BR248">
        <f t="shared" si="173"/>
        <v>23</v>
      </c>
      <c r="BS248" t="str">
        <f t="shared" si="157"/>
        <v>Stroud 1974 (K=3.5)</v>
      </c>
      <c r="BT248">
        <f t="shared" si="142"/>
        <v>292</v>
      </c>
      <c r="BU248" t="str">
        <f t="shared" si="158"/>
        <v>Kulhawy and Mayne 1990</v>
      </c>
      <c r="BV248">
        <f t="shared" si="174"/>
        <v>0.216</v>
      </c>
      <c r="BW248" t="str">
        <f t="shared" si="159"/>
        <v>Kulhawy and Mayne 1990</v>
      </c>
      <c r="BX248">
        <f t="shared" si="175"/>
        <v>4.2999999999999997E-2</v>
      </c>
      <c r="BY248" t="str">
        <f t="shared" si="160"/>
        <v>Mesri 1990</v>
      </c>
      <c r="BZ248">
        <f t="shared" si="176"/>
        <v>6.4999999999999997E-3</v>
      </c>
      <c r="CA248" t="str">
        <f t="shared" si="161"/>
        <v>NAVFAC Vol. 7.1 Figure 4</v>
      </c>
      <c r="CB248">
        <f t="shared" si="143"/>
        <v>0.4283710597999999</v>
      </c>
      <c r="CC248" t="str">
        <f t="shared" si="162"/>
        <v>Stas and Kulhawy 1984</v>
      </c>
      <c r="CD248">
        <f t="shared" si="144"/>
        <v>79.175991389354564</v>
      </c>
      <c r="CE248" t="str">
        <f t="shared" si="163"/>
        <v/>
      </c>
      <c r="CF248" t="str">
        <f t="shared" si="145"/>
        <v/>
      </c>
      <c r="CG248" t="str">
        <f t="shared" si="164"/>
        <v>Relationship (Gs=2.67)</v>
      </c>
      <c r="CH248">
        <f t="shared" si="146"/>
        <v>1.07</v>
      </c>
      <c r="CI248" t="str">
        <f t="shared" si="165"/>
        <v/>
      </c>
      <c r="CJ248" t="str">
        <f t="shared" si="177"/>
        <v/>
      </c>
    </row>
    <row r="249" spans="2:88" x14ac:dyDescent="0.3">
      <c r="B249" t="str">
        <f t="shared" si="166"/>
        <v>36.8224-76.07736</v>
      </c>
      <c r="C249" t="s">
        <v>109</v>
      </c>
      <c r="D249">
        <v>36.822400000000002</v>
      </c>
      <c r="E249">
        <v>-76.077359999999999</v>
      </c>
      <c r="F249">
        <v>5.5</v>
      </c>
      <c r="G249" t="str">
        <f t="shared" si="167"/>
        <v>-11-14.536.8224-76.07736</v>
      </c>
      <c r="H249">
        <v>-11</v>
      </c>
      <c r="I249" s="29">
        <v>-14.5</v>
      </c>
      <c r="J249" t="s">
        <v>21</v>
      </c>
      <c r="L249" t="s">
        <v>8</v>
      </c>
      <c r="M249">
        <v>5</v>
      </c>
      <c r="N249">
        <v>27</v>
      </c>
      <c r="O249">
        <v>0</v>
      </c>
      <c r="P249">
        <v>0</v>
      </c>
      <c r="Q249" s="1">
        <f t="shared" si="168"/>
        <v>0</v>
      </c>
      <c r="R249">
        <v>14</v>
      </c>
      <c r="S249" t="str">
        <f t="shared" si="178"/>
        <v>Sand</v>
      </c>
      <c r="T249">
        <f t="shared" si="169"/>
        <v>2</v>
      </c>
      <c r="AA249">
        <v>80</v>
      </c>
      <c r="AB249" s="1">
        <f t="shared" si="170"/>
        <v>7</v>
      </c>
      <c r="AC249">
        <f t="shared" si="171"/>
        <v>6</v>
      </c>
      <c r="AD249" t="e">
        <f t="shared" si="172"/>
        <v>#DIV/0!</v>
      </c>
      <c r="AG249" s="21" t="str">
        <f t="shared" si="147"/>
        <v/>
      </c>
      <c r="AI249" s="6" t="str">
        <f t="shared" si="148"/>
        <v/>
      </c>
      <c r="AM249" s="7" t="str">
        <f t="shared" si="149"/>
        <v/>
      </c>
      <c r="AQ249" s="8" t="str">
        <f t="shared" si="150"/>
        <v/>
      </c>
      <c r="AW249" s="25" t="str">
        <f t="shared" si="151"/>
        <v/>
      </c>
      <c r="AZ249" s="12" t="str">
        <f t="shared" si="152"/>
        <v/>
      </c>
      <c r="BI249" s="17" t="str">
        <f t="shared" si="153"/>
        <v/>
      </c>
      <c r="BM249" t="str">
        <f t="shared" si="154"/>
        <v>SPT Relationship</v>
      </c>
      <c r="BN249">
        <f t="shared" si="140"/>
        <v>111</v>
      </c>
      <c r="BO249" t="str">
        <f t="shared" si="155"/>
        <v>Wolff, 1989</v>
      </c>
      <c r="BP249">
        <f t="shared" si="141"/>
        <v>28</v>
      </c>
      <c r="BQ249" t="str">
        <f t="shared" si="156"/>
        <v>GTENG-2476</v>
      </c>
      <c r="BR249">
        <f t="shared" si="173"/>
        <v>28</v>
      </c>
      <c r="BS249" t="str">
        <f t="shared" si="157"/>
        <v/>
      </c>
      <c r="BT249" t="str">
        <f t="shared" si="142"/>
        <v/>
      </c>
      <c r="BU249" t="str">
        <f t="shared" si="158"/>
        <v>Kulhawy and Mayne 1990</v>
      </c>
      <c r="BV249">
        <f t="shared" si="174"/>
        <v>0</v>
      </c>
      <c r="BW249" t="str">
        <f t="shared" si="159"/>
        <v>Kulhawy and Mayne 1990</v>
      </c>
      <c r="BX249">
        <f t="shared" si="175"/>
        <v>0</v>
      </c>
      <c r="BY249" t="str">
        <f t="shared" si="160"/>
        <v>Mesri 1990</v>
      </c>
      <c r="BZ249">
        <f t="shared" si="176"/>
        <v>0</v>
      </c>
      <c r="CA249" t="str">
        <f t="shared" si="161"/>
        <v>NAVFAC Vol. 7.1 Figure 4</v>
      </c>
      <c r="CB249">
        <f t="shared" si="143"/>
        <v>2.2178</v>
      </c>
      <c r="CC249" t="e">
        <f t="shared" si="162"/>
        <v>#DIV/0!</v>
      </c>
      <c r="CD249" t="e">
        <f t="shared" si="144"/>
        <v>#DIV/0!</v>
      </c>
      <c r="CE249" t="str">
        <f t="shared" si="163"/>
        <v>Bowles 5th edition</v>
      </c>
      <c r="CF249">
        <f t="shared" si="145"/>
        <v>141</v>
      </c>
      <c r="CG249" t="str">
        <f t="shared" si="164"/>
        <v>Relationship (Gs=2.67)</v>
      </c>
      <c r="CH249">
        <f t="shared" si="146"/>
        <v>0.72</v>
      </c>
      <c r="CI249" t="str">
        <f t="shared" si="165"/>
        <v/>
      </c>
      <c r="CJ249" t="str">
        <f t="shared" si="177"/>
        <v/>
      </c>
    </row>
    <row r="250" spans="2:88" x14ac:dyDescent="0.3">
      <c r="B250" t="str">
        <f t="shared" si="166"/>
        <v>36.823042-76.078</v>
      </c>
      <c r="C250" t="s">
        <v>110</v>
      </c>
      <c r="D250">
        <v>36.823042000000001</v>
      </c>
      <c r="E250">
        <v>-76.078000000000003</v>
      </c>
      <c r="F250">
        <v>4</v>
      </c>
      <c r="G250" t="str">
        <f t="shared" si="167"/>
        <v>43.736.823042-76.078</v>
      </c>
      <c r="H250">
        <v>4</v>
      </c>
      <c r="I250" s="29">
        <v>3.7</v>
      </c>
      <c r="J250" t="s">
        <v>21</v>
      </c>
      <c r="L250" t="s">
        <v>8</v>
      </c>
      <c r="M250">
        <v>5</v>
      </c>
      <c r="Q250" s="1" t="str">
        <f t="shared" si="168"/>
        <v/>
      </c>
      <c r="S250" t="str">
        <f t="shared" si="178"/>
        <v>Sand</v>
      </c>
      <c r="T250">
        <f t="shared" si="169"/>
        <v>1</v>
      </c>
      <c r="AA250">
        <v>80</v>
      </c>
      <c r="AB250" s="1">
        <f t="shared" si="170"/>
        <v>7</v>
      </c>
      <c r="AC250">
        <f t="shared" si="171"/>
        <v>55</v>
      </c>
      <c r="AD250" t="str">
        <f t="shared" si="172"/>
        <v/>
      </c>
      <c r="AG250" s="21" t="str">
        <f t="shared" si="147"/>
        <v/>
      </c>
      <c r="AI250" s="6" t="str">
        <f t="shared" si="148"/>
        <v/>
      </c>
      <c r="AM250" s="7" t="str">
        <f t="shared" si="149"/>
        <v/>
      </c>
      <c r="AQ250" s="8" t="str">
        <f t="shared" si="150"/>
        <v/>
      </c>
      <c r="AW250" s="25" t="str">
        <f t="shared" si="151"/>
        <v/>
      </c>
      <c r="AZ250" s="12" t="str">
        <f t="shared" si="152"/>
        <v/>
      </c>
      <c r="BI250" s="17" t="str">
        <f t="shared" si="153"/>
        <v/>
      </c>
      <c r="BM250" t="str">
        <f t="shared" si="154"/>
        <v>SPT Relationship</v>
      </c>
      <c r="BN250">
        <f t="shared" si="140"/>
        <v>111</v>
      </c>
      <c r="BO250" t="str">
        <f t="shared" si="155"/>
        <v>Wolff, 1989</v>
      </c>
      <c r="BP250">
        <f t="shared" si="141"/>
        <v>41</v>
      </c>
      <c r="BQ250" t="str">
        <f t="shared" si="156"/>
        <v/>
      </c>
      <c r="BR250" t="str">
        <f t="shared" si="173"/>
        <v/>
      </c>
      <c r="BS250" t="str">
        <f t="shared" si="157"/>
        <v/>
      </c>
      <c r="BT250" t="str">
        <f t="shared" si="142"/>
        <v/>
      </c>
      <c r="BU250" t="str">
        <f t="shared" si="158"/>
        <v/>
      </c>
      <c r="BV250" t="str">
        <f t="shared" si="174"/>
        <v/>
      </c>
      <c r="BW250" t="str">
        <f t="shared" si="159"/>
        <v/>
      </c>
      <c r="BX250" t="str">
        <f t="shared" si="175"/>
        <v/>
      </c>
      <c r="BY250" t="str">
        <f t="shared" si="160"/>
        <v/>
      </c>
      <c r="BZ250" t="str">
        <f t="shared" si="176"/>
        <v/>
      </c>
      <c r="CA250" t="str">
        <f t="shared" si="161"/>
        <v/>
      </c>
      <c r="CB250" t="str">
        <f t="shared" si="143"/>
        <v/>
      </c>
      <c r="CC250" t="str">
        <f t="shared" si="162"/>
        <v/>
      </c>
      <c r="CD250" t="str">
        <f t="shared" si="144"/>
        <v/>
      </c>
      <c r="CE250" t="str">
        <f t="shared" si="163"/>
        <v>Bowles 5th edition</v>
      </c>
      <c r="CF250">
        <f t="shared" si="145"/>
        <v>141</v>
      </c>
      <c r="CG250" t="str">
        <f t="shared" si="164"/>
        <v/>
      </c>
      <c r="CH250" t="str">
        <f t="shared" si="146"/>
        <v/>
      </c>
      <c r="CI250" t="str">
        <f t="shared" si="165"/>
        <v/>
      </c>
      <c r="CJ250" t="str">
        <f t="shared" si="177"/>
        <v/>
      </c>
    </row>
    <row r="251" spans="2:88" x14ac:dyDescent="0.3">
      <c r="B251" t="str">
        <f t="shared" si="166"/>
        <v>36.823042-76.078</v>
      </c>
      <c r="C251" t="s">
        <v>110</v>
      </c>
      <c r="D251">
        <v>36.823042000000001</v>
      </c>
      <c r="E251">
        <v>-76.078000000000003</v>
      </c>
      <c r="F251">
        <v>4</v>
      </c>
      <c r="G251" t="str">
        <f t="shared" si="167"/>
        <v>3.7236.823042-76.078</v>
      </c>
      <c r="H251">
        <v>3.7</v>
      </c>
      <c r="I251">
        <v>2</v>
      </c>
      <c r="J251" t="s">
        <v>21</v>
      </c>
      <c r="L251" t="s">
        <v>8</v>
      </c>
      <c r="M251">
        <v>5</v>
      </c>
      <c r="Q251" s="1" t="str">
        <f t="shared" si="168"/>
        <v/>
      </c>
      <c r="S251" t="str">
        <f t="shared" si="178"/>
        <v>Sand</v>
      </c>
      <c r="T251">
        <f t="shared" si="169"/>
        <v>1</v>
      </c>
      <c r="AA251">
        <v>80</v>
      </c>
      <c r="AB251" s="1">
        <f t="shared" si="170"/>
        <v>7</v>
      </c>
      <c r="AC251">
        <f t="shared" si="171"/>
        <v>21</v>
      </c>
      <c r="AD251" t="str">
        <f t="shared" si="172"/>
        <v/>
      </c>
      <c r="AG251" s="21" t="str">
        <f t="shared" si="147"/>
        <v/>
      </c>
      <c r="AI251" s="6" t="str">
        <f t="shared" si="148"/>
        <v/>
      </c>
      <c r="AM251" s="7" t="str">
        <f t="shared" si="149"/>
        <v/>
      </c>
      <c r="AQ251" s="8" t="str">
        <f t="shared" si="150"/>
        <v/>
      </c>
      <c r="AW251" s="25" t="str">
        <f t="shared" si="151"/>
        <v/>
      </c>
      <c r="AZ251" s="12" t="str">
        <f t="shared" si="152"/>
        <v/>
      </c>
      <c r="BI251" s="17" t="str">
        <f t="shared" si="153"/>
        <v/>
      </c>
      <c r="BM251" t="str">
        <f t="shared" si="154"/>
        <v>SPT Relationship</v>
      </c>
      <c r="BN251">
        <f t="shared" si="140"/>
        <v>111</v>
      </c>
      <c r="BO251" t="str">
        <f t="shared" si="155"/>
        <v>Wolff, 1989</v>
      </c>
      <c r="BP251">
        <f t="shared" si="141"/>
        <v>33</v>
      </c>
      <c r="BQ251" t="str">
        <f t="shared" si="156"/>
        <v/>
      </c>
      <c r="BR251" t="str">
        <f t="shared" si="173"/>
        <v/>
      </c>
      <c r="BS251" t="str">
        <f t="shared" si="157"/>
        <v/>
      </c>
      <c r="BT251" t="str">
        <f t="shared" si="142"/>
        <v/>
      </c>
      <c r="BU251" t="str">
        <f t="shared" si="158"/>
        <v/>
      </c>
      <c r="BV251" t="str">
        <f t="shared" si="174"/>
        <v/>
      </c>
      <c r="BW251" t="str">
        <f t="shared" si="159"/>
        <v/>
      </c>
      <c r="BX251" t="str">
        <f t="shared" si="175"/>
        <v/>
      </c>
      <c r="BY251" t="str">
        <f t="shared" si="160"/>
        <v/>
      </c>
      <c r="BZ251" t="str">
        <f t="shared" si="176"/>
        <v/>
      </c>
      <c r="CA251" t="str">
        <f t="shared" si="161"/>
        <v/>
      </c>
      <c r="CB251" t="str">
        <f t="shared" si="143"/>
        <v/>
      </c>
      <c r="CC251" t="str">
        <f t="shared" si="162"/>
        <v/>
      </c>
      <c r="CD251" t="str">
        <f t="shared" si="144"/>
        <v/>
      </c>
      <c r="CE251" t="str">
        <f t="shared" si="163"/>
        <v>Bowles 5th edition</v>
      </c>
      <c r="CF251">
        <f t="shared" si="145"/>
        <v>141</v>
      </c>
      <c r="CG251" t="str">
        <f t="shared" si="164"/>
        <v/>
      </c>
      <c r="CH251" t="str">
        <f t="shared" si="146"/>
        <v/>
      </c>
      <c r="CI251" t="str">
        <f t="shared" si="165"/>
        <v/>
      </c>
      <c r="CJ251" t="str">
        <f t="shared" si="177"/>
        <v/>
      </c>
    </row>
    <row r="252" spans="2:88" x14ac:dyDescent="0.3">
      <c r="B252" t="str">
        <f t="shared" si="166"/>
        <v>36.823042-76.078</v>
      </c>
      <c r="C252" t="s">
        <v>110</v>
      </c>
      <c r="D252">
        <v>36.823042000000001</v>
      </c>
      <c r="E252">
        <v>-76.078000000000003</v>
      </c>
      <c r="F252">
        <v>4</v>
      </c>
      <c r="G252" t="str">
        <f t="shared" si="167"/>
        <v>2036.823042-76.078</v>
      </c>
      <c r="H252">
        <v>2</v>
      </c>
      <c r="I252">
        <v>0</v>
      </c>
      <c r="J252" t="s">
        <v>21</v>
      </c>
      <c r="L252" t="s">
        <v>10</v>
      </c>
      <c r="M252">
        <v>21</v>
      </c>
      <c r="Q252" s="1" t="str">
        <f t="shared" si="168"/>
        <v/>
      </c>
      <c r="S252" t="str">
        <f t="shared" si="178"/>
        <v>Sand</v>
      </c>
      <c r="T252">
        <f t="shared" si="169"/>
        <v>1</v>
      </c>
      <c r="AA252">
        <v>80</v>
      </c>
      <c r="AB252" s="1">
        <f t="shared" si="170"/>
        <v>28</v>
      </c>
      <c r="AC252">
        <f t="shared" si="171"/>
        <v>61</v>
      </c>
      <c r="AD252" t="str">
        <f t="shared" si="172"/>
        <v/>
      </c>
      <c r="AG252" s="21" t="str">
        <f t="shared" si="147"/>
        <v/>
      </c>
      <c r="AI252" s="6" t="str">
        <f t="shared" si="148"/>
        <v/>
      </c>
      <c r="AM252" s="7" t="str">
        <f t="shared" si="149"/>
        <v/>
      </c>
      <c r="AQ252" s="8" t="str">
        <f t="shared" si="150"/>
        <v/>
      </c>
      <c r="AW252" s="25" t="str">
        <f t="shared" si="151"/>
        <v/>
      </c>
      <c r="AZ252" s="12" t="str">
        <f t="shared" si="152"/>
        <v/>
      </c>
      <c r="BI252" s="17" t="str">
        <f t="shared" si="153"/>
        <v/>
      </c>
      <c r="BM252" t="str">
        <f t="shared" si="154"/>
        <v>SPT Relationship</v>
      </c>
      <c r="BN252">
        <f t="shared" si="140"/>
        <v>127</v>
      </c>
      <c r="BO252" t="str">
        <f t="shared" si="155"/>
        <v>Wolff, 1989</v>
      </c>
      <c r="BP252">
        <f t="shared" si="141"/>
        <v>43</v>
      </c>
      <c r="BQ252" t="str">
        <f t="shared" si="156"/>
        <v/>
      </c>
      <c r="BR252" t="str">
        <f t="shared" si="173"/>
        <v/>
      </c>
      <c r="BS252" t="str">
        <f t="shared" si="157"/>
        <v/>
      </c>
      <c r="BT252" t="str">
        <f t="shared" si="142"/>
        <v/>
      </c>
      <c r="BU252" t="str">
        <f t="shared" si="158"/>
        <v/>
      </c>
      <c r="BV252" t="str">
        <f t="shared" si="174"/>
        <v/>
      </c>
      <c r="BW252" t="str">
        <f t="shared" si="159"/>
        <v/>
      </c>
      <c r="BX252" t="str">
        <f t="shared" si="175"/>
        <v/>
      </c>
      <c r="BY252" t="str">
        <f t="shared" si="160"/>
        <v/>
      </c>
      <c r="BZ252" t="str">
        <f t="shared" si="176"/>
        <v/>
      </c>
      <c r="CA252" t="str">
        <f t="shared" si="161"/>
        <v/>
      </c>
      <c r="CB252" t="str">
        <f t="shared" si="143"/>
        <v/>
      </c>
      <c r="CC252" t="str">
        <f t="shared" si="162"/>
        <v/>
      </c>
      <c r="CD252" t="str">
        <f t="shared" si="144"/>
        <v/>
      </c>
      <c r="CE252" t="str">
        <f t="shared" si="163"/>
        <v>Bowles 5th edition</v>
      </c>
      <c r="CF252">
        <f t="shared" si="145"/>
        <v>275</v>
      </c>
      <c r="CG252" t="str">
        <f t="shared" si="164"/>
        <v/>
      </c>
      <c r="CH252" t="str">
        <f t="shared" si="146"/>
        <v/>
      </c>
      <c r="CI252" t="str">
        <f t="shared" si="165"/>
        <v/>
      </c>
      <c r="CJ252" t="str">
        <f t="shared" si="177"/>
        <v/>
      </c>
    </row>
    <row r="253" spans="2:88" x14ac:dyDescent="0.3">
      <c r="B253" t="str">
        <f t="shared" si="166"/>
        <v>36.823042-76.078</v>
      </c>
      <c r="C253" t="s">
        <v>110</v>
      </c>
      <c r="D253">
        <v>36.823042000000001</v>
      </c>
      <c r="E253">
        <v>-76.078000000000003</v>
      </c>
      <c r="F253">
        <v>4</v>
      </c>
      <c r="G253" t="str">
        <f t="shared" si="167"/>
        <v>0-136.823042-76.078</v>
      </c>
      <c r="H253">
        <v>0</v>
      </c>
      <c r="I253">
        <v>-1</v>
      </c>
      <c r="J253" t="s">
        <v>21</v>
      </c>
      <c r="L253" t="s">
        <v>17</v>
      </c>
      <c r="M253">
        <v>3</v>
      </c>
      <c r="N253">
        <v>32</v>
      </c>
      <c r="O253">
        <v>11</v>
      </c>
      <c r="P253">
        <v>22</v>
      </c>
      <c r="Q253" s="1">
        <f t="shared" si="168"/>
        <v>11</v>
      </c>
      <c r="R253">
        <v>47</v>
      </c>
      <c r="S253" t="str">
        <f t="shared" si="178"/>
        <v>Sand</v>
      </c>
      <c r="T253">
        <f t="shared" si="169"/>
        <v>2</v>
      </c>
      <c r="AA253">
        <v>80</v>
      </c>
      <c r="AB253" s="1">
        <f t="shared" si="170"/>
        <v>4</v>
      </c>
      <c r="AC253">
        <f t="shared" si="171"/>
        <v>7</v>
      </c>
      <c r="AD253">
        <f t="shared" si="172"/>
        <v>1.9090909090909092</v>
      </c>
      <c r="AG253" s="21" t="str">
        <f t="shared" si="147"/>
        <v/>
      </c>
      <c r="AI253" s="6" t="str">
        <f t="shared" si="148"/>
        <v/>
      </c>
      <c r="AM253" s="7" t="str">
        <f t="shared" si="149"/>
        <v/>
      </c>
      <c r="AQ253" s="8" t="str">
        <f t="shared" si="150"/>
        <v/>
      </c>
      <c r="AW253" s="25" t="str">
        <f t="shared" si="151"/>
        <v/>
      </c>
      <c r="AZ253" s="12" t="str">
        <f t="shared" si="152"/>
        <v/>
      </c>
      <c r="BI253" s="17" t="str">
        <f t="shared" si="153"/>
        <v/>
      </c>
      <c r="BM253" t="str">
        <f t="shared" si="154"/>
        <v>SPT Relationship</v>
      </c>
      <c r="BN253">
        <f t="shared" si="140"/>
        <v>105</v>
      </c>
      <c r="BO253" t="str">
        <f t="shared" si="155"/>
        <v>Wolff, 1989</v>
      </c>
      <c r="BP253">
        <f t="shared" si="141"/>
        <v>29</v>
      </c>
      <c r="BQ253" t="str">
        <f t="shared" si="156"/>
        <v>GTENG-2476</v>
      </c>
      <c r="BR253">
        <f t="shared" si="173"/>
        <v>24</v>
      </c>
      <c r="BS253" t="str">
        <f t="shared" si="157"/>
        <v/>
      </c>
      <c r="BT253" t="str">
        <f t="shared" si="142"/>
        <v/>
      </c>
      <c r="BU253" t="str">
        <f t="shared" si="158"/>
        <v>Kulhawy and Mayne 1990</v>
      </c>
      <c r="BV253">
        <f t="shared" si="174"/>
        <v>0.14899999999999999</v>
      </c>
      <c r="BW253" t="str">
        <f t="shared" si="159"/>
        <v>Kulhawy and Mayne 1990</v>
      </c>
      <c r="BX253">
        <f t="shared" si="175"/>
        <v>0.03</v>
      </c>
      <c r="BY253" t="str">
        <f t="shared" si="160"/>
        <v>Mesri 1990</v>
      </c>
      <c r="BZ253">
        <f t="shared" si="176"/>
        <v>4.4999999999999997E-3</v>
      </c>
      <c r="CA253" t="str">
        <f t="shared" si="161"/>
        <v>NAVFAC Vol. 7.1 Figure 4</v>
      </c>
      <c r="CB253">
        <f t="shared" si="143"/>
        <v>0.7466923136000001</v>
      </c>
      <c r="CC253" t="str">
        <f t="shared" si="162"/>
        <v>Stas and Kulhawy 1984</v>
      </c>
      <c r="CD253">
        <f t="shared" si="144"/>
        <v>21.732827720601719</v>
      </c>
      <c r="CE253" t="str">
        <f t="shared" si="163"/>
        <v>Bowles 5th edition</v>
      </c>
      <c r="CF253">
        <f t="shared" si="145"/>
        <v>122</v>
      </c>
      <c r="CG253" t="str">
        <f t="shared" si="164"/>
        <v>Relationship (Gs=2.67)</v>
      </c>
      <c r="CH253">
        <f t="shared" si="146"/>
        <v>0.85</v>
      </c>
      <c r="CI253" t="str">
        <f t="shared" si="165"/>
        <v/>
      </c>
      <c r="CJ253" t="str">
        <f t="shared" si="177"/>
        <v/>
      </c>
    </row>
    <row r="254" spans="2:88" x14ac:dyDescent="0.3">
      <c r="B254" t="str">
        <f t="shared" si="166"/>
        <v>36.823042-76.078</v>
      </c>
      <c r="C254" t="s">
        <v>110</v>
      </c>
      <c r="D254">
        <v>36.823042000000001</v>
      </c>
      <c r="E254">
        <v>-76.078000000000003</v>
      </c>
      <c r="F254">
        <v>4</v>
      </c>
      <c r="G254" t="str">
        <f t="shared" si="167"/>
        <v>-1-3.536.823042-76.078</v>
      </c>
      <c r="H254">
        <v>-1</v>
      </c>
      <c r="I254">
        <v>-3.5</v>
      </c>
      <c r="J254" t="s">
        <v>21</v>
      </c>
      <c r="L254" t="s">
        <v>16</v>
      </c>
      <c r="M254">
        <v>2</v>
      </c>
      <c r="N254">
        <v>20</v>
      </c>
      <c r="O254">
        <v>0</v>
      </c>
      <c r="P254">
        <v>0</v>
      </c>
      <c r="Q254" s="1">
        <f t="shared" si="168"/>
        <v>0</v>
      </c>
      <c r="R254">
        <v>14</v>
      </c>
      <c r="S254" t="str">
        <f t="shared" si="178"/>
        <v>Sand</v>
      </c>
      <c r="T254">
        <f t="shared" si="169"/>
        <v>2</v>
      </c>
      <c r="AA254">
        <v>80</v>
      </c>
      <c r="AB254" s="1">
        <f t="shared" si="170"/>
        <v>3</v>
      </c>
      <c r="AC254">
        <f t="shared" si="171"/>
        <v>4</v>
      </c>
      <c r="AD254" t="e">
        <f t="shared" si="172"/>
        <v>#DIV/0!</v>
      </c>
      <c r="AG254" s="21" t="str">
        <f t="shared" si="147"/>
        <v/>
      </c>
      <c r="AI254" s="6" t="str">
        <f t="shared" si="148"/>
        <v/>
      </c>
      <c r="AM254" s="7" t="str">
        <f t="shared" si="149"/>
        <v/>
      </c>
      <c r="AQ254" s="8" t="str">
        <f t="shared" si="150"/>
        <v/>
      </c>
      <c r="AW254" s="25" t="str">
        <f t="shared" si="151"/>
        <v/>
      </c>
      <c r="AZ254" s="12" t="str">
        <f t="shared" si="152"/>
        <v/>
      </c>
      <c r="BI254" s="17" t="str">
        <f t="shared" si="153"/>
        <v/>
      </c>
      <c r="BM254" t="str">
        <f t="shared" si="154"/>
        <v>SPT Relationship</v>
      </c>
      <c r="BN254">
        <f t="shared" si="140"/>
        <v>101</v>
      </c>
      <c r="BO254" t="str">
        <f t="shared" si="155"/>
        <v>Wolff, 1989</v>
      </c>
      <c r="BP254">
        <f t="shared" si="141"/>
        <v>28</v>
      </c>
      <c r="BQ254" t="str">
        <f t="shared" si="156"/>
        <v>GTENG-2476</v>
      </c>
      <c r="BR254">
        <f t="shared" si="173"/>
        <v>28</v>
      </c>
      <c r="BS254" t="str">
        <f t="shared" si="157"/>
        <v/>
      </c>
      <c r="BT254" t="str">
        <f t="shared" si="142"/>
        <v/>
      </c>
      <c r="BU254" t="str">
        <f t="shared" si="158"/>
        <v>Kulhawy and Mayne 1990</v>
      </c>
      <c r="BV254">
        <f t="shared" si="174"/>
        <v>0</v>
      </c>
      <c r="BW254" t="str">
        <f t="shared" si="159"/>
        <v>Kulhawy and Mayne 1990</v>
      </c>
      <c r="BX254">
        <f t="shared" si="175"/>
        <v>0</v>
      </c>
      <c r="BY254" t="str">
        <f t="shared" si="160"/>
        <v>Mesri 1990</v>
      </c>
      <c r="BZ254">
        <f t="shared" si="176"/>
        <v>0</v>
      </c>
      <c r="CA254" t="str">
        <f t="shared" si="161"/>
        <v>NAVFAC Vol. 7.1 Figure 4</v>
      </c>
      <c r="CB254">
        <f t="shared" si="143"/>
        <v>2.2178</v>
      </c>
      <c r="CC254" t="e">
        <f t="shared" si="162"/>
        <v>#DIV/0!</v>
      </c>
      <c r="CD254" t="e">
        <f t="shared" si="144"/>
        <v>#DIV/0!</v>
      </c>
      <c r="CE254" t="str">
        <f t="shared" si="163"/>
        <v>Bowles 5th edition</v>
      </c>
      <c r="CF254">
        <f t="shared" si="145"/>
        <v>115</v>
      </c>
      <c r="CG254" t="str">
        <f t="shared" si="164"/>
        <v>Relationship (Gs=2.67)</v>
      </c>
      <c r="CH254">
        <f t="shared" si="146"/>
        <v>0.53</v>
      </c>
      <c r="CI254" t="str">
        <f t="shared" si="165"/>
        <v/>
      </c>
      <c r="CJ254" t="str">
        <f t="shared" si="177"/>
        <v/>
      </c>
    </row>
    <row r="255" spans="2:88" x14ac:dyDescent="0.3">
      <c r="B255" t="str">
        <f t="shared" si="166"/>
        <v>36.823042-76.078</v>
      </c>
      <c r="C255" t="s">
        <v>110</v>
      </c>
      <c r="D255">
        <v>36.823042000000001</v>
      </c>
      <c r="E255">
        <v>-76.078000000000003</v>
      </c>
      <c r="F255">
        <v>4</v>
      </c>
      <c r="G255" t="str">
        <f t="shared" si="167"/>
        <v>-3.5-636.823042-76.078</v>
      </c>
      <c r="H255">
        <v>-3.5</v>
      </c>
      <c r="I255">
        <v>-6</v>
      </c>
      <c r="J255" t="s">
        <v>21</v>
      </c>
      <c r="L255" t="s">
        <v>11</v>
      </c>
      <c r="M255">
        <v>2</v>
      </c>
      <c r="N255">
        <v>48</v>
      </c>
      <c r="O255">
        <v>21</v>
      </c>
      <c r="Q255" s="1" t="str">
        <f t="shared" si="168"/>
        <v/>
      </c>
      <c r="R255">
        <v>87</v>
      </c>
      <c r="S255" t="str">
        <f t="shared" si="178"/>
        <v>Clay</v>
      </c>
      <c r="T255">
        <f t="shared" si="169"/>
        <v>2</v>
      </c>
      <c r="AA255">
        <v>80</v>
      </c>
      <c r="AB255" s="1">
        <f t="shared" si="170"/>
        <v>3</v>
      </c>
      <c r="AC255">
        <f t="shared" si="171"/>
        <v>4</v>
      </c>
      <c r="AD255">
        <f t="shared" si="172"/>
        <v>-1.2857142857142858</v>
      </c>
      <c r="AG255" s="21" t="str">
        <f t="shared" si="147"/>
        <v/>
      </c>
      <c r="AI255" s="6" t="str">
        <f t="shared" si="148"/>
        <v/>
      </c>
      <c r="AM255" s="7" t="str">
        <f t="shared" si="149"/>
        <v/>
      </c>
      <c r="AQ255" s="8" t="str">
        <f t="shared" si="150"/>
        <v/>
      </c>
      <c r="AW255" s="25" t="str">
        <f t="shared" si="151"/>
        <v/>
      </c>
      <c r="AZ255" s="12" t="str">
        <f t="shared" si="152"/>
        <v/>
      </c>
      <c r="BI255" s="17" t="str">
        <f t="shared" si="153"/>
        <v/>
      </c>
      <c r="BM255" t="str">
        <f t="shared" si="154"/>
        <v>SPT Relationship</v>
      </c>
      <c r="BN255">
        <f t="shared" si="140"/>
        <v>101</v>
      </c>
      <c r="BO255" t="str">
        <f t="shared" si="155"/>
        <v>Wolff, 1989</v>
      </c>
      <c r="BP255">
        <f t="shared" si="141"/>
        <v>28</v>
      </c>
      <c r="BQ255" t="str">
        <f t="shared" si="156"/>
        <v/>
      </c>
      <c r="BR255" t="str">
        <f t="shared" si="173"/>
        <v/>
      </c>
      <c r="BS255" t="str">
        <f t="shared" si="157"/>
        <v>Stroud 1974 (K=3.5)</v>
      </c>
      <c r="BT255">
        <f t="shared" si="142"/>
        <v>219</v>
      </c>
      <c r="BU255" t="str">
        <f t="shared" si="158"/>
        <v/>
      </c>
      <c r="BV255" t="str">
        <f t="shared" si="174"/>
        <v/>
      </c>
      <c r="BW255" t="str">
        <f t="shared" si="159"/>
        <v/>
      </c>
      <c r="BX255" t="str">
        <f t="shared" si="175"/>
        <v/>
      </c>
      <c r="BY255" t="str">
        <f t="shared" si="160"/>
        <v/>
      </c>
      <c r="BZ255" t="str">
        <f t="shared" si="176"/>
        <v/>
      </c>
      <c r="CA255" t="str">
        <f t="shared" si="161"/>
        <v/>
      </c>
      <c r="CB255" t="str">
        <f t="shared" si="143"/>
        <v/>
      </c>
      <c r="CC255" t="str">
        <f t="shared" si="162"/>
        <v>Stas and Kulhawy 1984</v>
      </c>
      <c r="CD255">
        <f t="shared" si="144"/>
        <v>3256121.8820348796</v>
      </c>
      <c r="CE255" t="str">
        <f t="shared" si="163"/>
        <v/>
      </c>
      <c r="CF255" t="str">
        <f t="shared" si="145"/>
        <v/>
      </c>
      <c r="CG255" t="str">
        <f t="shared" si="164"/>
        <v>Relationship (Gs=2.67)</v>
      </c>
      <c r="CH255">
        <f t="shared" si="146"/>
        <v>1.28</v>
      </c>
      <c r="CI255" t="str">
        <f t="shared" si="165"/>
        <v/>
      </c>
      <c r="CJ255" t="str">
        <f t="shared" si="177"/>
        <v/>
      </c>
    </row>
    <row r="256" spans="2:88" x14ac:dyDescent="0.3">
      <c r="B256" t="str">
        <f t="shared" si="166"/>
        <v>36.823042-76.078</v>
      </c>
      <c r="C256" t="s">
        <v>110</v>
      </c>
      <c r="D256">
        <v>36.823042000000001</v>
      </c>
      <c r="E256">
        <v>-76.078000000000003</v>
      </c>
      <c r="F256">
        <v>4</v>
      </c>
      <c r="G256" t="str">
        <f t="shared" si="167"/>
        <v>-6-8.536.823042-76.078</v>
      </c>
      <c r="H256">
        <v>-6</v>
      </c>
      <c r="I256">
        <v>-8.5</v>
      </c>
      <c r="J256" t="s">
        <v>21</v>
      </c>
      <c r="L256" t="s">
        <v>8</v>
      </c>
      <c r="M256">
        <v>2</v>
      </c>
      <c r="Q256" s="1" t="str">
        <f t="shared" si="168"/>
        <v/>
      </c>
      <c r="S256" t="str">
        <f t="shared" si="178"/>
        <v>Sand</v>
      </c>
      <c r="T256">
        <f t="shared" si="169"/>
        <v>1</v>
      </c>
      <c r="AA256">
        <v>80</v>
      </c>
      <c r="AB256" s="1">
        <f t="shared" si="170"/>
        <v>3</v>
      </c>
      <c r="AC256">
        <f t="shared" si="171"/>
        <v>3</v>
      </c>
      <c r="AD256" t="str">
        <f t="shared" si="172"/>
        <v/>
      </c>
      <c r="AG256" s="21" t="str">
        <f t="shared" si="147"/>
        <v/>
      </c>
      <c r="AI256" s="6" t="str">
        <f t="shared" si="148"/>
        <v/>
      </c>
      <c r="AM256" s="7" t="str">
        <f t="shared" si="149"/>
        <v/>
      </c>
      <c r="AQ256" s="8" t="str">
        <f t="shared" si="150"/>
        <v/>
      </c>
      <c r="AW256" s="25" t="str">
        <f t="shared" si="151"/>
        <v/>
      </c>
      <c r="AZ256" s="12" t="str">
        <f t="shared" si="152"/>
        <v/>
      </c>
      <c r="BI256" s="17" t="str">
        <f t="shared" si="153"/>
        <v/>
      </c>
      <c r="BM256" t="str">
        <f t="shared" si="154"/>
        <v>SPT Relationship</v>
      </c>
      <c r="BN256">
        <f t="shared" ref="BN256:BN319" si="179">IFERROR(IF(M256=0,95,ROUND(95*M256^0.095,0)),"")</f>
        <v>101</v>
      </c>
      <c r="BO256" t="str">
        <f t="shared" si="155"/>
        <v>Wolff, 1989</v>
      </c>
      <c r="BP256">
        <f t="shared" ref="BP256:BP290" si="180">ROUNDDOWN(27.1+0.3*AC256-0.00054*AC256^2,0)</f>
        <v>27</v>
      </c>
      <c r="BQ256" t="str">
        <f t="shared" si="156"/>
        <v/>
      </c>
      <c r="BR256" t="str">
        <f t="shared" si="173"/>
        <v/>
      </c>
      <c r="BS256" t="str">
        <f t="shared" si="157"/>
        <v/>
      </c>
      <c r="BT256" t="str">
        <f t="shared" ref="BT256:BT290" si="181">IF(S256="Clay",ROUND((3.5*AB256)*20.885434273039,0),"")</f>
        <v/>
      </c>
      <c r="BU256" t="str">
        <f t="shared" si="158"/>
        <v/>
      </c>
      <c r="BV256" t="str">
        <f t="shared" si="174"/>
        <v/>
      </c>
      <c r="BW256" t="str">
        <f t="shared" si="159"/>
        <v/>
      </c>
      <c r="BX256" t="str">
        <f t="shared" si="175"/>
        <v/>
      </c>
      <c r="BY256" t="str">
        <f t="shared" si="160"/>
        <v/>
      </c>
      <c r="BZ256" t="str">
        <f t="shared" si="176"/>
        <v/>
      </c>
      <c r="CA256" t="str">
        <f t="shared" si="161"/>
        <v/>
      </c>
      <c r="CB256" t="str">
        <f t="shared" ref="CB256:CB319" si="182">IF(P256="","",-0.0000000002*P256^5+0.00000009*P256^4-0.00002*P256^3+0.0019*P256^2-0.0999*P256+2.2178)</f>
        <v/>
      </c>
      <c r="CC256" t="str">
        <f t="shared" si="162"/>
        <v/>
      </c>
      <c r="CD256" t="str">
        <f t="shared" ref="CD256:CD319" si="183">IF(AD256="","",(10^(1.11-1.62*AD256)*100)*20.885434273039)</f>
        <v/>
      </c>
      <c r="CE256" t="str">
        <f t="shared" si="163"/>
        <v>Bowles 5th edition</v>
      </c>
      <c r="CF256">
        <f t="shared" ref="CF256:CF319" si="184">IF(S256="Clay","",IF(AB256="","",ROUND((AB256+15)*6.4,0)))</f>
        <v>115</v>
      </c>
      <c r="CG256" t="str">
        <f t="shared" si="164"/>
        <v/>
      </c>
      <c r="CH256" t="str">
        <f t="shared" ref="CH256:CH319" si="185">IF(N256="","",ROUND(N256/100*2.67,2))</f>
        <v/>
      </c>
      <c r="CI256" t="str">
        <f t="shared" si="165"/>
        <v/>
      </c>
      <c r="CJ256" t="str">
        <f t="shared" si="177"/>
        <v/>
      </c>
    </row>
    <row r="257" spans="2:88" x14ac:dyDescent="0.3">
      <c r="B257" t="str">
        <f t="shared" si="166"/>
        <v>36.823042-76.078</v>
      </c>
      <c r="C257" t="s">
        <v>110</v>
      </c>
      <c r="D257">
        <v>36.823042000000001</v>
      </c>
      <c r="E257">
        <v>-76.078000000000003</v>
      </c>
      <c r="F257">
        <v>4</v>
      </c>
      <c r="G257" t="str">
        <f t="shared" si="167"/>
        <v>-8.5-12.536.823042-76.078</v>
      </c>
      <c r="H257">
        <v>-8.5</v>
      </c>
      <c r="I257">
        <v>-12.5</v>
      </c>
      <c r="J257" t="s">
        <v>21</v>
      </c>
      <c r="L257" t="s">
        <v>11</v>
      </c>
      <c r="M257">
        <v>3</v>
      </c>
      <c r="N257">
        <v>40</v>
      </c>
      <c r="O257">
        <v>18</v>
      </c>
      <c r="P257">
        <v>31</v>
      </c>
      <c r="Q257" s="1">
        <f t="shared" si="168"/>
        <v>13</v>
      </c>
      <c r="R257">
        <v>87</v>
      </c>
      <c r="S257" t="str">
        <f t="shared" si="178"/>
        <v>Clay</v>
      </c>
      <c r="T257">
        <f t="shared" si="169"/>
        <v>2</v>
      </c>
      <c r="AA257">
        <v>80</v>
      </c>
      <c r="AB257" s="1">
        <f t="shared" si="170"/>
        <v>4</v>
      </c>
      <c r="AC257">
        <f t="shared" si="171"/>
        <v>4</v>
      </c>
      <c r="AD257">
        <f t="shared" si="172"/>
        <v>1.6923076923076923</v>
      </c>
      <c r="AG257" s="21" t="str">
        <f t="shared" si="147"/>
        <v/>
      </c>
      <c r="AI257" s="6" t="str">
        <f t="shared" si="148"/>
        <v/>
      </c>
      <c r="AM257" s="7" t="str">
        <f t="shared" si="149"/>
        <v/>
      </c>
      <c r="AQ257" s="8" t="str">
        <f t="shared" si="150"/>
        <v/>
      </c>
      <c r="AW257" s="25" t="str">
        <f t="shared" si="151"/>
        <v/>
      </c>
      <c r="AZ257" s="12" t="str">
        <f t="shared" si="152"/>
        <v/>
      </c>
      <c r="BI257" s="17" t="str">
        <f t="shared" si="153"/>
        <v/>
      </c>
      <c r="BM257" t="str">
        <f t="shared" si="154"/>
        <v>SPT Relationship</v>
      </c>
      <c r="BN257">
        <f t="shared" si="179"/>
        <v>105</v>
      </c>
      <c r="BO257" t="str">
        <f t="shared" si="155"/>
        <v>Wolff, 1989</v>
      </c>
      <c r="BP257">
        <f t="shared" si="180"/>
        <v>28</v>
      </c>
      <c r="BQ257" t="str">
        <f t="shared" si="156"/>
        <v>GTENG-2476</v>
      </c>
      <c r="BR257">
        <f t="shared" si="173"/>
        <v>23</v>
      </c>
      <c r="BS257" t="str">
        <f t="shared" si="157"/>
        <v>Stroud 1974 (K=3.5)</v>
      </c>
      <c r="BT257">
        <f t="shared" si="181"/>
        <v>292</v>
      </c>
      <c r="BU257" t="str">
        <f t="shared" si="158"/>
        <v>Kulhawy and Mayne 1990</v>
      </c>
      <c r="BV257">
        <f t="shared" si="174"/>
        <v>0.17599999999999999</v>
      </c>
      <c r="BW257" t="str">
        <f t="shared" si="159"/>
        <v>Kulhawy and Mayne 1990</v>
      </c>
      <c r="BX257">
        <f t="shared" si="175"/>
        <v>3.5000000000000003E-2</v>
      </c>
      <c r="BY257" t="str">
        <f t="shared" si="160"/>
        <v>Mesri 1990</v>
      </c>
      <c r="BZ257">
        <f t="shared" si="176"/>
        <v>5.3E-3</v>
      </c>
      <c r="CA257" t="str">
        <f t="shared" si="161"/>
        <v>NAVFAC Vol. 7.1 Figure 4</v>
      </c>
      <c r="CB257">
        <f t="shared" si="182"/>
        <v>0.4283710597999999</v>
      </c>
      <c r="CC257" t="str">
        <f t="shared" si="162"/>
        <v>Stas and Kulhawy 1984</v>
      </c>
      <c r="CD257">
        <f t="shared" si="183"/>
        <v>48.787105045676363</v>
      </c>
      <c r="CE257" t="str">
        <f t="shared" si="163"/>
        <v/>
      </c>
      <c r="CF257" t="str">
        <f t="shared" si="184"/>
        <v/>
      </c>
      <c r="CG257" t="str">
        <f t="shared" si="164"/>
        <v>Relationship (Gs=2.67)</v>
      </c>
      <c r="CH257">
        <f t="shared" si="185"/>
        <v>1.07</v>
      </c>
      <c r="CI257" t="str">
        <f t="shared" si="165"/>
        <v/>
      </c>
      <c r="CJ257" t="str">
        <f t="shared" si="177"/>
        <v/>
      </c>
    </row>
    <row r="258" spans="2:88" x14ac:dyDescent="0.3">
      <c r="B258" t="str">
        <f t="shared" si="166"/>
        <v>36.823042-76.078</v>
      </c>
      <c r="C258" t="s">
        <v>110</v>
      </c>
      <c r="D258">
        <v>36.823042000000001</v>
      </c>
      <c r="E258">
        <v>-76.078000000000003</v>
      </c>
      <c r="F258">
        <v>4</v>
      </c>
      <c r="G258" t="str">
        <f t="shared" si="167"/>
        <v>-12.5-1636.823042-76.078</v>
      </c>
      <c r="H258">
        <v>-12.5</v>
      </c>
      <c r="I258">
        <v>-16</v>
      </c>
      <c r="J258" t="s">
        <v>21</v>
      </c>
      <c r="L258" t="s">
        <v>8</v>
      </c>
      <c r="M258">
        <v>6</v>
      </c>
      <c r="Q258" s="1" t="str">
        <f t="shared" si="168"/>
        <v/>
      </c>
      <c r="S258" t="str">
        <f t="shared" si="178"/>
        <v>Sand</v>
      </c>
      <c r="T258">
        <f t="shared" si="169"/>
        <v>1</v>
      </c>
      <c r="AA258">
        <v>80</v>
      </c>
      <c r="AB258" s="1">
        <f t="shared" si="170"/>
        <v>8</v>
      </c>
      <c r="AC258">
        <f t="shared" si="171"/>
        <v>7</v>
      </c>
      <c r="AD258" t="str">
        <f t="shared" si="172"/>
        <v/>
      </c>
      <c r="AG258" s="21" t="str">
        <f t="shared" si="147"/>
        <v/>
      </c>
      <c r="AI258" s="6" t="str">
        <f t="shared" si="148"/>
        <v/>
      </c>
      <c r="AM258" s="7" t="str">
        <f t="shared" si="149"/>
        <v/>
      </c>
      <c r="AQ258" s="8" t="str">
        <f t="shared" si="150"/>
        <v/>
      </c>
      <c r="AW258" s="25" t="str">
        <f t="shared" si="151"/>
        <v/>
      </c>
      <c r="AZ258" s="12" t="str">
        <f t="shared" si="152"/>
        <v/>
      </c>
      <c r="BI258" s="17" t="str">
        <f t="shared" si="153"/>
        <v/>
      </c>
      <c r="BM258" t="str">
        <f t="shared" si="154"/>
        <v>SPT Relationship</v>
      </c>
      <c r="BN258">
        <f t="shared" si="179"/>
        <v>113</v>
      </c>
      <c r="BO258" t="str">
        <f t="shared" si="155"/>
        <v>Wolff, 1989</v>
      </c>
      <c r="BP258">
        <f t="shared" si="180"/>
        <v>29</v>
      </c>
      <c r="BQ258" t="str">
        <f t="shared" si="156"/>
        <v/>
      </c>
      <c r="BR258" t="str">
        <f t="shared" si="173"/>
        <v/>
      </c>
      <c r="BS258" t="str">
        <f t="shared" si="157"/>
        <v/>
      </c>
      <c r="BT258" t="str">
        <f t="shared" si="181"/>
        <v/>
      </c>
      <c r="BU258" t="str">
        <f t="shared" si="158"/>
        <v/>
      </c>
      <c r="BV258" t="str">
        <f t="shared" si="174"/>
        <v/>
      </c>
      <c r="BW258" t="str">
        <f t="shared" si="159"/>
        <v/>
      </c>
      <c r="BX258" t="str">
        <f t="shared" si="175"/>
        <v/>
      </c>
      <c r="BY258" t="str">
        <f t="shared" si="160"/>
        <v/>
      </c>
      <c r="BZ258" t="str">
        <f t="shared" si="176"/>
        <v/>
      </c>
      <c r="CA258" t="str">
        <f t="shared" si="161"/>
        <v/>
      </c>
      <c r="CB258" t="str">
        <f t="shared" si="182"/>
        <v/>
      </c>
      <c r="CC258" t="str">
        <f t="shared" si="162"/>
        <v/>
      </c>
      <c r="CD258" t="str">
        <f t="shared" si="183"/>
        <v/>
      </c>
      <c r="CE258" t="str">
        <f t="shared" si="163"/>
        <v>Bowles 5th edition</v>
      </c>
      <c r="CF258">
        <f t="shared" si="184"/>
        <v>147</v>
      </c>
      <c r="CG258" t="str">
        <f t="shared" si="164"/>
        <v/>
      </c>
      <c r="CH258" t="str">
        <f t="shared" si="185"/>
        <v/>
      </c>
      <c r="CI258" t="str">
        <f t="shared" si="165"/>
        <v/>
      </c>
      <c r="CJ258" t="str">
        <f t="shared" si="177"/>
        <v/>
      </c>
    </row>
    <row r="259" spans="2:88" x14ac:dyDescent="0.3">
      <c r="B259" t="str">
        <f t="shared" si="166"/>
        <v>36.82403-76.0754</v>
      </c>
      <c r="C259" t="s">
        <v>111</v>
      </c>
      <c r="D259">
        <v>36.82403</v>
      </c>
      <c r="E259">
        <v>-76.075400000000002</v>
      </c>
      <c r="F259">
        <v>5</v>
      </c>
      <c r="G259" t="str">
        <f t="shared" si="167"/>
        <v>54.836.82403-76.0754</v>
      </c>
      <c r="H259">
        <v>5</v>
      </c>
      <c r="I259">
        <v>4.8</v>
      </c>
      <c r="J259" t="s">
        <v>21</v>
      </c>
      <c r="L259" t="s">
        <v>8</v>
      </c>
      <c r="M259">
        <v>5</v>
      </c>
      <c r="Q259" s="1" t="str">
        <f t="shared" si="168"/>
        <v/>
      </c>
      <c r="S259" t="str">
        <f t="shared" si="178"/>
        <v>Sand</v>
      </c>
      <c r="T259">
        <f t="shared" si="169"/>
        <v>1</v>
      </c>
      <c r="AA259">
        <v>80</v>
      </c>
      <c r="AB259" s="1">
        <f t="shared" si="170"/>
        <v>7</v>
      </c>
      <c r="AC259">
        <f t="shared" si="171"/>
        <v>68</v>
      </c>
      <c r="AD259" t="str">
        <f t="shared" si="172"/>
        <v/>
      </c>
      <c r="AG259" s="21" t="str">
        <f t="shared" ref="AG259:AG322" si="186">IF(AH259="","","Pocket Pentrometer")</f>
        <v/>
      </c>
      <c r="AI259" s="6" t="str">
        <f t="shared" ref="AI259:AI322" si="187">IF(AJ259="","","Unconfined Compression")</f>
        <v/>
      </c>
      <c r="AM259" s="7" t="str">
        <f t="shared" ref="AM259:AM322" si="188">IF(AN259="","","Undrained Unconsolidated Triaxial")</f>
        <v/>
      </c>
      <c r="AQ259" s="8" t="str">
        <f t="shared" ref="AQ259:AQ322" si="189">IF(AR259="","","Consolidated Undrained Triaxial")</f>
        <v/>
      </c>
      <c r="AW259" s="25" t="str">
        <f t="shared" ref="AW259:AW322" si="190">IF(AX259="","","Direct Shear")</f>
        <v/>
      </c>
      <c r="AZ259" s="12" t="str">
        <f t="shared" ref="AZ259:AZ322" si="191">IF(BA259="","","Consolidation Test")</f>
        <v/>
      </c>
      <c r="BI259" s="17" t="str">
        <f t="shared" ref="BI259:BI322" si="192">IF(BJ259="","","Permeability Test")</f>
        <v/>
      </c>
      <c r="BM259" t="str">
        <f t="shared" ref="BM259:BM322" si="193">IF(BN259="","","SPT Relationship")</f>
        <v>SPT Relationship</v>
      </c>
      <c r="BN259">
        <f t="shared" si="179"/>
        <v>111</v>
      </c>
      <c r="BO259" t="str">
        <f t="shared" ref="BO259:BO322" si="194">IF(BP259="","","Wolff, 1989")</f>
        <v>Wolff, 1989</v>
      </c>
      <c r="BP259">
        <f t="shared" si="180"/>
        <v>45</v>
      </c>
      <c r="BQ259" t="str">
        <f t="shared" ref="BQ259:BQ322" si="195">IF(BR259="","","GTENG-2476")</f>
        <v/>
      </c>
      <c r="BR259" t="str">
        <f t="shared" si="173"/>
        <v/>
      </c>
      <c r="BS259" t="str">
        <f t="shared" ref="BS259:BS322" si="196">IF(BT259="","", "Stroud 1974 (K=3.5)")</f>
        <v/>
      </c>
      <c r="BT259" t="str">
        <f t="shared" si="181"/>
        <v/>
      </c>
      <c r="BU259" t="str">
        <f t="shared" ref="BU259:BU322" si="197">IF(BV259="","","Kulhawy and Mayne 1990")</f>
        <v/>
      </c>
      <c r="BV259" t="str">
        <f t="shared" si="174"/>
        <v/>
      </c>
      <c r="BW259" t="str">
        <f t="shared" ref="BW259:BW322" si="198">IF(BX259="","","Kulhawy and Mayne 1990")</f>
        <v/>
      </c>
      <c r="BX259" t="str">
        <f t="shared" si="175"/>
        <v/>
      </c>
      <c r="BY259" t="str">
        <f t="shared" ref="BY259:BY322" si="199">IF(BZ259="","","Mesri 1990")</f>
        <v/>
      </c>
      <c r="BZ259" t="str">
        <f t="shared" si="176"/>
        <v/>
      </c>
      <c r="CA259" t="str">
        <f t="shared" ref="CA259:CA322" si="200">IF(CB259="","","NAVFAC Vol. 7.1 Figure 4")</f>
        <v/>
      </c>
      <c r="CB259" t="str">
        <f t="shared" si="182"/>
        <v/>
      </c>
      <c r="CC259" t="str">
        <f t="shared" ref="CC259:CC322" si="201">IF(CD259="","","Stas and Kulhawy 1984")</f>
        <v/>
      </c>
      <c r="CD259" t="str">
        <f t="shared" si="183"/>
        <v/>
      </c>
      <c r="CE259" t="str">
        <f t="shared" ref="CE259:CE322" si="202">IF(CF259="","","Bowles 5th edition")</f>
        <v>Bowles 5th edition</v>
      </c>
      <c r="CF259">
        <f t="shared" si="184"/>
        <v>141</v>
      </c>
      <c r="CG259" t="str">
        <f t="shared" ref="CG259:CG322" si="203">IF(CH259="","","Relationship (Gs=2.67)")</f>
        <v/>
      </c>
      <c r="CH259" t="str">
        <f t="shared" si="185"/>
        <v/>
      </c>
      <c r="CI259" t="str">
        <f t="shared" ref="CI259:CI322" si="204">IF(CJ259="","","Hazen, 1911 (c=1.5)")</f>
        <v/>
      </c>
      <c r="CJ259" t="str">
        <f t="shared" si="177"/>
        <v/>
      </c>
    </row>
    <row r="260" spans="2:88" x14ac:dyDescent="0.3">
      <c r="B260" t="str">
        <f t="shared" si="166"/>
        <v>36.82403-76.0754</v>
      </c>
      <c r="C260" t="s">
        <v>111</v>
      </c>
      <c r="D260">
        <v>36.82403</v>
      </c>
      <c r="E260">
        <v>-76.075400000000002</v>
      </c>
      <c r="F260">
        <v>5</v>
      </c>
      <c r="G260" t="str">
        <f t="shared" si="167"/>
        <v>4.8336.82403-76.0754</v>
      </c>
      <c r="H260">
        <v>4.8</v>
      </c>
      <c r="I260">
        <v>3</v>
      </c>
      <c r="J260" t="s">
        <v>21</v>
      </c>
      <c r="L260" t="s">
        <v>8</v>
      </c>
      <c r="M260">
        <v>5</v>
      </c>
      <c r="Q260" s="1" t="str">
        <f t="shared" si="168"/>
        <v/>
      </c>
      <c r="S260" t="str">
        <f t="shared" si="178"/>
        <v>Sand</v>
      </c>
      <c r="T260">
        <f t="shared" si="169"/>
        <v>1</v>
      </c>
      <c r="AA260">
        <v>80</v>
      </c>
      <c r="AB260" s="1">
        <f t="shared" si="170"/>
        <v>7</v>
      </c>
      <c r="AC260">
        <f t="shared" si="171"/>
        <v>21</v>
      </c>
      <c r="AD260" t="str">
        <f t="shared" si="172"/>
        <v/>
      </c>
      <c r="AG260" s="21" t="str">
        <f t="shared" si="186"/>
        <v/>
      </c>
      <c r="AI260" s="6" t="str">
        <f t="shared" si="187"/>
        <v/>
      </c>
      <c r="AM260" s="7" t="str">
        <f t="shared" si="188"/>
        <v/>
      </c>
      <c r="AQ260" s="8" t="str">
        <f t="shared" si="189"/>
        <v/>
      </c>
      <c r="AW260" s="25" t="str">
        <f t="shared" si="190"/>
        <v/>
      </c>
      <c r="AZ260" s="12" t="str">
        <f t="shared" si="191"/>
        <v/>
      </c>
      <c r="BI260" s="17" t="str">
        <f t="shared" si="192"/>
        <v/>
      </c>
      <c r="BM260" t="str">
        <f t="shared" si="193"/>
        <v>SPT Relationship</v>
      </c>
      <c r="BN260">
        <f t="shared" si="179"/>
        <v>111</v>
      </c>
      <c r="BO260" t="str">
        <f t="shared" si="194"/>
        <v>Wolff, 1989</v>
      </c>
      <c r="BP260">
        <f t="shared" si="180"/>
        <v>33</v>
      </c>
      <c r="BQ260" t="str">
        <f t="shared" si="195"/>
        <v/>
      </c>
      <c r="BR260" t="str">
        <f t="shared" si="173"/>
        <v/>
      </c>
      <c r="BS260" t="str">
        <f t="shared" si="196"/>
        <v/>
      </c>
      <c r="BT260" t="str">
        <f t="shared" si="181"/>
        <v/>
      </c>
      <c r="BU260" t="str">
        <f t="shared" si="197"/>
        <v/>
      </c>
      <c r="BV260" t="str">
        <f t="shared" si="174"/>
        <v/>
      </c>
      <c r="BW260" t="str">
        <f t="shared" si="198"/>
        <v/>
      </c>
      <c r="BX260" t="str">
        <f t="shared" si="175"/>
        <v/>
      </c>
      <c r="BY260" t="str">
        <f t="shared" si="199"/>
        <v/>
      </c>
      <c r="BZ260" t="str">
        <f t="shared" si="176"/>
        <v/>
      </c>
      <c r="CA260" t="str">
        <f t="shared" si="200"/>
        <v/>
      </c>
      <c r="CB260" t="str">
        <f t="shared" si="182"/>
        <v/>
      </c>
      <c r="CC260" t="str">
        <f t="shared" si="201"/>
        <v/>
      </c>
      <c r="CD260" t="str">
        <f t="shared" si="183"/>
        <v/>
      </c>
      <c r="CE260" t="str">
        <f t="shared" si="202"/>
        <v>Bowles 5th edition</v>
      </c>
      <c r="CF260">
        <f t="shared" si="184"/>
        <v>141</v>
      </c>
      <c r="CG260" t="str">
        <f t="shared" si="203"/>
        <v/>
      </c>
      <c r="CH260" t="str">
        <f t="shared" si="185"/>
        <v/>
      </c>
      <c r="CI260" t="str">
        <f t="shared" si="204"/>
        <v/>
      </c>
      <c r="CJ260" t="str">
        <f t="shared" si="177"/>
        <v/>
      </c>
    </row>
    <row r="261" spans="2:88" x14ac:dyDescent="0.3">
      <c r="B261" t="str">
        <f t="shared" si="166"/>
        <v>36.82403-76.0754</v>
      </c>
      <c r="C261" t="s">
        <v>111</v>
      </c>
      <c r="D261">
        <v>36.82403</v>
      </c>
      <c r="E261">
        <v>-76.075400000000002</v>
      </c>
      <c r="F261">
        <v>5</v>
      </c>
      <c r="G261" t="str">
        <f t="shared" si="167"/>
        <v>3-436.82403-76.0754</v>
      </c>
      <c r="H261">
        <v>3</v>
      </c>
      <c r="I261">
        <v>-4</v>
      </c>
      <c r="J261" t="s">
        <v>21</v>
      </c>
      <c r="L261" t="s">
        <v>11</v>
      </c>
      <c r="M261">
        <v>9</v>
      </c>
      <c r="N261">
        <v>23</v>
      </c>
      <c r="O261">
        <v>16</v>
      </c>
      <c r="P261">
        <v>30</v>
      </c>
      <c r="Q261" s="1">
        <f t="shared" si="168"/>
        <v>14</v>
      </c>
      <c r="R261">
        <v>59</v>
      </c>
      <c r="S261" t="str">
        <f t="shared" si="178"/>
        <v>Clay</v>
      </c>
      <c r="T261">
        <f t="shared" si="169"/>
        <v>2</v>
      </c>
      <c r="AA261">
        <v>80</v>
      </c>
      <c r="AB261" s="1">
        <f t="shared" si="170"/>
        <v>12</v>
      </c>
      <c r="AC261">
        <f t="shared" si="171"/>
        <v>17</v>
      </c>
      <c r="AD261">
        <f t="shared" si="172"/>
        <v>0.5</v>
      </c>
      <c r="AG261" s="21" t="str">
        <f t="shared" si="186"/>
        <v/>
      </c>
      <c r="AI261" s="6" t="str">
        <f t="shared" si="187"/>
        <v/>
      </c>
      <c r="AM261" s="7" t="str">
        <f t="shared" si="188"/>
        <v/>
      </c>
      <c r="AQ261" s="8" t="str">
        <f t="shared" si="189"/>
        <v/>
      </c>
      <c r="AW261" s="25" t="str">
        <f t="shared" si="190"/>
        <v/>
      </c>
      <c r="AZ261" s="12" t="str">
        <f t="shared" si="191"/>
        <v/>
      </c>
      <c r="BI261" s="17" t="str">
        <f t="shared" si="192"/>
        <v/>
      </c>
      <c r="BM261" t="str">
        <f t="shared" si="193"/>
        <v>SPT Relationship</v>
      </c>
      <c r="BN261">
        <f t="shared" si="179"/>
        <v>117</v>
      </c>
      <c r="BO261" t="str">
        <f t="shared" si="194"/>
        <v>Wolff, 1989</v>
      </c>
      <c r="BP261">
        <f t="shared" si="180"/>
        <v>32</v>
      </c>
      <c r="BQ261" t="str">
        <f t="shared" si="195"/>
        <v>GTENG-2476</v>
      </c>
      <c r="BR261">
        <f t="shared" si="173"/>
        <v>23</v>
      </c>
      <c r="BS261" t="str">
        <f t="shared" si="196"/>
        <v>Stroud 1974 (K=3.5)</v>
      </c>
      <c r="BT261">
        <f t="shared" si="181"/>
        <v>877</v>
      </c>
      <c r="BU261" t="str">
        <f t="shared" si="197"/>
        <v>Kulhawy and Mayne 1990</v>
      </c>
      <c r="BV261">
        <f t="shared" si="174"/>
        <v>0.189</v>
      </c>
      <c r="BW261" t="str">
        <f t="shared" si="198"/>
        <v>Kulhawy and Mayne 1990</v>
      </c>
      <c r="BX261">
        <f t="shared" si="175"/>
        <v>3.7999999999999999E-2</v>
      </c>
      <c r="BY261" t="str">
        <f t="shared" si="199"/>
        <v>Mesri 1990</v>
      </c>
      <c r="BZ261">
        <f t="shared" si="176"/>
        <v>5.7000000000000002E-3</v>
      </c>
      <c r="CA261" t="str">
        <f t="shared" si="200"/>
        <v>NAVFAC Vol. 7.1 Figure 4</v>
      </c>
      <c r="CB261">
        <f t="shared" si="182"/>
        <v>0.45883999999999991</v>
      </c>
      <c r="CC261" t="str">
        <f t="shared" si="201"/>
        <v>Stas and Kulhawy 1984</v>
      </c>
      <c r="CD261">
        <f t="shared" si="183"/>
        <v>4167.1919936754175</v>
      </c>
      <c r="CE261" t="str">
        <f t="shared" si="202"/>
        <v/>
      </c>
      <c r="CF261" t="str">
        <f t="shared" si="184"/>
        <v/>
      </c>
      <c r="CG261" t="str">
        <f t="shared" si="203"/>
        <v>Relationship (Gs=2.67)</v>
      </c>
      <c r="CH261">
        <f t="shared" si="185"/>
        <v>0.61</v>
      </c>
      <c r="CI261" t="str">
        <f t="shared" si="204"/>
        <v/>
      </c>
      <c r="CJ261" t="str">
        <f t="shared" si="177"/>
        <v/>
      </c>
    </row>
    <row r="262" spans="2:88" x14ac:dyDescent="0.3">
      <c r="B262" t="str">
        <f t="shared" si="166"/>
        <v>36.82403-76.0754</v>
      </c>
      <c r="C262" t="s">
        <v>111</v>
      </c>
      <c r="D262">
        <v>36.82403</v>
      </c>
      <c r="E262">
        <v>-76.075400000000002</v>
      </c>
      <c r="F262">
        <v>5</v>
      </c>
      <c r="G262" t="str">
        <f t="shared" si="167"/>
        <v>-4-11.536.82403-76.0754</v>
      </c>
      <c r="H262">
        <v>-4</v>
      </c>
      <c r="I262">
        <v>-11.5</v>
      </c>
      <c r="J262" t="s">
        <v>21</v>
      </c>
      <c r="L262" t="s">
        <v>11</v>
      </c>
      <c r="M262">
        <v>2</v>
      </c>
      <c r="N262">
        <v>45</v>
      </c>
      <c r="O262">
        <v>21</v>
      </c>
      <c r="P262">
        <v>38</v>
      </c>
      <c r="Q262" s="1">
        <f t="shared" si="168"/>
        <v>17</v>
      </c>
      <c r="R262">
        <v>91</v>
      </c>
      <c r="S262" t="str">
        <f t="shared" si="178"/>
        <v>Clay</v>
      </c>
      <c r="T262">
        <f t="shared" si="169"/>
        <v>2</v>
      </c>
      <c r="AA262">
        <v>80</v>
      </c>
      <c r="AB262" s="1">
        <f t="shared" si="170"/>
        <v>3</v>
      </c>
      <c r="AC262">
        <f t="shared" si="171"/>
        <v>3</v>
      </c>
      <c r="AD262">
        <f t="shared" si="172"/>
        <v>1.411764705882353</v>
      </c>
      <c r="AG262" s="21" t="str">
        <f t="shared" si="186"/>
        <v/>
      </c>
      <c r="AI262" s="6" t="str">
        <f t="shared" si="187"/>
        <v/>
      </c>
      <c r="AM262" s="7" t="str">
        <f t="shared" si="188"/>
        <v/>
      </c>
      <c r="AQ262" s="8" t="str">
        <f t="shared" si="189"/>
        <v/>
      </c>
      <c r="AW262" s="25" t="str">
        <f t="shared" si="190"/>
        <v/>
      </c>
      <c r="AZ262" s="12" t="str">
        <f t="shared" si="191"/>
        <v/>
      </c>
      <c r="BI262" s="17" t="str">
        <f t="shared" si="192"/>
        <v/>
      </c>
      <c r="BM262" t="str">
        <f t="shared" si="193"/>
        <v>SPT Relationship</v>
      </c>
      <c r="BN262">
        <f t="shared" si="179"/>
        <v>101</v>
      </c>
      <c r="BO262" t="str">
        <f t="shared" si="194"/>
        <v>Wolff, 1989</v>
      </c>
      <c r="BP262">
        <f t="shared" si="180"/>
        <v>27</v>
      </c>
      <c r="BQ262" t="str">
        <f t="shared" si="195"/>
        <v>GTENG-2476</v>
      </c>
      <c r="BR262">
        <f t="shared" si="173"/>
        <v>22</v>
      </c>
      <c r="BS262" t="str">
        <f t="shared" si="196"/>
        <v>Stroud 1974 (K=3.5)</v>
      </c>
      <c r="BT262">
        <f t="shared" si="181"/>
        <v>219</v>
      </c>
      <c r="BU262" t="str">
        <f t="shared" si="197"/>
        <v>Kulhawy and Mayne 1990</v>
      </c>
      <c r="BV262">
        <f t="shared" si="174"/>
        <v>0.23</v>
      </c>
      <c r="BW262" t="str">
        <f t="shared" si="198"/>
        <v>Kulhawy and Mayne 1990</v>
      </c>
      <c r="BX262">
        <f t="shared" si="175"/>
        <v>4.5999999999999999E-2</v>
      </c>
      <c r="BY262" t="str">
        <f t="shared" si="199"/>
        <v>Mesri 1990</v>
      </c>
      <c r="BZ262">
        <f t="shared" si="176"/>
        <v>6.8999999999999999E-3</v>
      </c>
      <c r="CA262" t="str">
        <f t="shared" si="200"/>
        <v>NAVFAC Vol. 7.1 Figure 4</v>
      </c>
      <c r="CB262">
        <f t="shared" si="182"/>
        <v>0.23957520639999941</v>
      </c>
      <c r="CC262" t="str">
        <f t="shared" si="201"/>
        <v>Stas and Kulhawy 1984</v>
      </c>
      <c r="CD262">
        <f t="shared" si="183"/>
        <v>138.92636945396711</v>
      </c>
      <c r="CE262" t="str">
        <f t="shared" si="202"/>
        <v/>
      </c>
      <c r="CF262" t="str">
        <f t="shared" si="184"/>
        <v/>
      </c>
      <c r="CG262" t="str">
        <f t="shared" si="203"/>
        <v>Relationship (Gs=2.67)</v>
      </c>
      <c r="CH262">
        <f t="shared" si="185"/>
        <v>1.2</v>
      </c>
      <c r="CI262" t="str">
        <f t="shared" si="204"/>
        <v/>
      </c>
      <c r="CJ262" t="str">
        <f t="shared" si="177"/>
        <v/>
      </c>
    </row>
    <row r="263" spans="2:88" x14ac:dyDescent="0.3">
      <c r="B263" t="str">
        <f t="shared" si="166"/>
        <v>36.82403-76.0754</v>
      </c>
      <c r="C263" t="s">
        <v>111</v>
      </c>
      <c r="D263">
        <v>36.82403</v>
      </c>
      <c r="E263">
        <v>-76.075400000000002</v>
      </c>
      <c r="F263">
        <v>5</v>
      </c>
      <c r="G263" t="str">
        <f t="shared" si="167"/>
        <v>-11.5-16.536.82403-76.0754</v>
      </c>
      <c r="H263">
        <v>-11.5</v>
      </c>
      <c r="I263">
        <v>-16.5</v>
      </c>
      <c r="J263" t="s">
        <v>21</v>
      </c>
      <c r="L263" t="s">
        <v>17</v>
      </c>
      <c r="M263">
        <v>4</v>
      </c>
      <c r="N263">
        <v>30</v>
      </c>
      <c r="O263">
        <v>15</v>
      </c>
      <c r="P263">
        <v>22</v>
      </c>
      <c r="Q263" s="1">
        <f t="shared" si="168"/>
        <v>7</v>
      </c>
      <c r="R263">
        <v>20</v>
      </c>
      <c r="S263" t="str">
        <f t="shared" si="178"/>
        <v>Sand</v>
      </c>
      <c r="T263">
        <f t="shared" si="169"/>
        <v>2</v>
      </c>
      <c r="AA263">
        <v>80</v>
      </c>
      <c r="AB263" s="1">
        <f t="shared" si="170"/>
        <v>5</v>
      </c>
      <c r="AC263">
        <f t="shared" si="171"/>
        <v>4</v>
      </c>
      <c r="AD263">
        <f t="shared" si="172"/>
        <v>2.1428571428571428</v>
      </c>
      <c r="AG263" s="21" t="str">
        <f t="shared" si="186"/>
        <v/>
      </c>
      <c r="AI263" s="6" t="str">
        <f t="shared" si="187"/>
        <v/>
      </c>
      <c r="AM263" s="7" t="str">
        <f t="shared" si="188"/>
        <v/>
      </c>
      <c r="AQ263" s="8" t="str">
        <f t="shared" si="189"/>
        <v/>
      </c>
      <c r="AW263" s="25" t="str">
        <f t="shared" si="190"/>
        <v/>
      </c>
      <c r="AZ263" s="12" t="str">
        <f t="shared" si="191"/>
        <v/>
      </c>
      <c r="BI263" s="17" t="str">
        <f t="shared" si="192"/>
        <v/>
      </c>
      <c r="BM263" t="str">
        <f t="shared" si="193"/>
        <v>SPT Relationship</v>
      </c>
      <c r="BN263">
        <f t="shared" si="179"/>
        <v>108</v>
      </c>
      <c r="BO263" t="str">
        <f t="shared" si="194"/>
        <v>Wolff, 1989</v>
      </c>
      <c r="BP263">
        <f t="shared" si="180"/>
        <v>28</v>
      </c>
      <c r="BQ263" t="str">
        <f t="shared" si="195"/>
        <v>GTENG-2476</v>
      </c>
      <c r="BR263">
        <f t="shared" si="173"/>
        <v>24</v>
      </c>
      <c r="BS263" t="str">
        <f t="shared" si="196"/>
        <v/>
      </c>
      <c r="BT263" t="str">
        <f t="shared" si="181"/>
        <v/>
      </c>
      <c r="BU263" t="str">
        <f t="shared" si="197"/>
        <v>Kulhawy and Mayne 1990</v>
      </c>
      <c r="BV263">
        <f t="shared" si="174"/>
        <v>9.5000000000000001E-2</v>
      </c>
      <c r="BW263" t="str">
        <f t="shared" si="198"/>
        <v>Kulhawy and Mayne 1990</v>
      </c>
      <c r="BX263">
        <f t="shared" si="175"/>
        <v>1.9E-2</v>
      </c>
      <c r="BY263" t="str">
        <f t="shared" si="199"/>
        <v>Mesri 1990</v>
      </c>
      <c r="BZ263">
        <f t="shared" si="176"/>
        <v>2.8999999999999998E-3</v>
      </c>
      <c r="CA263" t="str">
        <f t="shared" si="200"/>
        <v>NAVFAC Vol. 7.1 Figure 4</v>
      </c>
      <c r="CB263">
        <f t="shared" si="182"/>
        <v>0.7466923136000001</v>
      </c>
      <c r="CC263" t="str">
        <f t="shared" si="201"/>
        <v>Stas and Kulhawy 1984</v>
      </c>
      <c r="CD263">
        <f t="shared" si="183"/>
        <v>9.0868830492822816</v>
      </c>
      <c r="CE263" t="str">
        <f t="shared" si="202"/>
        <v>Bowles 5th edition</v>
      </c>
      <c r="CF263">
        <f t="shared" si="184"/>
        <v>128</v>
      </c>
      <c r="CG263" t="str">
        <f t="shared" si="203"/>
        <v>Relationship (Gs=2.67)</v>
      </c>
      <c r="CH263">
        <f t="shared" si="185"/>
        <v>0.8</v>
      </c>
      <c r="CI263" t="str">
        <f t="shared" si="204"/>
        <v/>
      </c>
      <c r="CJ263" t="str">
        <f t="shared" si="177"/>
        <v/>
      </c>
    </row>
    <row r="264" spans="2:88" x14ac:dyDescent="0.3">
      <c r="B264" t="str">
        <f t="shared" si="166"/>
        <v>36.82403-76.0754</v>
      </c>
      <c r="C264" t="s">
        <v>111</v>
      </c>
      <c r="D264">
        <v>36.82403</v>
      </c>
      <c r="E264">
        <v>-76.075400000000002</v>
      </c>
      <c r="F264">
        <v>5</v>
      </c>
      <c r="G264" t="str">
        <f t="shared" si="167"/>
        <v>-16.5-21.536.82403-76.0754</v>
      </c>
      <c r="H264">
        <v>-16.5</v>
      </c>
      <c r="I264">
        <v>-21.5</v>
      </c>
      <c r="J264" t="s">
        <v>21</v>
      </c>
      <c r="L264" t="s">
        <v>8</v>
      </c>
      <c r="M264">
        <v>8</v>
      </c>
      <c r="Q264" s="1" t="str">
        <f t="shared" si="168"/>
        <v/>
      </c>
      <c r="S264" t="str">
        <f t="shared" si="178"/>
        <v>Sand</v>
      </c>
      <c r="T264">
        <f t="shared" si="169"/>
        <v>1</v>
      </c>
      <c r="AA264">
        <v>80</v>
      </c>
      <c r="AB264" s="1">
        <f t="shared" si="170"/>
        <v>11</v>
      </c>
      <c r="AC264">
        <f t="shared" si="171"/>
        <v>9</v>
      </c>
      <c r="AD264" t="str">
        <f t="shared" si="172"/>
        <v/>
      </c>
      <c r="AG264" s="21" t="str">
        <f t="shared" si="186"/>
        <v/>
      </c>
      <c r="AI264" s="6" t="str">
        <f t="shared" si="187"/>
        <v/>
      </c>
      <c r="AM264" s="7" t="str">
        <f t="shared" si="188"/>
        <v/>
      </c>
      <c r="AQ264" s="8" t="str">
        <f t="shared" si="189"/>
        <v/>
      </c>
      <c r="AW264" s="25" t="str">
        <f t="shared" si="190"/>
        <v/>
      </c>
      <c r="AZ264" s="12" t="str">
        <f t="shared" si="191"/>
        <v/>
      </c>
      <c r="BI264" s="17" t="str">
        <f t="shared" si="192"/>
        <v/>
      </c>
      <c r="BM264" t="str">
        <f t="shared" si="193"/>
        <v>SPT Relationship</v>
      </c>
      <c r="BN264">
        <f t="shared" si="179"/>
        <v>116</v>
      </c>
      <c r="BO264" t="str">
        <f t="shared" si="194"/>
        <v>Wolff, 1989</v>
      </c>
      <c r="BP264">
        <f t="shared" si="180"/>
        <v>29</v>
      </c>
      <c r="BQ264" t="str">
        <f t="shared" si="195"/>
        <v/>
      </c>
      <c r="BR264" t="str">
        <f t="shared" si="173"/>
        <v/>
      </c>
      <c r="BS264" t="str">
        <f t="shared" si="196"/>
        <v/>
      </c>
      <c r="BT264" t="str">
        <f t="shared" si="181"/>
        <v/>
      </c>
      <c r="BU264" t="str">
        <f t="shared" si="197"/>
        <v/>
      </c>
      <c r="BV264" t="str">
        <f t="shared" si="174"/>
        <v/>
      </c>
      <c r="BW264" t="str">
        <f t="shared" si="198"/>
        <v/>
      </c>
      <c r="BX264" t="str">
        <f t="shared" si="175"/>
        <v/>
      </c>
      <c r="BY264" t="str">
        <f t="shared" si="199"/>
        <v/>
      </c>
      <c r="BZ264" t="str">
        <f t="shared" si="176"/>
        <v/>
      </c>
      <c r="CA264" t="str">
        <f t="shared" si="200"/>
        <v/>
      </c>
      <c r="CB264" t="str">
        <f t="shared" si="182"/>
        <v/>
      </c>
      <c r="CC264" t="str">
        <f t="shared" si="201"/>
        <v/>
      </c>
      <c r="CD264" t="str">
        <f t="shared" si="183"/>
        <v/>
      </c>
      <c r="CE264" t="str">
        <f t="shared" si="202"/>
        <v>Bowles 5th edition</v>
      </c>
      <c r="CF264">
        <f t="shared" si="184"/>
        <v>166</v>
      </c>
      <c r="CG264" t="str">
        <f t="shared" si="203"/>
        <v/>
      </c>
      <c r="CH264" t="str">
        <f t="shared" si="185"/>
        <v/>
      </c>
      <c r="CI264" t="str">
        <f t="shared" si="204"/>
        <v/>
      </c>
      <c r="CJ264" t="str">
        <f t="shared" si="177"/>
        <v/>
      </c>
    </row>
    <row r="265" spans="2:88" x14ac:dyDescent="0.3">
      <c r="B265" t="str">
        <f t="shared" ref="B265:B328" si="205">""&amp;D265&amp;""&amp;E265</f>
        <v>36.82403-76.0754</v>
      </c>
      <c r="C265" t="s">
        <v>111</v>
      </c>
      <c r="D265">
        <v>36.82403</v>
      </c>
      <c r="E265">
        <v>-76.075400000000002</v>
      </c>
      <c r="F265">
        <v>5</v>
      </c>
      <c r="G265" t="str">
        <f t="shared" ref="G265:G328" si="206">""&amp;H265&amp;""&amp;I265&amp;""&amp;D265&amp;""&amp;E265</f>
        <v>-21.5-36.536.82403-76.0754</v>
      </c>
      <c r="H265">
        <v>-21.5</v>
      </c>
      <c r="I265">
        <v>-36.5</v>
      </c>
      <c r="J265" t="s">
        <v>21</v>
      </c>
      <c r="L265" t="s">
        <v>17</v>
      </c>
      <c r="M265">
        <v>3</v>
      </c>
      <c r="N265">
        <v>30</v>
      </c>
      <c r="O265">
        <v>16</v>
      </c>
      <c r="P265">
        <v>26</v>
      </c>
      <c r="Q265" s="1">
        <f t="shared" ref="Q265:Q274" si="207">IF(OR(O265="",P265=""),"",P265-O265)</f>
        <v>10</v>
      </c>
      <c r="R265">
        <v>34</v>
      </c>
      <c r="S265" t="str">
        <f t="shared" si="178"/>
        <v>Sand</v>
      </c>
      <c r="T265">
        <f t="shared" ref="T265:T328" si="208">IF(OR(Q265&lt;&gt;"",R265&lt;&gt;""),2,1)</f>
        <v>2</v>
      </c>
      <c r="AA265">
        <v>80</v>
      </c>
      <c r="AB265" s="1">
        <f t="shared" ref="AB265:AB273" si="209">ROUND(M265*AA265/60,0)</f>
        <v>4</v>
      </c>
      <c r="AC265">
        <f t="shared" ref="AC265:AC273" si="210">ROUNDDOWN(((1/((((F265-I265)*110)*0.047880258888889)/100))^(0.5))*AB265,0)</f>
        <v>2</v>
      </c>
      <c r="AD265">
        <f t="shared" ref="AD265:AD328" si="211">IF(OR(N265="",O265=""),"",(N265-O265)/(P265-O265))</f>
        <v>1.4</v>
      </c>
      <c r="AG265" s="21" t="str">
        <f t="shared" si="186"/>
        <v/>
      </c>
      <c r="AI265" s="6" t="str">
        <f t="shared" si="187"/>
        <v/>
      </c>
      <c r="AM265" s="7" t="str">
        <f t="shared" si="188"/>
        <v/>
      </c>
      <c r="AQ265" s="8" t="str">
        <f t="shared" si="189"/>
        <v/>
      </c>
      <c r="AW265" s="25" t="str">
        <f t="shared" si="190"/>
        <v/>
      </c>
      <c r="AZ265" s="12" t="str">
        <f t="shared" si="191"/>
        <v/>
      </c>
      <c r="BI265" s="17" t="str">
        <f t="shared" si="192"/>
        <v/>
      </c>
      <c r="BM265" t="str">
        <f t="shared" si="193"/>
        <v>SPT Relationship</v>
      </c>
      <c r="BN265">
        <f t="shared" si="179"/>
        <v>105</v>
      </c>
      <c r="BO265" t="str">
        <f t="shared" si="194"/>
        <v>Wolff, 1989</v>
      </c>
      <c r="BP265">
        <f t="shared" si="180"/>
        <v>27</v>
      </c>
      <c r="BQ265" t="str">
        <f t="shared" si="195"/>
        <v>GTENG-2476</v>
      </c>
      <c r="BR265">
        <f t="shared" ref="BR265:BR328" si="212">IF(P265="","",ROUNDDOWN(28-0.1533*P265+0.000564*P265^2-0.0000008414*P265^3,0))</f>
        <v>24</v>
      </c>
      <c r="BS265" t="str">
        <f t="shared" si="196"/>
        <v/>
      </c>
      <c r="BT265" t="str">
        <f t="shared" si="181"/>
        <v/>
      </c>
      <c r="BU265" t="str">
        <f t="shared" si="197"/>
        <v>Kulhawy and Mayne 1990</v>
      </c>
      <c r="BV265">
        <f t="shared" ref="BV265:BV328" si="213">IF(Q265="","",ROUND(Q265/74,3))</f>
        <v>0.13500000000000001</v>
      </c>
      <c r="BW265" t="str">
        <f t="shared" si="198"/>
        <v>Kulhawy and Mayne 1990</v>
      </c>
      <c r="BX265">
        <f t="shared" ref="BX265:BX328" si="214">IF(Q265="","",ROUND(Q265/370,3))</f>
        <v>2.7E-2</v>
      </c>
      <c r="BY265" t="str">
        <f t="shared" si="199"/>
        <v>Mesri 1990</v>
      </c>
      <c r="BZ265">
        <f t="shared" ref="BZ265:BZ328" si="215">IF(BV265="","",ROUND(0.03*BV265,4))</f>
        <v>4.1000000000000003E-3</v>
      </c>
      <c r="CA265" t="str">
        <f t="shared" si="200"/>
        <v>NAVFAC Vol. 7.1 Figure 4</v>
      </c>
      <c r="CB265">
        <f t="shared" si="182"/>
        <v>0.59203156480000008</v>
      </c>
      <c r="CC265" t="str">
        <f t="shared" si="201"/>
        <v>Stas and Kulhawy 1984</v>
      </c>
      <c r="CD265">
        <f t="shared" si="183"/>
        <v>145.15884703164605</v>
      </c>
      <c r="CE265" t="str">
        <f t="shared" si="202"/>
        <v>Bowles 5th edition</v>
      </c>
      <c r="CF265">
        <f t="shared" si="184"/>
        <v>122</v>
      </c>
      <c r="CG265" t="str">
        <f t="shared" si="203"/>
        <v>Relationship (Gs=2.67)</v>
      </c>
      <c r="CH265">
        <f t="shared" si="185"/>
        <v>0.8</v>
      </c>
      <c r="CI265" t="str">
        <f t="shared" si="204"/>
        <v/>
      </c>
      <c r="CJ265" t="str">
        <f t="shared" ref="CJ265:CJ328" si="216">IF(OR(S265="Clay",X265=""),"",1.5*X265^2)</f>
        <v/>
      </c>
    </row>
    <row r="266" spans="2:88" x14ac:dyDescent="0.3">
      <c r="B266" t="str">
        <f t="shared" si="205"/>
        <v>36.82403-76.0754</v>
      </c>
      <c r="C266" t="s">
        <v>111</v>
      </c>
      <c r="D266">
        <v>36.82403</v>
      </c>
      <c r="E266">
        <v>-76.075400000000002</v>
      </c>
      <c r="F266">
        <v>5</v>
      </c>
      <c r="G266" t="str">
        <f t="shared" si="206"/>
        <v>-36.5-41.536.82403-76.0754</v>
      </c>
      <c r="H266">
        <v>-36.5</v>
      </c>
      <c r="I266">
        <v>-41.5</v>
      </c>
      <c r="J266" t="s">
        <v>21</v>
      </c>
      <c r="L266" t="s">
        <v>11</v>
      </c>
      <c r="M266">
        <v>3</v>
      </c>
      <c r="N266">
        <v>31</v>
      </c>
      <c r="O266">
        <v>14</v>
      </c>
      <c r="P266">
        <v>29</v>
      </c>
      <c r="Q266" s="1">
        <f t="shared" si="207"/>
        <v>15</v>
      </c>
      <c r="R266">
        <v>61</v>
      </c>
      <c r="S266" t="str">
        <f t="shared" si="178"/>
        <v>Clay</v>
      </c>
      <c r="T266">
        <f t="shared" si="208"/>
        <v>2</v>
      </c>
      <c r="AA266">
        <v>80</v>
      </c>
      <c r="AB266" s="1">
        <f t="shared" si="209"/>
        <v>4</v>
      </c>
      <c r="AC266">
        <f t="shared" si="210"/>
        <v>2</v>
      </c>
      <c r="AD266">
        <f t="shared" si="211"/>
        <v>1.1333333333333333</v>
      </c>
      <c r="AG266" s="21" t="str">
        <f t="shared" si="186"/>
        <v/>
      </c>
      <c r="AI266" s="6" t="str">
        <f t="shared" si="187"/>
        <v/>
      </c>
      <c r="AM266" s="7" t="str">
        <f t="shared" si="188"/>
        <v/>
      </c>
      <c r="AQ266" s="8" t="str">
        <f t="shared" si="189"/>
        <v/>
      </c>
      <c r="AW266" s="25" t="str">
        <f t="shared" si="190"/>
        <v/>
      </c>
      <c r="AZ266" s="12" t="str">
        <f t="shared" si="191"/>
        <v/>
      </c>
      <c r="BI266" s="17" t="str">
        <f t="shared" si="192"/>
        <v/>
      </c>
      <c r="BM266" t="str">
        <f t="shared" si="193"/>
        <v>SPT Relationship</v>
      </c>
      <c r="BN266">
        <f t="shared" si="179"/>
        <v>105</v>
      </c>
      <c r="BO266" t="str">
        <f t="shared" si="194"/>
        <v>Wolff, 1989</v>
      </c>
      <c r="BP266">
        <f t="shared" si="180"/>
        <v>27</v>
      </c>
      <c r="BQ266" t="str">
        <f t="shared" si="195"/>
        <v>GTENG-2476</v>
      </c>
      <c r="BR266">
        <f t="shared" si="212"/>
        <v>24</v>
      </c>
      <c r="BS266" t="str">
        <f t="shared" si="196"/>
        <v>Stroud 1974 (K=3.5)</v>
      </c>
      <c r="BT266">
        <f t="shared" si="181"/>
        <v>292</v>
      </c>
      <c r="BU266" t="str">
        <f t="shared" si="197"/>
        <v>Kulhawy and Mayne 1990</v>
      </c>
      <c r="BV266">
        <f t="shared" si="213"/>
        <v>0.20300000000000001</v>
      </c>
      <c r="BW266" t="str">
        <f t="shared" si="198"/>
        <v>Kulhawy and Mayne 1990</v>
      </c>
      <c r="BX266">
        <f t="shared" si="214"/>
        <v>4.1000000000000002E-2</v>
      </c>
      <c r="BY266" t="str">
        <f t="shared" si="199"/>
        <v>Mesri 1990</v>
      </c>
      <c r="BZ266">
        <f t="shared" si="215"/>
        <v>6.1000000000000004E-3</v>
      </c>
      <c r="CA266" t="str">
        <f t="shared" si="200"/>
        <v>NAVFAC Vol. 7.1 Figure 4</v>
      </c>
      <c r="CB266">
        <f t="shared" si="182"/>
        <v>0.49037306020000004</v>
      </c>
      <c r="CC266" t="str">
        <f t="shared" si="201"/>
        <v>Stas and Kulhawy 1984</v>
      </c>
      <c r="CD266">
        <f t="shared" si="183"/>
        <v>392.50347855561529</v>
      </c>
      <c r="CE266" t="str">
        <f t="shared" si="202"/>
        <v/>
      </c>
      <c r="CF266" t="str">
        <f t="shared" si="184"/>
        <v/>
      </c>
      <c r="CG266" t="str">
        <f t="shared" si="203"/>
        <v>Relationship (Gs=2.67)</v>
      </c>
      <c r="CH266">
        <f t="shared" si="185"/>
        <v>0.83</v>
      </c>
      <c r="CI266" t="str">
        <f t="shared" si="204"/>
        <v/>
      </c>
      <c r="CJ266" t="str">
        <f t="shared" si="216"/>
        <v/>
      </c>
    </row>
    <row r="267" spans="2:88" x14ac:dyDescent="0.3">
      <c r="B267" t="str">
        <f t="shared" si="205"/>
        <v>36.82403-76.0754</v>
      </c>
      <c r="C267" t="s">
        <v>111</v>
      </c>
      <c r="D267">
        <v>36.82403</v>
      </c>
      <c r="E267">
        <v>-76.075400000000002</v>
      </c>
      <c r="F267">
        <v>5</v>
      </c>
      <c r="G267" t="str">
        <f t="shared" si="206"/>
        <v>-41.5-71.536.82403-76.0754</v>
      </c>
      <c r="H267">
        <v>-41.5</v>
      </c>
      <c r="I267">
        <v>-71.5</v>
      </c>
      <c r="J267" t="s">
        <v>21</v>
      </c>
      <c r="L267" t="s">
        <v>11</v>
      </c>
      <c r="M267">
        <v>40</v>
      </c>
      <c r="N267">
        <v>40</v>
      </c>
      <c r="O267">
        <v>16</v>
      </c>
      <c r="P267">
        <v>39</v>
      </c>
      <c r="Q267" s="1">
        <f t="shared" si="207"/>
        <v>23</v>
      </c>
      <c r="R267">
        <v>90</v>
      </c>
      <c r="S267" t="str">
        <f t="shared" si="178"/>
        <v>Clay</v>
      </c>
      <c r="T267">
        <f t="shared" si="208"/>
        <v>2</v>
      </c>
      <c r="AA267">
        <v>80</v>
      </c>
      <c r="AB267" s="1">
        <f t="shared" si="209"/>
        <v>53</v>
      </c>
      <c r="AC267">
        <f t="shared" si="210"/>
        <v>26</v>
      </c>
      <c r="AD267">
        <f t="shared" si="211"/>
        <v>1.0434782608695652</v>
      </c>
      <c r="AG267" s="21" t="str">
        <f t="shared" si="186"/>
        <v/>
      </c>
      <c r="AI267" s="6" t="str">
        <f t="shared" si="187"/>
        <v/>
      </c>
      <c r="AM267" s="7" t="str">
        <f t="shared" si="188"/>
        <v/>
      </c>
      <c r="AQ267" s="8" t="str">
        <f t="shared" si="189"/>
        <v/>
      </c>
      <c r="AW267" s="25" t="str">
        <f t="shared" si="190"/>
        <v/>
      </c>
      <c r="AZ267" s="12" t="str">
        <f t="shared" si="191"/>
        <v/>
      </c>
      <c r="BI267" s="17" t="str">
        <f t="shared" si="192"/>
        <v/>
      </c>
      <c r="BM267" t="str">
        <f t="shared" si="193"/>
        <v>SPT Relationship</v>
      </c>
      <c r="BN267">
        <f t="shared" si="179"/>
        <v>135</v>
      </c>
      <c r="BO267" t="str">
        <f t="shared" si="194"/>
        <v>Wolff, 1989</v>
      </c>
      <c r="BP267">
        <f t="shared" si="180"/>
        <v>34</v>
      </c>
      <c r="BQ267" t="str">
        <f t="shared" si="195"/>
        <v>GTENG-2476</v>
      </c>
      <c r="BR267">
        <f t="shared" si="212"/>
        <v>22</v>
      </c>
      <c r="BS267" t="str">
        <f t="shared" si="196"/>
        <v>Stroud 1974 (K=3.5)</v>
      </c>
      <c r="BT267">
        <f t="shared" si="181"/>
        <v>3874</v>
      </c>
      <c r="BU267" t="str">
        <f t="shared" si="197"/>
        <v>Kulhawy and Mayne 1990</v>
      </c>
      <c r="BV267">
        <f t="shared" si="213"/>
        <v>0.311</v>
      </c>
      <c r="BW267" t="str">
        <f t="shared" si="198"/>
        <v>Kulhawy and Mayne 1990</v>
      </c>
      <c r="BX267">
        <f t="shared" si="214"/>
        <v>6.2E-2</v>
      </c>
      <c r="BY267" t="str">
        <f t="shared" si="199"/>
        <v>Mesri 1990</v>
      </c>
      <c r="BZ267">
        <f t="shared" si="215"/>
        <v>9.2999999999999992E-3</v>
      </c>
      <c r="CA267" t="str">
        <f t="shared" si="200"/>
        <v>NAVFAC Vol. 7.1 Figure 4</v>
      </c>
      <c r="CB267">
        <f t="shared" si="182"/>
        <v>0.21538485019999998</v>
      </c>
      <c r="CC267" t="str">
        <f t="shared" si="201"/>
        <v>Stas and Kulhawy 1984</v>
      </c>
      <c r="CD267">
        <f t="shared" si="183"/>
        <v>548.79320752097317</v>
      </c>
      <c r="CE267" t="str">
        <f t="shared" si="202"/>
        <v/>
      </c>
      <c r="CF267" t="str">
        <f t="shared" si="184"/>
        <v/>
      </c>
      <c r="CG267" t="str">
        <f t="shared" si="203"/>
        <v>Relationship (Gs=2.67)</v>
      </c>
      <c r="CH267">
        <f t="shared" si="185"/>
        <v>1.07</v>
      </c>
      <c r="CI267" t="str">
        <f t="shared" si="204"/>
        <v/>
      </c>
      <c r="CJ267" t="str">
        <f t="shared" si="216"/>
        <v/>
      </c>
    </row>
    <row r="268" spans="2:88" x14ac:dyDescent="0.3">
      <c r="B268" t="str">
        <f t="shared" si="205"/>
        <v>36.82403-76.0754</v>
      </c>
      <c r="C268" t="s">
        <v>111</v>
      </c>
      <c r="D268">
        <v>36.82403</v>
      </c>
      <c r="E268">
        <v>-76.075400000000002</v>
      </c>
      <c r="F268">
        <v>5</v>
      </c>
      <c r="G268" t="str">
        <f t="shared" si="206"/>
        <v>-71.5-91.536.82403-76.0754</v>
      </c>
      <c r="H268">
        <v>-71.5</v>
      </c>
      <c r="I268">
        <v>-91.5</v>
      </c>
      <c r="J268" t="s">
        <v>21</v>
      </c>
      <c r="L268" t="s">
        <v>113</v>
      </c>
      <c r="M268">
        <v>5</v>
      </c>
      <c r="N268">
        <v>55</v>
      </c>
      <c r="O268">
        <v>22</v>
      </c>
      <c r="P268">
        <v>60</v>
      </c>
      <c r="Q268" s="1">
        <f t="shared" si="207"/>
        <v>38</v>
      </c>
      <c r="R268">
        <v>89</v>
      </c>
      <c r="S268" t="str">
        <f t="shared" si="178"/>
        <v>Clay</v>
      </c>
      <c r="T268">
        <f t="shared" si="208"/>
        <v>2</v>
      </c>
      <c r="AA268">
        <v>80</v>
      </c>
      <c r="AB268" s="1">
        <f t="shared" si="209"/>
        <v>7</v>
      </c>
      <c r="AC268">
        <f t="shared" si="210"/>
        <v>3</v>
      </c>
      <c r="AD268">
        <f t="shared" si="211"/>
        <v>0.86842105263157898</v>
      </c>
      <c r="AG268" s="21" t="str">
        <f t="shared" si="186"/>
        <v/>
      </c>
      <c r="AI268" s="6" t="str">
        <f t="shared" si="187"/>
        <v/>
      </c>
      <c r="AM268" s="7" t="str">
        <f t="shared" si="188"/>
        <v/>
      </c>
      <c r="AQ268" s="8" t="str">
        <f t="shared" si="189"/>
        <v/>
      </c>
      <c r="AW268" s="25" t="str">
        <f t="shared" si="190"/>
        <v/>
      </c>
      <c r="AZ268" s="12" t="str">
        <f t="shared" si="191"/>
        <v/>
      </c>
      <c r="BI268" s="17" t="str">
        <f t="shared" si="192"/>
        <v/>
      </c>
      <c r="BM268" t="str">
        <f t="shared" si="193"/>
        <v>SPT Relationship</v>
      </c>
      <c r="BN268">
        <f t="shared" si="179"/>
        <v>111</v>
      </c>
      <c r="BO268" t="str">
        <f t="shared" si="194"/>
        <v>Wolff, 1989</v>
      </c>
      <c r="BP268">
        <f t="shared" si="180"/>
        <v>27</v>
      </c>
      <c r="BQ268" t="str">
        <f t="shared" si="195"/>
        <v>GTENG-2476</v>
      </c>
      <c r="BR268">
        <f t="shared" si="212"/>
        <v>20</v>
      </c>
      <c r="BS268" t="str">
        <f t="shared" si="196"/>
        <v>Stroud 1974 (K=3.5)</v>
      </c>
      <c r="BT268">
        <f t="shared" si="181"/>
        <v>512</v>
      </c>
      <c r="BU268" t="str">
        <f t="shared" si="197"/>
        <v>Kulhawy and Mayne 1990</v>
      </c>
      <c r="BV268">
        <f t="shared" si="213"/>
        <v>0.51400000000000001</v>
      </c>
      <c r="BW268" t="str">
        <f t="shared" si="198"/>
        <v>Kulhawy and Mayne 1990</v>
      </c>
      <c r="BX268">
        <f t="shared" si="214"/>
        <v>0.10299999999999999</v>
      </c>
      <c r="BY268" t="str">
        <f t="shared" si="199"/>
        <v>Mesri 1990</v>
      </c>
      <c r="BZ268">
        <f t="shared" si="215"/>
        <v>1.54E-2</v>
      </c>
      <c r="CA268" t="str">
        <f t="shared" si="200"/>
        <v>NAVFAC Vol. 7.1 Figure 4</v>
      </c>
      <c r="CB268">
        <f t="shared" si="182"/>
        <v>-0.24532000000000043</v>
      </c>
      <c r="CC268" t="str">
        <f t="shared" si="201"/>
        <v>Stas and Kulhawy 1984</v>
      </c>
      <c r="CD268">
        <f t="shared" si="183"/>
        <v>1054.3903069018982</v>
      </c>
      <c r="CE268" t="str">
        <f t="shared" si="202"/>
        <v/>
      </c>
      <c r="CF268" t="str">
        <f t="shared" si="184"/>
        <v/>
      </c>
      <c r="CG268" t="str">
        <f t="shared" si="203"/>
        <v>Relationship (Gs=2.67)</v>
      </c>
      <c r="CH268">
        <f t="shared" si="185"/>
        <v>1.47</v>
      </c>
      <c r="CI268" t="str">
        <f t="shared" si="204"/>
        <v/>
      </c>
      <c r="CJ268" t="str">
        <f t="shared" si="216"/>
        <v/>
      </c>
    </row>
    <row r="269" spans="2:88" x14ac:dyDescent="0.3">
      <c r="B269" t="str">
        <f t="shared" si="205"/>
        <v>36.82403-76.0754</v>
      </c>
      <c r="C269" t="s">
        <v>111</v>
      </c>
      <c r="D269">
        <v>36.82403</v>
      </c>
      <c r="E269">
        <v>-76.075400000000002</v>
      </c>
      <c r="F269">
        <v>5</v>
      </c>
      <c r="G269" t="str">
        <f t="shared" si="206"/>
        <v>-91.5-96.536.82403-76.0754</v>
      </c>
      <c r="H269">
        <v>-91.5</v>
      </c>
      <c r="I269">
        <v>-96.5</v>
      </c>
      <c r="J269" t="s">
        <v>21</v>
      </c>
      <c r="L269" t="s">
        <v>16</v>
      </c>
      <c r="M269">
        <v>17</v>
      </c>
      <c r="Q269" s="1" t="str">
        <f t="shared" si="207"/>
        <v/>
      </c>
      <c r="S269" t="str">
        <f t="shared" si="178"/>
        <v>Sand</v>
      </c>
      <c r="T269">
        <f t="shared" si="208"/>
        <v>1</v>
      </c>
      <c r="AA269">
        <v>80</v>
      </c>
      <c r="AB269" s="1">
        <f t="shared" si="209"/>
        <v>23</v>
      </c>
      <c r="AC269">
        <f t="shared" si="210"/>
        <v>9</v>
      </c>
      <c r="AD269" t="str">
        <f t="shared" si="211"/>
        <v/>
      </c>
      <c r="AG269" s="21" t="str">
        <f t="shared" si="186"/>
        <v/>
      </c>
      <c r="AI269" s="6" t="str">
        <f t="shared" si="187"/>
        <v/>
      </c>
      <c r="AM269" s="7" t="str">
        <f t="shared" si="188"/>
        <v/>
      </c>
      <c r="AQ269" s="8" t="str">
        <f t="shared" si="189"/>
        <v/>
      </c>
      <c r="AW269" s="25" t="str">
        <f t="shared" si="190"/>
        <v/>
      </c>
      <c r="AZ269" s="12" t="str">
        <f t="shared" si="191"/>
        <v/>
      </c>
      <c r="BI269" s="17" t="str">
        <f t="shared" si="192"/>
        <v/>
      </c>
      <c r="BM269" t="str">
        <f t="shared" si="193"/>
        <v>SPT Relationship</v>
      </c>
      <c r="BN269">
        <f t="shared" si="179"/>
        <v>124</v>
      </c>
      <c r="BO269" t="str">
        <f t="shared" si="194"/>
        <v>Wolff, 1989</v>
      </c>
      <c r="BP269">
        <f t="shared" si="180"/>
        <v>29</v>
      </c>
      <c r="BQ269" t="str">
        <f t="shared" si="195"/>
        <v/>
      </c>
      <c r="BR269" t="str">
        <f t="shared" si="212"/>
        <v/>
      </c>
      <c r="BS269" t="str">
        <f t="shared" si="196"/>
        <v/>
      </c>
      <c r="BT269" t="str">
        <f t="shared" si="181"/>
        <v/>
      </c>
      <c r="BU269" t="str">
        <f t="shared" si="197"/>
        <v/>
      </c>
      <c r="BV269" t="str">
        <f t="shared" si="213"/>
        <v/>
      </c>
      <c r="BW269" t="str">
        <f t="shared" si="198"/>
        <v/>
      </c>
      <c r="BX269" t="str">
        <f t="shared" si="214"/>
        <v/>
      </c>
      <c r="BY269" t="str">
        <f t="shared" si="199"/>
        <v/>
      </c>
      <c r="BZ269" t="str">
        <f t="shared" si="215"/>
        <v/>
      </c>
      <c r="CA269" t="str">
        <f t="shared" si="200"/>
        <v/>
      </c>
      <c r="CB269" t="str">
        <f t="shared" si="182"/>
        <v/>
      </c>
      <c r="CC269" t="str">
        <f t="shared" si="201"/>
        <v/>
      </c>
      <c r="CD269" t="str">
        <f t="shared" si="183"/>
        <v/>
      </c>
      <c r="CE269" t="str">
        <f t="shared" si="202"/>
        <v>Bowles 5th edition</v>
      </c>
      <c r="CF269">
        <f t="shared" si="184"/>
        <v>243</v>
      </c>
      <c r="CG269" t="str">
        <f t="shared" si="203"/>
        <v/>
      </c>
      <c r="CH269" t="str">
        <f t="shared" si="185"/>
        <v/>
      </c>
      <c r="CI269" t="str">
        <f t="shared" si="204"/>
        <v/>
      </c>
      <c r="CJ269" t="str">
        <f t="shared" si="216"/>
        <v/>
      </c>
    </row>
    <row r="270" spans="2:88" x14ac:dyDescent="0.3">
      <c r="B270" t="str">
        <f t="shared" si="205"/>
        <v>36.82403-76.0754</v>
      </c>
      <c r="C270" t="s">
        <v>111</v>
      </c>
      <c r="D270">
        <v>36.82403</v>
      </c>
      <c r="E270">
        <v>-76.075400000000002</v>
      </c>
      <c r="F270">
        <v>5</v>
      </c>
      <c r="G270" t="str">
        <f t="shared" si="206"/>
        <v>-96.5-101.536.82403-76.0754</v>
      </c>
      <c r="H270">
        <v>-96.5</v>
      </c>
      <c r="I270">
        <v>-101.5</v>
      </c>
      <c r="J270" t="s">
        <v>21</v>
      </c>
      <c r="L270" t="s">
        <v>11</v>
      </c>
      <c r="M270">
        <v>4</v>
      </c>
      <c r="Q270" s="1" t="str">
        <f t="shared" si="207"/>
        <v/>
      </c>
      <c r="S270" t="str">
        <f t="shared" si="178"/>
        <v>Clay</v>
      </c>
      <c r="T270">
        <f t="shared" si="208"/>
        <v>1</v>
      </c>
      <c r="AA270">
        <v>80</v>
      </c>
      <c r="AB270" s="1">
        <f t="shared" si="209"/>
        <v>5</v>
      </c>
      <c r="AC270">
        <f t="shared" si="210"/>
        <v>2</v>
      </c>
      <c r="AD270" t="str">
        <f t="shared" si="211"/>
        <v/>
      </c>
      <c r="AG270" s="21" t="str">
        <f t="shared" si="186"/>
        <v/>
      </c>
      <c r="AI270" s="6" t="str">
        <f t="shared" si="187"/>
        <v/>
      </c>
      <c r="AM270" s="7" t="str">
        <f t="shared" si="188"/>
        <v/>
      </c>
      <c r="AQ270" s="8" t="str">
        <f t="shared" si="189"/>
        <v/>
      </c>
      <c r="AW270" s="25" t="str">
        <f t="shared" si="190"/>
        <v/>
      </c>
      <c r="AZ270" s="12" t="str">
        <f t="shared" si="191"/>
        <v/>
      </c>
      <c r="BI270" s="17" t="str">
        <f t="shared" si="192"/>
        <v/>
      </c>
      <c r="BM270" t="str">
        <f t="shared" si="193"/>
        <v>SPT Relationship</v>
      </c>
      <c r="BN270">
        <f t="shared" si="179"/>
        <v>108</v>
      </c>
      <c r="BO270" t="str">
        <f t="shared" si="194"/>
        <v>Wolff, 1989</v>
      </c>
      <c r="BP270">
        <f t="shared" si="180"/>
        <v>27</v>
      </c>
      <c r="BQ270" t="str">
        <f t="shared" si="195"/>
        <v/>
      </c>
      <c r="BR270" t="str">
        <f t="shared" si="212"/>
        <v/>
      </c>
      <c r="BS270" t="str">
        <f t="shared" si="196"/>
        <v>Stroud 1974 (K=3.5)</v>
      </c>
      <c r="BT270">
        <f t="shared" si="181"/>
        <v>365</v>
      </c>
      <c r="BU270" t="str">
        <f t="shared" si="197"/>
        <v/>
      </c>
      <c r="BV270" t="str">
        <f t="shared" si="213"/>
        <v/>
      </c>
      <c r="BW270" t="str">
        <f t="shared" si="198"/>
        <v/>
      </c>
      <c r="BX270" t="str">
        <f t="shared" si="214"/>
        <v/>
      </c>
      <c r="BY270" t="str">
        <f t="shared" si="199"/>
        <v/>
      </c>
      <c r="BZ270" t="str">
        <f t="shared" si="215"/>
        <v/>
      </c>
      <c r="CA270" t="str">
        <f t="shared" si="200"/>
        <v/>
      </c>
      <c r="CB270" t="str">
        <f t="shared" si="182"/>
        <v/>
      </c>
      <c r="CC270" t="str">
        <f t="shared" si="201"/>
        <v/>
      </c>
      <c r="CD270" t="str">
        <f t="shared" si="183"/>
        <v/>
      </c>
      <c r="CE270" t="str">
        <f t="shared" si="202"/>
        <v/>
      </c>
      <c r="CF270" t="str">
        <f t="shared" si="184"/>
        <v/>
      </c>
      <c r="CG270" t="str">
        <f t="shared" si="203"/>
        <v/>
      </c>
      <c r="CH270" t="str">
        <f t="shared" si="185"/>
        <v/>
      </c>
      <c r="CI270" t="str">
        <f t="shared" si="204"/>
        <v/>
      </c>
      <c r="CJ270" t="str">
        <f t="shared" si="216"/>
        <v/>
      </c>
    </row>
    <row r="271" spans="2:88" x14ac:dyDescent="0.3">
      <c r="B271" t="str">
        <f t="shared" si="205"/>
        <v>36.82403-76.0754</v>
      </c>
      <c r="C271" t="s">
        <v>111</v>
      </c>
      <c r="D271">
        <v>36.82403</v>
      </c>
      <c r="E271">
        <v>-76.075400000000002</v>
      </c>
      <c r="F271">
        <v>5</v>
      </c>
      <c r="G271" t="str">
        <f t="shared" si="206"/>
        <v>-101.5-106.536.82403-76.0754</v>
      </c>
      <c r="H271">
        <v>-101.5</v>
      </c>
      <c r="I271">
        <v>-106.5</v>
      </c>
      <c r="J271" t="s">
        <v>21</v>
      </c>
      <c r="L271" t="s">
        <v>8</v>
      </c>
      <c r="M271">
        <v>20</v>
      </c>
      <c r="Q271" s="1" t="str">
        <f t="shared" si="207"/>
        <v/>
      </c>
      <c r="S271" t="str">
        <f t="shared" si="178"/>
        <v>Sand</v>
      </c>
      <c r="T271">
        <f t="shared" si="208"/>
        <v>1</v>
      </c>
      <c r="AA271">
        <v>80</v>
      </c>
      <c r="AB271" s="1">
        <f t="shared" si="209"/>
        <v>27</v>
      </c>
      <c r="AC271">
        <f t="shared" si="210"/>
        <v>11</v>
      </c>
      <c r="AD271" t="str">
        <f t="shared" si="211"/>
        <v/>
      </c>
      <c r="AG271" s="21" t="str">
        <f t="shared" si="186"/>
        <v/>
      </c>
      <c r="AI271" s="6" t="str">
        <f t="shared" si="187"/>
        <v/>
      </c>
      <c r="AM271" s="7" t="str">
        <f t="shared" si="188"/>
        <v/>
      </c>
      <c r="AQ271" s="8" t="str">
        <f t="shared" si="189"/>
        <v/>
      </c>
      <c r="AW271" s="25" t="str">
        <f t="shared" si="190"/>
        <v/>
      </c>
      <c r="AZ271" s="12" t="str">
        <f t="shared" si="191"/>
        <v/>
      </c>
      <c r="BI271" s="17" t="str">
        <f t="shared" si="192"/>
        <v/>
      </c>
      <c r="BM271" t="str">
        <f t="shared" si="193"/>
        <v>SPT Relationship</v>
      </c>
      <c r="BN271">
        <f t="shared" si="179"/>
        <v>126</v>
      </c>
      <c r="BO271" t="str">
        <f t="shared" si="194"/>
        <v>Wolff, 1989</v>
      </c>
      <c r="BP271">
        <f t="shared" si="180"/>
        <v>30</v>
      </c>
      <c r="BQ271" t="str">
        <f t="shared" si="195"/>
        <v/>
      </c>
      <c r="BR271" t="str">
        <f t="shared" si="212"/>
        <v/>
      </c>
      <c r="BS271" t="str">
        <f t="shared" si="196"/>
        <v/>
      </c>
      <c r="BT271" t="str">
        <f t="shared" si="181"/>
        <v/>
      </c>
      <c r="BU271" t="str">
        <f t="shared" si="197"/>
        <v/>
      </c>
      <c r="BV271" t="str">
        <f t="shared" si="213"/>
        <v/>
      </c>
      <c r="BW271" t="str">
        <f t="shared" si="198"/>
        <v/>
      </c>
      <c r="BX271" t="str">
        <f t="shared" si="214"/>
        <v/>
      </c>
      <c r="BY271" t="str">
        <f t="shared" si="199"/>
        <v/>
      </c>
      <c r="BZ271" t="str">
        <f t="shared" si="215"/>
        <v/>
      </c>
      <c r="CA271" t="str">
        <f t="shared" si="200"/>
        <v/>
      </c>
      <c r="CB271" t="str">
        <f t="shared" si="182"/>
        <v/>
      </c>
      <c r="CC271" t="str">
        <f t="shared" si="201"/>
        <v/>
      </c>
      <c r="CD271" t="str">
        <f t="shared" si="183"/>
        <v/>
      </c>
      <c r="CE271" t="str">
        <f t="shared" si="202"/>
        <v>Bowles 5th edition</v>
      </c>
      <c r="CF271">
        <f t="shared" si="184"/>
        <v>269</v>
      </c>
      <c r="CG271" t="str">
        <f t="shared" si="203"/>
        <v/>
      </c>
      <c r="CH271" t="str">
        <f t="shared" si="185"/>
        <v/>
      </c>
      <c r="CI271" t="str">
        <f t="shared" si="204"/>
        <v/>
      </c>
      <c r="CJ271" t="str">
        <f t="shared" si="216"/>
        <v/>
      </c>
    </row>
    <row r="272" spans="2:88" x14ac:dyDescent="0.3">
      <c r="B272" t="str">
        <f t="shared" si="205"/>
        <v>36.82403-76.0754</v>
      </c>
      <c r="C272" t="s">
        <v>111</v>
      </c>
      <c r="D272">
        <v>36.82403</v>
      </c>
      <c r="E272">
        <v>-76.075400000000002</v>
      </c>
      <c r="F272">
        <v>5</v>
      </c>
      <c r="G272" t="str">
        <f t="shared" si="206"/>
        <v>-106.5-111.536.82403-76.0754</v>
      </c>
      <c r="H272">
        <v>-106.5</v>
      </c>
      <c r="I272">
        <v>-111.5</v>
      </c>
      <c r="J272" t="s">
        <v>21</v>
      </c>
      <c r="L272" t="s">
        <v>11</v>
      </c>
      <c r="M272">
        <v>8</v>
      </c>
      <c r="Q272" s="1" t="str">
        <f t="shared" si="207"/>
        <v/>
      </c>
      <c r="S272" t="str">
        <f t="shared" si="178"/>
        <v>Clay</v>
      </c>
      <c r="T272">
        <f t="shared" si="208"/>
        <v>1</v>
      </c>
      <c r="AA272">
        <v>80</v>
      </c>
      <c r="AB272" s="1">
        <f t="shared" si="209"/>
        <v>11</v>
      </c>
      <c r="AC272">
        <f t="shared" si="210"/>
        <v>4</v>
      </c>
      <c r="AD272" t="str">
        <f t="shared" si="211"/>
        <v/>
      </c>
      <c r="AG272" s="21" t="str">
        <f t="shared" si="186"/>
        <v/>
      </c>
      <c r="AI272" s="6" t="str">
        <f t="shared" si="187"/>
        <v/>
      </c>
      <c r="AM272" s="7" t="str">
        <f t="shared" si="188"/>
        <v/>
      </c>
      <c r="AQ272" s="8" t="str">
        <f t="shared" si="189"/>
        <v/>
      </c>
      <c r="AW272" s="25" t="str">
        <f t="shared" si="190"/>
        <v/>
      </c>
      <c r="AZ272" s="12" t="str">
        <f t="shared" si="191"/>
        <v/>
      </c>
      <c r="BI272" s="17" t="str">
        <f t="shared" si="192"/>
        <v/>
      </c>
      <c r="BM272" t="str">
        <f t="shared" si="193"/>
        <v>SPT Relationship</v>
      </c>
      <c r="BN272">
        <f t="shared" si="179"/>
        <v>116</v>
      </c>
      <c r="BO272" t="str">
        <f t="shared" si="194"/>
        <v>Wolff, 1989</v>
      </c>
      <c r="BP272">
        <f t="shared" si="180"/>
        <v>28</v>
      </c>
      <c r="BQ272" t="str">
        <f t="shared" si="195"/>
        <v/>
      </c>
      <c r="BR272" t="str">
        <f t="shared" si="212"/>
        <v/>
      </c>
      <c r="BS272" t="str">
        <f t="shared" si="196"/>
        <v>Stroud 1974 (K=3.5)</v>
      </c>
      <c r="BT272">
        <f t="shared" si="181"/>
        <v>804</v>
      </c>
      <c r="BU272" t="str">
        <f t="shared" si="197"/>
        <v/>
      </c>
      <c r="BV272" t="str">
        <f t="shared" si="213"/>
        <v/>
      </c>
      <c r="BW272" t="str">
        <f t="shared" si="198"/>
        <v/>
      </c>
      <c r="BX272" t="str">
        <f t="shared" si="214"/>
        <v/>
      </c>
      <c r="BY272" t="str">
        <f t="shared" si="199"/>
        <v/>
      </c>
      <c r="BZ272" t="str">
        <f t="shared" si="215"/>
        <v/>
      </c>
      <c r="CA272" t="str">
        <f t="shared" si="200"/>
        <v/>
      </c>
      <c r="CB272" t="str">
        <f t="shared" si="182"/>
        <v/>
      </c>
      <c r="CC272" t="str">
        <f t="shared" si="201"/>
        <v/>
      </c>
      <c r="CD272" t="str">
        <f t="shared" si="183"/>
        <v/>
      </c>
      <c r="CE272" t="str">
        <f t="shared" si="202"/>
        <v/>
      </c>
      <c r="CF272" t="str">
        <f t="shared" si="184"/>
        <v/>
      </c>
      <c r="CG272" t="str">
        <f t="shared" si="203"/>
        <v/>
      </c>
      <c r="CH272" t="str">
        <f t="shared" si="185"/>
        <v/>
      </c>
      <c r="CI272" t="str">
        <f t="shared" si="204"/>
        <v/>
      </c>
      <c r="CJ272" t="str">
        <f t="shared" si="216"/>
        <v/>
      </c>
    </row>
    <row r="273" spans="2:88" x14ac:dyDescent="0.3">
      <c r="B273" t="str">
        <f t="shared" si="205"/>
        <v>36.82403-76.0754</v>
      </c>
      <c r="C273" t="s">
        <v>111</v>
      </c>
      <c r="D273">
        <v>36.82403</v>
      </c>
      <c r="E273">
        <v>-76.075400000000002</v>
      </c>
      <c r="F273">
        <v>5</v>
      </c>
      <c r="G273" t="str">
        <f t="shared" si="206"/>
        <v>-111.5-121.536.82403-76.0754</v>
      </c>
      <c r="H273">
        <v>-111.5</v>
      </c>
      <c r="I273">
        <v>-121.5</v>
      </c>
      <c r="J273" t="s">
        <v>21</v>
      </c>
      <c r="L273" t="s">
        <v>16</v>
      </c>
      <c r="M273">
        <v>28</v>
      </c>
      <c r="Q273" s="1" t="str">
        <f t="shared" si="207"/>
        <v/>
      </c>
      <c r="S273" t="str">
        <f t="shared" si="178"/>
        <v>Sand</v>
      </c>
      <c r="T273">
        <f t="shared" si="208"/>
        <v>1</v>
      </c>
      <c r="AA273">
        <v>80</v>
      </c>
      <c r="AB273" s="1">
        <f t="shared" si="209"/>
        <v>37</v>
      </c>
      <c r="AC273">
        <f t="shared" si="210"/>
        <v>14</v>
      </c>
      <c r="AD273" t="str">
        <f t="shared" si="211"/>
        <v/>
      </c>
      <c r="AG273" s="21" t="str">
        <f t="shared" si="186"/>
        <v/>
      </c>
      <c r="AI273" s="6" t="str">
        <f t="shared" si="187"/>
        <v/>
      </c>
      <c r="AM273" s="7" t="str">
        <f t="shared" si="188"/>
        <v/>
      </c>
      <c r="AQ273" s="8" t="str">
        <f t="shared" si="189"/>
        <v/>
      </c>
      <c r="AW273" s="25" t="str">
        <f t="shared" si="190"/>
        <v/>
      </c>
      <c r="AZ273" s="12" t="str">
        <f t="shared" si="191"/>
        <v/>
      </c>
      <c r="BI273" s="17" t="str">
        <f t="shared" si="192"/>
        <v/>
      </c>
      <c r="BM273" t="str">
        <f t="shared" si="193"/>
        <v>SPT Relationship</v>
      </c>
      <c r="BN273">
        <f t="shared" si="179"/>
        <v>130</v>
      </c>
      <c r="BO273" t="str">
        <f t="shared" si="194"/>
        <v>Wolff, 1989</v>
      </c>
      <c r="BP273">
        <f t="shared" si="180"/>
        <v>31</v>
      </c>
      <c r="BQ273" t="str">
        <f t="shared" si="195"/>
        <v/>
      </c>
      <c r="BR273" t="str">
        <f t="shared" si="212"/>
        <v/>
      </c>
      <c r="BS273" t="str">
        <f t="shared" si="196"/>
        <v/>
      </c>
      <c r="BT273" t="str">
        <f t="shared" si="181"/>
        <v/>
      </c>
      <c r="BU273" t="str">
        <f t="shared" si="197"/>
        <v/>
      </c>
      <c r="BV273" t="str">
        <f t="shared" si="213"/>
        <v/>
      </c>
      <c r="BW273" t="str">
        <f t="shared" si="198"/>
        <v/>
      </c>
      <c r="BX273" t="str">
        <f t="shared" si="214"/>
        <v/>
      </c>
      <c r="BY273" t="str">
        <f t="shared" si="199"/>
        <v/>
      </c>
      <c r="BZ273" t="str">
        <f t="shared" si="215"/>
        <v/>
      </c>
      <c r="CA273" t="str">
        <f t="shared" si="200"/>
        <v/>
      </c>
      <c r="CB273" t="str">
        <f t="shared" si="182"/>
        <v/>
      </c>
      <c r="CC273" t="str">
        <f t="shared" si="201"/>
        <v/>
      </c>
      <c r="CD273" t="str">
        <f t="shared" si="183"/>
        <v/>
      </c>
      <c r="CE273" t="str">
        <f t="shared" si="202"/>
        <v>Bowles 5th edition</v>
      </c>
      <c r="CF273">
        <f t="shared" si="184"/>
        <v>333</v>
      </c>
      <c r="CG273" t="str">
        <f t="shared" si="203"/>
        <v/>
      </c>
      <c r="CH273" t="str">
        <f t="shared" si="185"/>
        <v/>
      </c>
      <c r="CI273" t="str">
        <f t="shared" si="204"/>
        <v/>
      </c>
      <c r="CJ273" t="str">
        <f t="shared" si="216"/>
        <v/>
      </c>
    </row>
    <row r="274" spans="2:88" x14ac:dyDescent="0.3">
      <c r="B274" t="str">
        <f t="shared" si="205"/>
        <v>36.82403-76.0754</v>
      </c>
      <c r="C274" t="s">
        <v>111</v>
      </c>
      <c r="D274">
        <v>36.82403</v>
      </c>
      <c r="E274">
        <v>-76.075400000000002</v>
      </c>
      <c r="F274">
        <v>5</v>
      </c>
      <c r="G274" t="str">
        <f t="shared" si="206"/>
        <v>-121.5-12536.82403-76.0754</v>
      </c>
      <c r="H274">
        <v>-121.5</v>
      </c>
      <c r="I274">
        <v>-125</v>
      </c>
      <c r="J274" t="s">
        <v>21</v>
      </c>
      <c r="L274" t="s">
        <v>17</v>
      </c>
      <c r="M274">
        <v>30</v>
      </c>
      <c r="N274">
        <v>25</v>
      </c>
      <c r="O274">
        <v>14</v>
      </c>
      <c r="P274">
        <v>28</v>
      </c>
      <c r="Q274" s="1">
        <f t="shared" si="207"/>
        <v>14</v>
      </c>
      <c r="R274">
        <v>18</v>
      </c>
      <c r="S274" t="str">
        <f t="shared" si="178"/>
        <v>Sand</v>
      </c>
      <c r="T274">
        <f t="shared" si="208"/>
        <v>2</v>
      </c>
      <c r="AA274">
        <v>80</v>
      </c>
      <c r="AB274" s="1">
        <f>IFERROR(ROUND(M274*AA274/60,0),"")</f>
        <v>40</v>
      </c>
      <c r="AC274">
        <f>IFERROR(ROUNDDOWN(((1/((((F274-I274)*110)*0.047880258888889)/100))^(0.5))*AB274,0),"")</f>
        <v>15</v>
      </c>
      <c r="AD274">
        <f t="shared" si="211"/>
        <v>0.7857142857142857</v>
      </c>
      <c r="AG274" s="21" t="str">
        <f t="shared" si="186"/>
        <v/>
      </c>
      <c r="AI274" s="6" t="str">
        <f t="shared" si="187"/>
        <v/>
      </c>
      <c r="AM274" s="7" t="str">
        <f t="shared" si="188"/>
        <v/>
      </c>
      <c r="AQ274" s="8" t="str">
        <f t="shared" si="189"/>
        <v/>
      </c>
      <c r="AW274" s="25" t="str">
        <f t="shared" si="190"/>
        <v/>
      </c>
      <c r="AZ274" s="12" t="str">
        <f t="shared" si="191"/>
        <v/>
      </c>
      <c r="BI274" s="17" t="str">
        <f t="shared" si="192"/>
        <v/>
      </c>
      <c r="BM274" t="str">
        <f t="shared" si="193"/>
        <v>SPT Relationship</v>
      </c>
      <c r="BN274">
        <f t="shared" si="179"/>
        <v>131</v>
      </c>
      <c r="BO274" t="str">
        <f t="shared" si="194"/>
        <v>Wolff, 1989</v>
      </c>
      <c r="BP274">
        <f t="shared" si="180"/>
        <v>31</v>
      </c>
      <c r="BQ274" t="str">
        <f t="shared" si="195"/>
        <v>GTENG-2476</v>
      </c>
      <c r="BR274">
        <f t="shared" si="212"/>
        <v>24</v>
      </c>
      <c r="BS274" t="str">
        <f t="shared" si="196"/>
        <v/>
      </c>
      <c r="BT274" t="str">
        <f t="shared" si="181"/>
        <v/>
      </c>
      <c r="BU274" t="str">
        <f t="shared" si="197"/>
        <v>Kulhawy and Mayne 1990</v>
      </c>
      <c r="BV274">
        <f t="shared" si="213"/>
        <v>0.189</v>
      </c>
      <c r="BW274" t="str">
        <f t="shared" si="198"/>
        <v>Kulhawy and Mayne 1990</v>
      </c>
      <c r="BX274">
        <f t="shared" si="214"/>
        <v>3.7999999999999999E-2</v>
      </c>
      <c r="BY274" t="str">
        <f t="shared" si="199"/>
        <v>Mesri 1990</v>
      </c>
      <c r="BZ274">
        <f t="shared" si="215"/>
        <v>5.7000000000000002E-3</v>
      </c>
      <c r="CA274" t="str">
        <f t="shared" si="200"/>
        <v>NAVFAC Vol. 7.1 Figure 4</v>
      </c>
      <c r="CB274">
        <f t="shared" si="182"/>
        <v>0.52303696639999986</v>
      </c>
      <c r="CC274" t="str">
        <f t="shared" si="201"/>
        <v>Stas and Kulhawy 1984</v>
      </c>
      <c r="CD274">
        <f t="shared" si="183"/>
        <v>1435.4443729656357</v>
      </c>
      <c r="CE274" t="str">
        <f t="shared" si="202"/>
        <v>Bowles 5th edition</v>
      </c>
      <c r="CF274">
        <f t="shared" si="184"/>
        <v>352</v>
      </c>
      <c r="CG274" t="str">
        <f t="shared" si="203"/>
        <v>Relationship (Gs=2.67)</v>
      </c>
      <c r="CH274">
        <f t="shared" si="185"/>
        <v>0.67</v>
      </c>
      <c r="CI274" t="str">
        <f t="shared" si="204"/>
        <v/>
      </c>
      <c r="CJ274" t="str">
        <f t="shared" si="216"/>
        <v/>
      </c>
    </row>
    <row r="275" spans="2:88" x14ac:dyDescent="0.3">
      <c r="B275" t="str">
        <f t="shared" si="205"/>
        <v>36.824614-76.075024</v>
      </c>
      <c r="C275" s="30" t="s">
        <v>117</v>
      </c>
      <c r="D275">
        <v>36.824613999999997</v>
      </c>
      <c r="E275">
        <v>-76.075023999999999</v>
      </c>
      <c r="F275">
        <v>5</v>
      </c>
      <c r="G275" t="str">
        <f t="shared" si="206"/>
        <v>5336.824614-76.075024</v>
      </c>
      <c r="H275">
        <v>5</v>
      </c>
      <c r="I275">
        <v>3</v>
      </c>
      <c r="J275" s="30" t="s">
        <v>21</v>
      </c>
      <c r="L275" t="s">
        <v>8</v>
      </c>
      <c r="M275">
        <v>7</v>
      </c>
      <c r="S275" t="str">
        <f t="shared" si="178"/>
        <v>Sand</v>
      </c>
      <c r="T275">
        <f t="shared" si="208"/>
        <v>1</v>
      </c>
      <c r="AA275">
        <v>80</v>
      </c>
      <c r="AB275" s="1">
        <f t="shared" ref="AB275:AB338" si="217">IFERROR(ROUND(M275*AA275/60,0),"")</f>
        <v>9</v>
      </c>
      <c r="AC275">
        <f t="shared" ref="AC275:AC338" si="218">IFERROR(ROUNDDOWN(((1/((((F275-I275)*110)*0.047880258888889)/100))^(0.5))*AB275,0),"")</f>
        <v>27</v>
      </c>
      <c r="AD275" t="str">
        <f t="shared" si="211"/>
        <v/>
      </c>
      <c r="AG275" s="21" t="str">
        <f t="shared" si="186"/>
        <v/>
      </c>
      <c r="AI275" s="6" t="str">
        <f t="shared" si="187"/>
        <v/>
      </c>
      <c r="AM275" s="7" t="str">
        <f t="shared" si="188"/>
        <v/>
      </c>
      <c r="AQ275" s="8" t="str">
        <f t="shared" si="189"/>
        <v/>
      </c>
      <c r="AW275" s="25" t="str">
        <f t="shared" si="190"/>
        <v/>
      </c>
      <c r="AZ275" s="12" t="str">
        <f t="shared" si="191"/>
        <v/>
      </c>
      <c r="BI275" s="17" t="str">
        <f t="shared" si="192"/>
        <v/>
      </c>
      <c r="BM275" t="str">
        <f t="shared" si="193"/>
        <v>SPT Relationship</v>
      </c>
      <c r="BN275">
        <f t="shared" si="179"/>
        <v>114</v>
      </c>
      <c r="BO275" t="str">
        <f t="shared" si="194"/>
        <v>Wolff, 1989</v>
      </c>
      <c r="BP275">
        <f t="shared" si="180"/>
        <v>34</v>
      </c>
      <c r="BQ275" t="str">
        <f t="shared" si="195"/>
        <v/>
      </c>
      <c r="BR275" t="str">
        <f t="shared" si="212"/>
        <v/>
      </c>
      <c r="BS275" t="str">
        <f t="shared" si="196"/>
        <v/>
      </c>
      <c r="BT275" t="str">
        <f t="shared" si="181"/>
        <v/>
      </c>
      <c r="BU275" t="str">
        <f t="shared" si="197"/>
        <v/>
      </c>
      <c r="BV275" t="str">
        <f t="shared" si="213"/>
        <v/>
      </c>
      <c r="BW275" t="str">
        <f t="shared" si="198"/>
        <v/>
      </c>
      <c r="BX275" t="str">
        <f t="shared" si="214"/>
        <v/>
      </c>
      <c r="BY275" t="str">
        <f t="shared" si="199"/>
        <v/>
      </c>
      <c r="BZ275" t="str">
        <f t="shared" si="215"/>
        <v/>
      </c>
      <c r="CA275" t="str">
        <f t="shared" si="200"/>
        <v/>
      </c>
      <c r="CB275" t="str">
        <f t="shared" si="182"/>
        <v/>
      </c>
      <c r="CC275" t="str">
        <f t="shared" si="201"/>
        <v/>
      </c>
      <c r="CD275" t="str">
        <f t="shared" si="183"/>
        <v/>
      </c>
      <c r="CE275" t="str">
        <f t="shared" si="202"/>
        <v>Bowles 5th edition</v>
      </c>
      <c r="CF275">
        <f t="shared" si="184"/>
        <v>154</v>
      </c>
      <c r="CG275" t="str">
        <f t="shared" si="203"/>
        <v/>
      </c>
      <c r="CH275" t="str">
        <f t="shared" si="185"/>
        <v/>
      </c>
      <c r="CI275" t="str">
        <f t="shared" si="204"/>
        <v/>
      </c>
      <c r="CJ275" t="str">
        <f t="shared" si="216"/>
        <v/>
      </c>
    </row>
    <row r="276" spans="2:88" x14ac:dyDescent="0.3">
      <c r="B276" t="str">
        <f t="shared" si="205"/>
        <v>36.824614-76.075024</v>
      </c>
      <c r="C276" s="30" t="s">
        <v>117</v>
      </c>
      <c r="D276">
        <v>36.824613999999997</v>
      </c>
      <c r="E276">
        <v>-76.075023999999999</v>
      </c>
      <c r="F276">
        <v>5</v>
      </c>
      <c r="G276" t="str">
        <f t="shared" si="206"/>
        <v>3136.824614-76.075024</v>
      </c>
      <c r="H276">
        <v>3</v>
      </c>
      <c r="I276">
        <v>1</v>
      </c>
      <c r="J276" s="30" t="s">
        <v>21</v>
      </c>
      <c r="L276" t="s">
        <v>8</v>
      </c>
      <c r="M276">
        <v>11</v>
      </c>
      <c r="S276" t="str">
        <f t="shared" si="178"/>
        <v>Sand</v>
      </c>
      <c r="T276">
        <f t="shared" si="208"/>
        <v>1</v>
      </c>
      <c r="AA276">
        <v>80</v>
      </c>
      <c r="AB276" s="1">
        <f t="shared" si="217"/>
        <v>15</v>
      </c>
      <c r="AC276">
        <f t="shared" si="218"/>
        <v>32</v>
      </c>
      <c r="AD276" t="str">
        <f t="shared" si="211"/>
        <v/>
      </c>
      <c r="AG276" s="21" t="str">
        <f t="shared" si="186"/>
        <v/>
      </c>
      <c r="AI276" s="6" t="str">
        <f t="shared" si="187"/>
        <v/>
      </c>
      <c r="AM276" s="7" t="str">
        <f t="shared" si="188"/>
        <v/>
      </c>
      <c r="AQ276" s="8" t="str">
        <f t="shared" si="189"/>
        <v/>
      </c>
      <c r="AW276" s="25" t="str">
        <f t="shared" si="190"/>
        <v/>
      </c>
      <c r="AZ276" s="12" t="str">
        <f t="shared" si="191"/>
        <v/>
      </c>
      <c r="BI276" s="17" t="str">
        <f t="shared" si="192"/>
        <v/>
      </c>
      <c r="BM276" t="str">
        <f t="shared" si="193"/>
        <v>SPT Relationship</v>
      </c>
      <c r="BN276">
        <f t="shared" si="179"/>
        <v>119</v>
      </c>
      <c r="BO276" t="str">
        <f t="shared" si="194"/>
        <v>Wolff, 1989</v>
      </c>
      <c r="BP276">
        <f t="shared" si="180"/>
        <v>36</v>
      </c>
      <c r="BQ276" t="str">
        <f t="shared" si="195"/>
        <v/>
      </c>
      <c r="BR276" t="str">
        <f t="shared" si="212"/>
        <v/>
      </c>
      <c r="BS276" t="str">
        <f t="shared" si="196"/>
        <v/>
      </c>
      <c r="BT276" t="str">
        <f t="shared" si="181"/>
        <v/>
      </c>
      <c r="BU276" t="str">
        <f t="shared" si="197"/>
        <v/>
      </c>
      <c r="BV276" t="str">
        <f t="shared" si="213"/>
        <v/>
      </c>
      <c r="BW276" t="str">
        <f t="shared" si="198"/>
        <v/>
      </c>
      <c r="BX276" t="str">
        <f t="shared" si="214"/>
        <v/>
      </c>
      <c r="BY276" t="str">
        <f t="shared" si="199"/>
        <v/>
      </c>
      <c r="BZ276" t="str">
        <f t="shared" si="215"/>
        <v/>
      </c>
      <c r="CA276" t="str">
        <f t="shared" si="200"/>
        <v/>
      </c>
      <c r="CB276" t="str">
        <f t="shared" si="182"/>
        <v/>
      </c>
      <c r="CC276" t="str">
        <f t="shared" si="201"/>
        <v/>
      </c>
      <c r="CD276" t="str">
        <f t="shared" si="183"/>
        <v/>
      </c>
      <c r="CE276" t="str">
        <f t="shared" si="202"/>
        <v>Bowles 5th edition</v>
      </c>
      <c r="CF276">
        <f t="shared" si="184"/>
        <v>192</v>
      </c>
      <c r="CG276" t="str">
        <f t="shared" si="203"/>
        <v/>
      </c>
      <c r="CH276" t="str">
        <f t="shared" si="185"/>
        <v/>
      </c>
      <c r="CI276" t="str">
        <f t="shared" si="204"/>
        <v/>
      </c>
      <c r="CJ276" t="str">
        <f t="shared" si="216"/>
        <v/>
      </c>
    </row>
    <row r="277" spans="2:88" x14ac:dyDescent="0.3">
      <c r="B277" t="str">
        <f t="shared" si="205"/>
        <v>36.824614-76.075024</v>
      </c>
      <c r="C277" s="30" t="s">
        <v>117</v>
      </c>
      <c r="D277">
        <v>36.824613999999997</v>
      </c>
      <c r="E277">
        <v>-76.075023999999999</v>
      </c>
      <c r="F277">
        <v>5</v>
      </c>
      <c r="G277" t="str">
        <f t="shared" si="206"/>
        <v>1-136.824614-76.075024</v>
      </c>
      <c r="H277">
        <v>1</v>
      </c>
      <c r="I277">
        <v>-1</v>
      </c>
      <c r="J277" s="30" t="s">
        <v>21</v>
      </c>
      <c r="L277" t="s">
        <v>8</v>
      </c>
      <c r="M277">
        <v>6</v>
      </c>
      <c r="S277" t="str">
        <f t="shared" si="178"/>
        <v>Sand</v>
      </c>
      <c r="T277">
        <f t="shared" si="208"/>
        <v>1</v>
      </c>
      <c r="AA277">
        <v>80</v>
      </c>
      <c r="AB277" s="1">
        <f t="shared" si="217"/>
        <v>8</v>
      </c>
      <c r="AC277">
        <f t="shared" si="218"/>
        <v>14</v>
      </c>
      <c r="AD277" t="str">
        <f t="shared" si="211"/>
        <v/>
      </c>
      <c r="AG277" s="21" t="str">
        <f t="shared" si="186"/>
        <v/>
      </c>
      <c r="AI277" s="6" t="str">
        <f t="shared" si="187"/>
        <v/>
      </c>
      <c r="AM277" s="7" t="str">
        <f t="shared" si="188"/>
        <v/>
      </c>
      <c r="AQ277" s="8" t="str">
        <f t="shared" si="189"/>
        <v/>
      </c>
      <c r="AW277" s="25" t="str">
        <f t="shared" si="190"/>
        <v/>
      </c>
      <c r="AZ277" s="12" t="str">
        <f t="shared" si="191"/>
        <v/>
      </c>
      <c r="BI277" s="17" t="str">
        <f t="shared" si="192"/>
        <v/>
      </c>
      <c r="BM277" t="str">
        <f t="shared" si="193"/>
        <v>SPT Relationship</v>
      </c>
      <c r="BN277">
        <f t="shared" si="179"/>
        <v>113</v>
      </c>
      <c r="BO277" t="str">
        <f t="shared" si="194"/>
        <v>Wolff, 1989</v>
      </c>
      <c r="BP277">
        <f t="shared" si="180"/>
        <v>31</v>
      </c>
      <c r="BQ277" t="str">
        <f t="shared" si="195"/>
        <v/>
      </c>
      <c r="BR277" t="str">
        <f t="shared" si="212"/>
        <v/>
      </c>
      <c r="BS277" t="str">
        <f t="shared" si="196"/>
        <v/>
      </c>
      <c r="BT277" t="str">
        <f t="shared" si="181"/>
        <v/>
      </c>
      <c r="BU277" t="str">
        <f t="shared" si="197"/>
        <v/>
      </c>
      <c r="BV277" t="str">
        <f t="shared" si="213"/>
        <v/>
      </c>
      <c r="BW277" t="str">
        <f t="shared" si="198"/>
        <v/>
      </c>
      <c r="BX277" t="str">
        <f t="shared" si="214"/>
        <v/>
      </c>
      <c r="BY277" t="str">
        <f t="shared" si="199"/>
        <v/>
      </c>
      <c r="BZ277" t="str">
        <f t="shared" si="215"/>
        <v/>
      </c>
      <c r="CA277" t="str">
        <f t="shared" si="200"/>
        <v/>
      </c>
      <c r="CB277" t="str">
        <f t="shared" si="182"/>
        <v/>
      </c>
      <c r="CC277" t="str">
        <f t="shared" si="201"/>
        <v/>
      </c>
      <c r="CD277" t="str">
        <f t="shared" si="183"/>
        <v/>
      </c>
      <c r="CE277" t="str">
        <f t="shared" si="202"/>
        <v>Bowles 5th edition</v>
      </c>
      <c r="CF277">
        <f t="shared" si="184"/>
        <v>147</v>
      </c>
      <c r="CG277" t="str">
        <f t="shared" si="203"/>
        <v/>
      </c>
      <c r="CH277" t="str">
        <f t="shared" si="185"/>
        <v/>
      </c>
      <c r="CI277" t="str">
        <f t="shared" si="204"/>
        <v/>
      </c>
      <c r="CJ277" t="str">
        <f t="shared" si="216"/>
        <v/>
      </c>
    </row>
    <row r="278" spans="2:88" x14ac:dyDescent="0.3">
      <c r="B278" t="str">
        <f t="shared" si="205"/>
        <v>36.824614-76.075024</v>
      </c>
      <c r="C278" s="30" t="s">
        <v>117</v>
      </c>
      <c r="D278">
        <v>36.824613999999997</v>
      </c>
      <c r="E278">
        <v>-76.075023999999999</v>
      </c>
      <c r="F278">
        <v>5</v>
      </c>
      <c r="G278" t="str">
        <f t="shared" si="206"/>
        <v>-1-336.824614-76.075024</v>
      </c>
      <c r="H278">
        <v>-1</v>
      </c>
      <c r="I278">
        <v>-3</v>
      </c>
      <c r="J278" s="30" t="s">
        <v>21</v>
      </c>
      <c r="L278" t="s">
        <v>11</v>
      </c>
      <c r="M278">
        <v>3</v>
      </c>
      <c r="S278" t="str">
        <f t="shared" si="178"/>
        <v>Clay</v>
      </c>
      <c r="T278">
        <f t="shared" si="208"/>
        <v>1</v>
      </c>
      <c r="AA278">
        <v>80</v>
      </c>
      <c r="AB278" s="1">
        <f t="shared" si="217"/>
        <v>4</v>
      </c>
      <c r="AC278">
        <f t="shared" si="218"/>
        <v>6</v>
      </c>
      <c r="AD278" t="str">
        <f t="shared" si="211"/>
        <v/>
      </c>
      <c r="AG278" s="21" t="str">
        <f t="shared" si="186"/>
        <v/>
      </c>
      <c r="AI278" s="6" t="str">
        <f t="shared" si="187"/>
        <v/>
      </c>
      <c r="AM278" s="7" t="str">
        <f t="shared" si="188"/>
        <v/>
      </c>
      <c r="AQ278" s="8" t="str">
        <f t="shared" si="189"/>
        <v/>
      </c>
      <c r="AW278" s="25" t="str">
        <f t="shared" si="190"/>
        <v/>
      </c>
      <c r="AZ278" s="12" t="str">
        <f t="shared" si="191"/>
        <v/>
      </c>
      <c r="BI278" s="17" t="str">
        <f t="shared" si="192"/>
        <v/>
      </c>
      <c r="BM278" t="str">
        <f t="shared" si="193"/>
        <v>SPT Relationship</v>
      </c>
      <c r="BN278">
        <f t="shared" si="179"/>
        <v>105</v>
      </c>
      <c r="BO278" t="str">
        <f t="shared" si="194"/>
        <v>Wolff, 1989</v>
      </c>
      <c r="BP278">
        <f t="shared" si="180"/>
        <v>28</v>
      </c>
      <c r="BQ278" t="str">
        <f t="shared" si="195"/>
        <v/>
      </c>
      <c r="BR278" t="str">
        <f t="shared" si="212"/>
        <v/>
      </c>
      <c r="BS278" t="str">
        <f t="shared" si="196"/>
        <v>Stroud 1974 (K=3.5)</v>
      </c>
      <c r="BT278">
        <f t="shared" si="181"/>
        <v>292</v>
      </c>
      <c r="BU278" t="str">
        <f t="shared" si="197"/>
        <v/>
      </c>
      <c r="BV278" t="str">
        <f t="shared" si="213"/>
        <v/>
      </c>
      <c r="BW278" t="str">
        <f t="shared" si="198"/>
        <v/>
      </c>
      <c r="BX278" t="str">
        <f t="shared" si="214"/>
        <v/>
      </c>
      <c r="BY278" t="str">
        <f t="shared" si="199"/>
        <v/>
      </c>
      <c r="BZ278" t="str">
        <f t="shared" si="215"/>
        <v/>
      </c>
      <c r="CA278" t="str">
        <f t="shared" si="200"/>
        <v/>
      </c>
      <c r="CB278" t="str">
        <f t="shared" si="182"/>
        <v/>
      </c>
      <c r="CC278" t="str">
        <f t="shared" si="201"/>
        <v/>
      </c>
      <c r="CD278" t="str">
        <f t="shared" si="183"/>
        <v/>
      </c>
      <c r="CE278" t="str">
        <f t="shared" si="202"/>
        <v/>
      </c>
      <c r="CF278" t="str">
        <f t="shared" si="184"/>
        <v/>
      </c>
      <c r="CG278" t="str">
        <f t="shared" si="203"/>
        <v/>
      </c>
      <c r="CH278" t="str">
        <f t="shared" si="185"/>
        <v/>
      </c>
      <c r="CI278" t="str">
        <f t="shared" si="204"/>
        <v/>
      </c>
      <c r="CJ278" t="str">
        <f t="shared" si="216"/>
        <v/>
      </c>
    </row>
    <row r="279" spans="2:88" x14ac:dyDescent="0.3">
      <c r="B279" t="str">
        <f t="shared" si="205"/>
        <v>36.824614-76.075024</v>
      </c>
      <c r="C279" s="30" t="s">
        <v>117</v>
      </c>
      <c r="D279">
        <v>36.824613999999997</v>
      </c>
      <c r="E279">
        <v>-76.075023999999999</v>
      </c>
      <c r="F279">
        <v>5</v>
      </c>
      <c r="G279" t="str">
        <f t="shared" si="206"/>
        <v>-3-536.824614-76.075024</v>
      </c>
      <c r="H279">
        <v>-3</v>
      </c>
      <c r="I279">
        <v>-5</v>
      </c>
      <c r="J279" s="30" t="s">
        <v>21</v>
      </c>
      <c r="L279" t="s">
        <v>11</v>
      </c>
      <c r="M279">
        <v>2</v>
      </c>
      <c r="S279" t="str">
        <f t="shared" si="178"/>
        <v>Clay</v>
      </c>
      <c r="T279">
        <f t="shared" si="208"/>
        <v>1</v>
      </c>
      <c r="AA279">
        <v>80</v>
      </c>
      <c r="AB279" s="1">
        <f t="shared" si="217"/>
        <v>3</v>
      </c>
      <c r="AC279">
        <f t="shared" si="218"/>
        <v>4</v>
      </c>
      <c r="AD279" t="str">
        <f t="shared" si="211"/>
        <v/>
      </c>
      <c r="AG279" s="21" t="str">
        <f t="shared" si="186"/>
        <v/>
      </c>
      <c r="AI279" s="6" t="str">
        <f t="shared" si="187"/>
        <v/>
      </c>
      <c r="AM279" s="7" t="str">
        <f t="shared" si="188"/>
        <v/>
      </c>
      <c r="AQ279" s="8" t="str">
        <f t="shared" si="189"/>
        <v/>
      </c>
      <c r="AW279" s="25" t="str">
        <f t="shared" si="190"/>
        <v/>
      </c>
      <c r="AZ279" s="12" t="str">
        <f t="shared" si="191"/>
        <v/>
      </c>
      <c r="BI279" s="17" t="str">
        <f t="shared" si="192"/>
        <v/>
      </c>
      <c r="BM279" t="str">
        <f t="shared" si="193"/>
        <v>SPT Relationship</v>
      </c>
      <c r="BN279">
        <f t="shared" si="179"/>
        <v>101</v>
      </c>
      <c r="BO279" t="str">
        <f t="shared" si="194"/>
        <v>Wolff, 1989</v>
      </c>
      <c r="BP279">
        <f t="shared" si="180"/>
        <v>28</v>
      </c>
      <c r="BQ279" t="str">
        <f t="shared" si="195"/>
        <v/>
      </c>
      <c r="BR279" t="str">
        <f t="shared" si="212"/>
        <v/>
      </c>
      <c r="BS279" t="str">
        <f t="shared" si="196"/>
        <v>Stroud 1974 (K=3.5)</v>
      </c>
      <c r="BT279">
        <f t="shared" si="181"/>
        <v>219</v>
      </c>
      <c r="BU279" t="str">
        <f t="shared" si="197"/>
        <v/>
      </c>
      <c r="BV279" t="str">
        <f t="shared" si="213"/>
        <v/>
      </c>
      <c r="BW279" t="str">
        <f t="shared" si="198"/>
        <v/>
      </c>
      <c r="BX279" t="str">
        <f t="shared" si="214"/>
        <v/>
      </c>
      <c r="BY279" t="str">
        <f t="shared" si="199"/>
        <v/>
      </c>
      <c r="BZ279" t="str">
        <f t="shared" si="215"/>
        <v/>
      </c>
      <c r="CA279" t="str">
        <f t="shared" si="200"/>
        <v/>
      </c>
      <c r="CB279" t="str">
        <f t="shared" si="182"/>
        <v/>
      </c>
      <c r="CC279" t="str">
        <f t="shared" si="201"/>
        <v/>
      </c>
      <c r="CD279" t="str">
        <f t="shared" si="183"/>
        <v/>
      </c>
      <c r="CE279" t="str">
        <f t="shared" si="202"/>
        <v/>
      </c>
      <c r="CF279" t="str">
        <f t="shared" si="184"/>
        <v/>
      </c>
      <c r="CG279" t="str">
        <f t="shared" si="203"/>
        <v/>
      </c>
      <c r="CH279" t="str">
        <f t="shared" si="185"/>
        <v/>
      </c>
      <c r="CI279" t="str">
        <f t="shared" si="204"/>
        <v/>
      </c>
      <c r="CJ279" t="str">
        <f t="shared" si="216"/>
        <v/>
      </c>
    </row>
    <row r="280" spans="2:88" x14ac:dyDescent="0.3">
      <c r="B280" t="str">
        <f t="shared" si="205"/>
        <v>36.824614-76.075024</v>
      </c>
      <c r="C280" s="30" t="s">
        <v>117</v>
      </c>
      <c r="D280">
        <v>36.824613999999997</v>
      </c>
      <c r="E280">
        <v>-76.075023999999999</v>
      </c>
      <c r="F280">
        <v>5</v>
      </c>
      <c r="G280" t="str">
        <f t="shared" si="206"/>
        <v>-5-736.824614-76.075024</v>
      </c>
      <c r="H280">
        <v>-5</v>
      </c>
      <c r="I280">
        <v>-7</v>
      </c>
      <c r="J280" s="30" t="s">
        <v>21</v>
      </c>
      <c r="L280" t="s">
        <v>11</v>
      </c>
      <c r="M280">
        <v>2</v>
      </c>
      <c r="S280" t="str">
        <f t="shared" si="178"/>
        <v>Clay</v>
      </c>
      <c r="T280">
        <f t="shared" si="208"/>
        <v>1</v>
      </c>
      <c r="AA280">
        <v>80</v>
      </c>
      <c r="AB280" s="1">
        <f t="shared" si="217"/>
        <v>3</v>
      </c>
      <c r="AC280">
        <f t="shared" si="218"/>
        <v>3</v>
      </c>
      <c r="AD280" t="str">
        <f t="shared" si="211"/>
        <v/>
      </c>
      <c r="AG280" s="21" t="str">
        <f t="shared" si="186"/>
        <v/>
      </c>
      <c r="AI280" s="6" t="str">
        <f t="shared" si="187"/>
        <v/>
      </c>
      <c r="AM280" s="7" t="str">
        <f t="shared" si="188"/>
        <v/>
      </c>
      <c r="AQ280" s="8" t="str">
        <f t="shared" si="189"/>
        <v/>
      </c>
      <c r="AW280" s="25" t="str">
        <f t="shared" si="190"/>
        <v/>
      </c>
      <c r="AZ280" s="12" t="str">
        <f t="shared" si="191"/>
        <v/>
      </c>
      <c r="BI280" s="17" t="str">
        <f t="shared" si="192"/>
        <v/>
      </c>
      <c r="BM280" t="str">
        <f t="shared" si="193"/>
        <v>SPT Relationship</v>
      </c>
      <c r="BN280">
        <f t="shared" si="179"/>
        <v>101</v>
      </c>
      <c r="BO280" t="str">
        <f t="shared" si="194"/>
        <v>Wolff, 1989</v>
      </c>
      <c r="BP280">
        <f t="shared" si="180"/>
        <v>27</v>
      </c>
      <c r="BQ280" t="str">
        <f t="shared" si="195"/>
        <v/>
      </c>
      <c r="BR280" t="str">
        <f t="shared" si="212"/>
        <v/>
      </c>
      <c r="BS280" t="str">
        <f t="shared" si="196"/>
        <v>Stroud 1974 (K=3.5)</v>
      </c>
      <c r="BT280">
        <f t="shared" si="181"/>
        <v>219</v>
      </c>
      <c r="BU280" t="str">
        <f t="shared" si="197"/>
        <v/>
      </c>
      <c r="BV280" t="str">
        <f t="shared" si="213"/>
        <v/>
      </c>
      <c r="BW280" t="str">
        <f t="shared" si="198"/>
        <v/>
      </c>
      <c r="BX280" t="str">
        <f t="shared" si="214"/>
        <v/>
      </c>
      <c r="BY280" t="str">
        <f t="shared" si="199"/>
        <v/>
      </c>
      <c r="BZ280" t="str">
        <f t="shared" si="215"/>
        <v/>
      </c>
      <c r="CA280" t="str">
        <f t="shared" si="200"/>
        <v/>
      </c>
      <c r="CB280" t="str">
        <f t="shared" si="182"/>
        <v/>
      </c>
      <c r="CC280" t="str">
        <f t="shared" si="201"/>
        <v/>
      </c>
      <c r="CD280" t="str">
        <f t="shared" si="183"/>
        <v/>
      </c>
      <c r="CE280" t="str">
        <f t="shared" si="202"/>
        <v/>
      </c>
      <c r="CF280" t="str">
        <f t="shared" si="184"/>
        <v/>
      </c>
      <c r="CG280" t="str">
        <f t="shared" si="203"/>
        <v/>
      </c>
      <c r="CH280" t="str">
        <f t="shared" si="185"/>
        <v/>
      </c>
      <c r="CI280" t="str">
        <f t="shared" si="204"/>
        <v/>
      </c>
      <c r="CJ280" t="str">
        <f t="shared" si="216"/>
        <v/>
      </c>
    </row>
    <row r="281" spans="2:88" x14ac:dyDescent="0.3">
      <c r="B281" t="str">
        <f t="shared" si="205"/>
        <v>36.824614-76.075024</v>
      </c>
      <c r="C281" s="30" t="s">
        <v>117</v>
      </c>
      <c r="D281">
        <v>36.824613999999997</v>
      </c>
      <c r="E281">
        <v>-76.075023999999999</v>
      </c>
      <c r="F281">
        <v>5</v>
      </c>
      <c r="G281" t="str">
        <f t="shared" si="206"/>
        <v>-8-1036.824614-76.075024</v>
      </c>
      <c r="H281">
        <v>-8</v>
      </c>
      <c r="I281">
        <v>-10</v>
      </c>
      <c r="J281" s="30" t="s">
        <v>21</v>
      </c>
      <c r="L281" t="s">
        <v>113</v>
      </c>
      <c r="M281">
        <v>1</v>
      </c>
      <c r="S281" t="str">
        <f t="shared" si="178"/>
        <v>Clay</v>
      </c>
      <c r="T281">
        <f t="shared" si="208"/>
        <v>1</v>
      </c>
      <c r="AA281">
        <v>80</v>
      </c>
      <c r="AB281" s="1">
        <f t="shared" si="217"/>
        <v>1</v>
      </c>
      <c r="AC281">
        <f t="shared" si="218"/>
        <v>1</v>
      </c>
      <c r="AD281" t="str">
        <f t="shared" si="211"/>
        <v/>
      </c>
      <c r="AG281" s="21" t="str">
        <f t="shared" si="186"/>
        <v/>
      </c>
      <c r="AI281" s="6" t="str">
        <f t="shared" si="187"/>
        <v/>
      </c>
      <c r="AM281" s="7" t="str">
        <f t="shared" si="188"/>
        <v/>
      </c>
      <c r="AQ281" s="8" t="str">
        <f t="shared" si="189"/>
        <v/>
      </c>
      <c r="AW281" s="25" t="str">
        <f t="shared" si="190"/>
        <v/>
      </c>
      <c r="AZ281" s="12" t="str">
        <f t="shared" si="191"/>
        <v/>
      </c>
      <c r="BI281" s="17" t="str">
        <f t="shared" si="192"/>
        <v/>
      </c>
      <c r="BM281" t="str">
        <f t="shared" si="193"/>
        <v>SPT Relationship</v>
      </c>
      <c r="BN281">
        <f t="shared" si="179"/>
        <v>95</v>
      </c>
      <c r="BO281" t="str">
        <f t="shared" si="194"/>
        <v>Wolff, 1989</v>
      </c>
      <c r="BP281">
        <f t="shared" si="180"/>
        <v>27</v>
      </c>
      <c r="BQ281" t="str">
        <f t="shared" si="195"/>
        <v/>
      </c>
      <c r="BR281" t="str">
        <f t="shared" si="212"/>
        <v/>
      </c>
      <c r="BS281" t="str">
        <f t="shared" si="196"/>
        <v>Stroud 1974 (K=3.5)</v>
      </c>
      <c r="BT281">
        <f t="shared" si="181"/>
        <v>73</v>
      </c>
      <c r="BU281" t="str">
        <f t="shared" si="197"/>
        <v/>
      </c>
      <c r="BV281" t="str">
        <f t="shared" si="213"/>
        <v/>
      </c>
      <c r="BW281" t="str">
        <f t="shared" si="198"/>
        <v/>
      </c>
      <c r="BX281" t="str">
        <f t="shared" si="214"/>
        <v/>
      </c>
      <c r="BY281" t="str">
        <f t="shared" si="199"/>
        <v/>
      </c>
      <c r="BZ281" t="str">
        <f t="shared" si="215"/>
        <v/>
      </c>
      <c r="CA281" t="str">
        <f t="shared" si="200"/>
        <v/>
      </c>
      <c r="CB281" t="str">
        <f t="shared" si="182"/>
        <v/>
      </c>
      <c r="CC281" t="str">
        <f t="shared" si="201"/>
        <v/>
      </c>
      <c r="CD281" t="str">
        <f t="shared" si="183"/>
        <v/>
      </c>
      <c r="CE281" t="str">
        <f t="shared" si="202"/>
        <v/>
      </c>
      <c r="CF281" t="str">
        <f t="shared" si="184"/>
        <v/>
      </c>
      <c r="CG281" t="str">
        <f t="shared" si="203"/>
        <v/>
      </c>
      <c r="CH281" t="str">
        <f t="shared" si="185"/>
        <v/>
      </c>
      <c r="CI281" t="str">
        <f t="shared" si="204"/>
        <v/>
      </c>
      <c r="CJ281" t="str">
        <f t="shared" si="216"/>
        <v/>
      </c>
    </row>
    <row r="282" spans="2:88" x14ac:dyDescent="0.3">
      <c r="B282" t="str">
        <f t="shared" si="205"/>
        <v>36.824614-76.075024</v>
      </c>
      <c r="C282" s="30" t="s">
        <v>117</v>
      </c>
      <c r="D282">
        <v>36.824613999999997</v>
      </c>
      <c r="E282">
        <v>-76.075023999999999</v>
      </c>
      <c r="F282">
        <v>5</v>
      </c>
      <c r="G282" t="str">
        <f t="shared" si="206"/>
        <v>-13-1536.824614-76.075024</v>
      </c>
      <c r="H282">
        <v>-13</v>
      </c>
      <c r="I282">
        <v>-15</v>
      </c>
      <c r="J282" s="30" t="s">
        <v>21</v>
      </c>
      <c r="L282" t="s">
        <v>8</v>
      </c>
      <c r="M282">
        <v>6</v>
      </c>
      <c r="S282" t="str">
        <f t="shared" si="178"/>
        <v>Sand</v>
      </c>
      <c r="T282">
        <f t="shared" si="208"/>
        <v>1</v>
      </c>
      <c r="AA282">
        <v>80</v>
      </c>
      <c r="AB282" s="1">
        <f t="shared" si="217"/>
        <v>8</v>
      </c>
      <c r="AC282">
        <f t="shared" si="218"/>
        <v>7</v>
      </c>
      <c r="AD282" t="str">
        <f t="shared" si="211"/>
        <v/>
      </c>
      <c r="AG282" s="21" t="str">
        <f t="shared" si="186"/>
        <v/>
      </c>
      <c r="AI282" s="6" t="str">
        <f t="shared" si="187"/>
        <v/>
      </c>
      <c r="AM282" s="7" t="str">
        <f t="shared" si="188"/>
        <v/>
      </c>
      <c r="AQ282" s="8" t="str">
        <f t="shared" si="189"/>
        <v/>
      </c>
      <c r="AW282" s="25" t="str">
        <f t="shared" si="190"/>
        <v/>
      </c>
      <c r="AZ282" s="12" t="str">
        <f t="shared" si="191"/>
        <v/>
      </c>
      <c r="BI282" s="17" t="str">
        <f t="shared" si="192"/>
        <v/>
      </c>
      <c r="BM282" t="str">
        <f t="shared" si="193"/>
        <v>SPT Relationship</v>
      </c>
      <c r="BN282">
        <f t="shared" si="179"/>
        <v>113</v>
      </c>
      <c r="BO282" t="str">
        <f t="shared" si="194"/>
        <v>Wolff, 1989</v>
      </c>
      <c r="BP282">
        <f t="shared" si="180"/>
        <v>29</v>
      </c>
      <c r="BQ282" t="str">
        <f t="shared" si="195"/>
        <v/>
      </c>
      <c r="BR282" t="str">
        <f t="shared" si="212"/>
        <v/>
      </c>
      <c r="BS282" t="str">
        <f t="shared" si="196"/>
        <v/>
      </c>
      <c r="BT282" t="str">
        <f t="shared" si="181"/>
        <v/>
      </c>
      <c r="BU282" t="str">
        <f t="shared" si="197"/>
        <v/>
      </c>
      <c r="BV282" t="str">
        <f t="shared" si="213"/>
        <v/>
      </c>
      <c r="BW282" t="str">
        <f t="shared" si="198"/>
        <v/>
      </c>
      <c r="BX282" t="str">
        <f t="shared" si="214"/>
        <v/>
      </c>
      <c r="BY282" t="str">
        <f t="shared" si="199"/>
        <v/>
      </c>
      <c r="BZ282" t="str">
        <f t="shared" si="215"/>
        <v/>
      </c>
      <c r="CA282" t="str">
        <f t="shared" si="200"/>
        <v/>
      </c>
      <c r="CB282" t="str">
        <f t="shared" si="182"/>
        <v/>
      </c>
      <c r="CC282" t="str">
        <f t="shared" si="201"/>
        <v/>
      </c>
      <c r="CD282" t="str">
        <f t="shared" si="183"/>
        <v/>
      </c>
      <c r="CE282" t="str">
        <f t="shared" si="202"/>
        <v>Bowles 5th edition</v>
      </c>
      <c r="CF282">
        <f t="shared" si="184"/>
        <v>147</v>
      </c>
      <c r="CG282" t="str">
        <f t="shared" si="203"/>
        <v/>
      </c>
      <c r="CH282" t="str">
        <f t="shared" si="185"/>
        <v/>
      </c>
      <c r="CI282" t="str">
        <f t="shared" si="204"/>
        <v/>
      </c>
      <c r="CJ282" t="str">
        <f t="shared" si="216"/>
        <v/>
      </c>
    </row>
    <row r="283" spans="2:88" x14ac:dyDescent="0.3">
      <c r="B283" t="str">
        <f t="shared" si="205"/>
        <v>36.824614-76.075024</v>
      </c>
      <c r="C283" s="30" t="s">
        <v>117</v>
      </c>
      <c r="D283">
        <v>36.824613999999997</v>
      </c>
      <c r="E283">
        <v>-76.075023999999999</v>
      </c>
      <c r="F283">
        <v>5</v>
      </c>
      <c r="G283" t="str">
        <f t="shared" si="206"/>
        <v>-18-2036.824614-76.075024</v>
      </c>
      <c r="H283">
        <v>-18</v>
      </c>
      <c r="I283">
        <v>-20</v>
      </c>
      <c r="J283" s="30" t="s">
        <v>21</v>
      </c>
      <c r="L283" t="s">
        <v>16</v>
      </c>
      <c r="M283">
        <v>14</v>
      </c>
      <c r="S283" t="str">
        <f t="shared" si="178"/>
        <v>Sand</v>
      </c>
      <c r="T283">
        <f t="shared" si="208"/>
        <v>1</v>
      </c>
      <c r="AA283">
        <v>80</v>
      </c>
      <c r="AB283" s="1">
        <f t="shared" si="217"/>
        <v>19</v>
      </c>
      <c r="AC283">
        <f t="shared" si="218"/>
        <v>16</v>
      </c>
      <c r="AD283" t="str">
        <f t="shared" si="211"/>
        <v/>
      </c>
      <c r="AG283" s="21" t="str">
        <f t="shared" si="186"/>
        <v/>
      </c>
      <c r="AI283" s="6" t="str">
        <f t="shared" si="187"/>
        <v/>
      </c>
      <c r="AM283" s="7" t="str">
        <f t="shared" si="188"/>
        <v/>
      </c>
      <c r="AQ283" s="8" t="str">
        <f t="shared" si="189"/>
        <v/>
      </c>
      <c r="AW283" s="25" t="str">
        <f t="shared" si="190"/>
        <v/>
      </c>
      <c r="AZ283" s="12" t="str">
        <f t="shared" si="191"/>
        <v/>
      </c>
      <c r="BI283" s="17" t="str">
        <f t="shared" si="192"/>
        <v/>
      </c>
      <c r="BM283" t="str">
        <f t="shared" si="193"/>
        <v>SPT Relationship</v>
      </c>
      <c r="BN283">
        <f t="shared" si="179"/>
        <v>122</v>
      </c>
      <c r="BO283" t="str">
        <f t="shared" si="194"/>
        <v>Wolff, 1989</v>
      </c>
      <c r="BP283">
        <f t="shared" si="180"/>
        <v>31</v>
      </c>
      <c r="BQ283" t="str">
        <f t="shared" si="195"/>
        <v/>
      </c>
      <c r="BR283" t="str">
        <f t="shared" si="212"/>
        <v/>
      </c>
      <c r="BS283" t="str">
        <f t="shared" si="196"/>
        <v/>
      </c>
      <c r="BT283" t="str">
        <f t="shared" si="181"/>
        <v/>
      </c>
      <c r="BU283" t="str">
        <f t="shared" si="197"/>
        <v/>
      </c>
      <c r="BV283" t="str">
        <f t="shared" si="213"/>
        <v/>
      </c>
      <c r="BW283" t="str">
        <f t="shared" si="198"/>
        <v/>
      </c>
      <c r="BX283" t="str">
        <f t="shared" si="214"/>
        <v/>
      </c>
      <c r="BY283" t="str">
        <f t="shared" si="199"/>
        <v/>
      </c>
      <c r="BZ283" t="str">
        <f t="shared" si="215"/>
        <v/>
      </c>
      <c r="CA283" t="str">
        <f t="shared" si="200"/>
        <v/>
      </c>
      <c r="CB283" t="str">
        <f t="shared" si="182"/>
        <v/>
      </c>
      <c r="CC283" t="str">
        <f t="shared" si="201"/>
        <v/>
      </c>
      <c r="CD283" t="str">
        <f t="shared" si="183"/>
        <v/>
      </c>
      <c r="CE283" t="str">
        <f t="shared" si="202"/>
        <v>Bowles 5th edition</v>
      </c>
      <c r="CF283">
        <f t="shared" si="184"/>
        <v>218</v>
      </c>
      <c r="CG283" t="str">
        <f t="shared" si="203"/>
        <v/>
      </c>
      <c r="CH283" t="str">
        <f t="shared" si="185"/>
        <v/>
      </c>
      <c r="CI283" t="str">
        <f t="shared" si="204"/>
        <v/>
      </c>
      <c r="CJ283" t="str">
        <f t="shared" si="216"/>
        <v/>
      </c>
    </row>
    <row r="284" spans="2:88" x14ac:dyDescent="0.3">
      <c r="B284" t="str">
        <f t="shared" si="205"/>
        <v>36.824614-76.075024</v>
      </c>
      <c r="C284" s="30" t="s">
        <v>117</v>
      </c>
      <c r="D284">
        <v>36.824613999999997</v>
      </c>
      <c r="E284">
        <v>-76.075023999999999</v>
      </c>
      <c r="F284">
        <v>5</v>
      </c>
      <c r="G284" t="str">
        <f t="shared" si="206"/>
        <v>-23-2536.824614-76.075024</v>
      </c>
      <c r="H284">
        <v>-23</v>
      </c>
      <c r="I284">
        <v>-25</v>
      </c>
      <c r="J284" s="30" t="s">
        <v>21</v>
      </c>
      <c r="L284" t="s">
        <v>16</v>
      </c>
      <c r="M284">
        <v>12</v>
      </c>
      <c r="S284" t="str">
        <f t="shared" si="178"/>
        <v>Sand</v>
      </c>
      <c r="T284">
        <f t="shared" si="208"/>
        <v>1</v>
      </c>
      <c r="AA284">
        <v>80</v>
      </c>
      <c r="AB284" s="1">
        <f t="shared" si="217"/>
        <v>16</v>
      </c>
      <c r="AC284">
        <f t="shared" si="218"/>
        <v>12</v>
      </c>
      <c r="AD284" t="str">
        <f t="shared" si="211"/>
        <v/>
      </c>
      <c r="AG284" s="21" t="str">
        <f t="shared" si="186"/>
        <v/>
      </c>
      <c r="AI284" s="6" t="str">
        <f t="shared" si="187"/>
        <v/>
      </c>
      <c r="AM284" s="7" t="str">
        <f t="shared" si="188"/>
        <v/>
      </c>
      <c r="AQ284" s="8" t="str">
        <f t="shared" si="189"/>
        <v/>
      </c>
      <c r="AW284" s="25" t="str">
        <f t="shared" si="190"/>
        <v/>
      </c>
      <c r="AZ284" s="12" t="str">
        <f t="shared" si="191"/>
        <v/>
      </c>
      <c r="BI284" s="17" t="str">
        <f t="shared" si="192"/>
        <v/>
      </c>
      <c r="BM284" t="str">
        <f t="shared" si="193"/>
        <v>SPT Relationship</v>
      </c>
      <c r="BN284">
        <f t="shared" si="179"/>
        <v>120</v>
      </c>
      <c r="BO284" t="str">
        <f t="shared" si="194"/>
        <v>Wolff, 1989</v>
      </c>
      <c r="BP284">
        <f t="shared" si="180"/>
        <v>30</v>
      </c>
      <c r="BQ284" t="str">
        <f t="shared" si="195"/>
        <v/>
      </c>
      <c r="BR284" t="str">
        <f t="shared" si="212"/>
        <v/>
      </c>
      <c r="BS284" t="str">
        <f t="shared" si="196"/>
        <v/>
      </c>
      <c r="BT284" t="str">
        <f t="shared" si="181"/>
        <v/>
      </c>
      <c r="BU284" t="str">
        <f t="shared" si="197"/>
        <v/>
      </c>
      <c r="BV284" t="str">
        <f t="shared" si="213"/>
        <v/>
      </c>
      <c r="BW284" t="str">
        <f t="shared" si="198"/>
        <v/>
      </c>
      <c r="BX284" t="str">
        <f t="shared" si="214"/>
        <v/>
      </c>
      <c r="BY284" t="str">
        <f t="shared" si="199"/>
        <v/>
      </c>
      <c r="BZ284" t="str">
        <f t="shared" si="215"/>
        <v/>
      </c>
      <c r="CA284" t="str">
        <f t="shared" si="200"/>
        <v/>
      </c>
      <c r="CB284" t="str">
        <f t="shared" si="182"/>
        <v/>
      </c>
      <c r="CC284" t="str">
        <f t="shared" si="201"/>
        <v/>
      </c>
      <c r="CD284" t="str">
        <f t="shared" si="183"/>
        <v/>
      </c>
      <c r="CE284" t="str">
        <f t="shared" si="202"/>
        <v>Bowles 5th edition</v>
      </c>
      <c r="CF284">
        <f t="shared" si="184"/>
        <v>198</v>
      </c>
      <c r="CG284" t="str">
        <f t="shared" si="203"/>
        <v/>
      </c>
      <c r="CH284" t="str">
        <f t="shared" si="185"/>
        <v/>
      </c>
      <c r="CI284" t="str">
        <f t="shared" si="204"/>
        <v/>
      </c>
      <c r="CJ284" t="str">
        <f t="shared" si="216"/>
        <v/>
      </c>
    </row>
    <row r="285" spans="2:88" x14ac:dyDescent="0.3">
      <c r="B285" t="str">
        <f t="shared" si="205"/>
        <v>36.824614-76.075024</v>
      </c>
      <c r="C285" s="30" t="s">
        <v>117</v>
      </c>
      <c r="D285">
        <v>36.824613999999997</v>
      </c>
      <c r="E285">
        <v>-76.075023999999999</v>
      </c>
      <c r="F285">
        <v>5</v>
      </c>
      <c r="G285" t="str">
        <f t="shared" si="206"/>
        <v>-28-3036.824614-76.075024</v>
      </c>
      <c r="H285">
        <v>-28</v>
      </c>
      <c r="I285">
        <v>-30</v>
      </c>
      <c r="J285" s="30" t="s">
        <v>21</v>
      </c>
      <c r="L285" t="s">
        <v>17</v>
      </c>
      <c r="M285">
        <v>4</v>
      </c>
      <c r="S285" t="str">
        <f t="shared" si="178"/>
        <v>Sand</v>
      </c>
      <c r="T285">
        <f t="shared" si="208"/>
        <v>1</v>
      </c>
      <c r="AA285">
        <v>80</v>
      </c>
      <c r="AB285" s="1">
        <f t="shared" si="217"/>
        <v>5</v>
      </c>
      <c r="AC285">
        <f t="shared" si="218"/>
        <v>3</v>
      </c>
      <c r="AD285" t="str">
        <f t="shared" si="211"/>
        <v/>
      </c>
      <c r="AG285" s="21" t="str">
        <f t="shared" si="186"/>
        <v/>
      </c>
      <c r="AI285" s="6" t="str">
        <f t="shared" si="187"/>
        <v/>
      </c>
      <c r="AM285" s="7" t="str">
        <f t="shared" si="188"/>
        <v/>
      </c>
      <c r="AQ285" s="8" t="str">
        <f t="shared" si="189"/>
        <v/>
      </c>
      <c r="AW285" s="25" t="str">
        <f t="shared" si="190"/>
        <v/>
      </c>
      <c r="AZ285" s="12" t="str">
        <f t="shared" si="191"/>
        <v/>
      </c>
      <c r="BI285" s="17" t="str">
        <f t="shared" si="192"/>
        <v/>
      </c>
      <c r="BM285" t="str">
        <f t="shared" si="193"/>
        <v>SPT Relationship</v>
      </c>
      <c r="BN285">
        <f t="shared" si="179"/>
        <v>108</v>
      </c>
      <c r="BO285" t="str">
        <f t="shared" si="194"/>
        <v>Wolff, 1989</v>
      </c>
      <c r="BP285">
        <f t="shared" si="180"/>
        <v>27</v>
      </c>
      <c r="BQ285" t="str">
        <f t="shared" si="195"/>
        <v/>
      </c>
      <c r="BR285" t="str">
        <f t="shared" si="212"/>
        <v/>
      </c>
      <c r="BS285" t="str">
        <f t="shared" si="196"/>
        <v/>
      </c>
      <c r="BT285" t="str">
        <f t="shared" si="181"/>
        <v/>
      </c>
      <c r="BU285" t="str">
        <f t="shared" si="197"/>
        <v/>
      </c>
      <c r="BV285" t="str">
        <f t="shared" si="213"/>
        <v/>
      </c>
      <c r="BW285" t="str">
        <f t="shared" si="198"/>
        <v/>
      </c>
      <c r="BX285" t="str">
        <f t="shared" si="214"/>
        <v/>
      </c>
      <c r="BY285" t="str">
        <f t="shared" si="199"/>
        <v/>
      </c>
      <c r="BZ285" t="str">
        <f t="shared" si="215"/>
        <v/>
      </c>
      <c r="CA285" t="str">
        <f t="shared" si="200"/>
        <v/>
      </c>
      <c r="CB285" t="str">
        <f t="shared" si="182"/>
        <v/>
      </c>
      <c r="CC285" t="str">
        <f t="shared" si="201"/>
        <v/>
      </c>
      <c r="CD285" t="str">
        <f t="shared" si="183"/>
        <v/>
      </c>
      <c r="CE285" t="str">
        <f t="shared" si="202"/>
        <v>Bowles 5th edition</v>
      </c>
      <c r="CF285">
        <f t="shared" si="184"/>
        <v>128</v>
      </c>
      <c r="CG285" t="str">
        <f t="shared" si="203"/>
        <v/>
      </c>
      <c r="CH285" t="str">
        <f t="shared" si="185"/>
        <v/>
      </c>
      <c r="CI285" t="str">
        <f t="shared" si="204"/>
        <v/>
      </c>
      <c r="CJ285" t="str">
        <f t="shared" si="216"/>
        <v/>
      </c>
    </row>
    <row r="286" spans="2:88" x14ac:dyDescent="0.3">
      <c r="B286" t="str">
        <f t="shared" si="205"/>
        <v>36.824614-76.075024</v>
      </c>
      <c r="C286" s="30" t="s">
        <v>117</v>
      </c>
      <c r="D286">
        <v>36.824613999999997</v>
      </c>
      <c r="E286">
        <v>-76.075023999999999</v>
      </c>
      <c r="F286">
        <v>5</v>
      </c>
      <c r="G286" t="str">
        <f t="shared" si="206"/>
        <v>-33-3536.824614-76.075024</v>
      </c>
      <c r="H286">
        <v>-33</v>
      </c>
      <c r="I286">
        <v>-35</v>
      </c>
      <c r="J286" s="30" t="s">
        <v>21</v>
      </c>
      <c r="L286" t="s">
        <v>8</v>
      </c>
      <c r="M286">
        <v>2</v>
      </c>
      <c r="S286" t="str">
        <f t="shared" si="178"/>
        <v>Sand</v>
      </c>
      <c r="T286">
        <f t="shared" si="208"/>
        <v>1</v>
      </c>
      <c r="AA286">
        <v>80</v>
      </c>
      <c r="AB286" s="1">
        <f t="shared" si="217"/>
        <v>3</v>
      </c>
      <c r="AC286">
        <f t="shared" si="218"/>
        <v>2</v>
      </c>
      <c r="AD286" t="str">
        <f t="shared" si="211"/>
        <v/>
      </c>
      <c r="AG286" s="21" t="str">
        <f t="shared" si="186"/>
        <v/>
      </c>
      <c r="AI286" s="6" t="str">
        <f t="shared" si="187"/>
        <v/>
      </c>
      <c r="AM286" s="7" t="str">
        <f t="shared" si="188"/>
        <v/>
      </c>
      <c r="AQ286" s="8" t="str">
        <f t="shared" si="189"/>
        <v/>
      </c>
      <c r="AW286" s="25" t="str">
        <f t="shared" si="190"/>
        <v/>
      </c>
      <c r="AZ286" s="12" t="str">
        <f t="shared" si="191"/>
        <v/>
      </c>
      <c r="BI286" s="17" t="str">
        <f t="shared" si="192"/>
        <v/>
      </c>
      <c r="BM286" t="str">
        <f t="shared" si="193"/>
        <v>SPT Relationship</v>
      </c>
      <c r="BN286">
        <f t="shared" si="179"/>
        <v>101</v>
      </c>
      <c r="BO286" t="str">
        <f t="shared" si="194"/>
        <v>Wolff, 1989</v>
      </c>
      <c r="BP286">
        <f t="shared" si="180"/>
        <v>27</v>
      </c>
      <c r="BQ286" t="str">
        <f t="shared" si="195"/>
        <v/>
      </c>
      <c r="BR286" t="str">
        <f t="shared" si="212"/>
        <v/>
      </c>
      <c r="BS286" t="str">
        <f t="shared" si="196"/>
        <v/>
      </c>
      <c r="BT286" t="str">
        <f t="shared" si="181"/>
        <v/>
      </c>
      <c r="BU286" t="str">
        <f t="shared" si="197"/>
        <v/>
      </c>
      <c r="BV286" t="str">
        <f t="shared" si="213"/>
        <v/>
      </c>
      <c r="BW286" t="str">
        <f t="shared" si="198"/>
        <v/>
      </c>
      <c r="BX286" t="str">
        <f t="shared" si="214"/>
        <v/>
      </c>
      <c r="BY286" t="str">
        <f t="shared" si="199"/>
        <v/>
      </c>
      <c r="BZ286" t="str">
        <f t="shared" si="215"/>
        <v/>
      </c>
      <c r="CA286" t="str">
        <f t="shared" si="200"/>
        <v/>
      </c>
      <c r="CB286" t="str">
        <f t="shared" si="182"/>
        <v/>
      </c>
      <c r="CC286" t="str">
        <f t="shared" si="201"/>
        <v/>
      </c>
      <c r="CD286" t="str">
        <f t="shared" si="183"/>
        <v/>
      </c>
      <c r="CE286" t="str">
        <f t="shared" si="202"/>
        <v>Bowles 5th edition</v>
      </c>
      <c r="CF286">
        <f t="shared" si="184"/>
        <v>115</v>
      </c>
      <c r="CG286" t="str">
        <f t="shared" si="203"/>
        <v/>
      </c>
      <c r="CH286" t="str">
        <f t="shared" si="185"/>
        <v/>
      </c>
      <c r="CI286" t="str">
        <f t="shared" si="204"/>
        <v/>
      </c>
      <c r="CJ286" t="str">
        <f t="shared" si="216"/>
        <v/>
      </c>
    </row>
    <row r="287" spans="2:88" x14ac:dyDescent="0.3">
      <c r="B287" t="str">
        <f t="shared" si="205"/>
        <v>36.824614-76.075024</v>
      </c>
      <c r="C287" s="30" t="s">
        <v>117</v>
      </c>
      <c r="D287">
        <v>36.824613999999997</v>
      </c>
      <c r="E287">
        <v>-76.075023999999999</v>
      </c>
      <c r="F287">
        <v>5</v>
      </c>
      <c r="G287" t="str">
        <f t="shared" si="206"/>
        <v>-38-4036.824614-76.075024</v>
      </c>
      <c r="H287">
        <v>-38</v>
      </c>
      <c r="I287">
        <v>-40</v>
      </c>
      <c r="J287" s="30" t="s">
        <v>21</v>
      </c>
      <c r="L287" t="s">
        <v>17</v>
      </c>
      <c r="M287">
        <v>2</v>
      </c>
      <c r="S287" t="str">
        <f t="shared" si="178"/>
        <v>Sand</v>
      </c>
      <c r="T287">
        <f t="shared" si="208"/>
        <v>1</v>
      </c>
      <c r="AA287">
        <v>80</v>
      </c>
      <c r="AB287" s="1">
        <f t="shared" si="217"/>
        <v>3</v>
      </c>
      <c r="AC287">
        <f t="shared" si="218"/>
        <v>1</v>
      </c>
      <c r="AD287" t="str">
        <f t="shared" si="211"/>
        <v/>
      </c>
      <c r="AG287" s="21" t="str">
        <f t="shared" si="186"/>
        <v/>
      </c>
      <c r="AI287" s="6" t="str">
        <f t="shared" si="187"/>
        <v/>
      </c>
      <c r="AM287" s="7" t="str">
        <f t="shared" si="188"/>
        <v/>
      </c>
      <c r="AQ287" s="8" t="str">
        <f t="shared" si="189"/>
        <v/>
      </c>
      <c r="AW287" s="25" t="str">
        <f t="shared" si="190"/>
        <v/>
      </c>
      <c r="AZ287" s="12" t="str">
        <f t="shared" si="191"/>
        <v/>
      </c>
      <c r="BI287" s="17" t="str">
        <f t="shared" si="192"/>
        <v/>
      </c>
      <c r="BM287" t="str">
        <f t="shared" si="193"/>
        <v>SPT Relationship</v>
      </c>
      <c r="BN287">
        <f t="shared" si="179"/>
        <v>101</v>
      </c>
      <c r="BO287" t="str">
        <f t="shared" si="194"/>
        <v>Wolff, 1989</v>
      </c>
      <c r="BP287">
        <f t="shared" si="180"/>
        <v>27</v>
      </c>
      <c r="BQ287" t="str">
        <f t="shared" si="195"/>
        <v/>
      </c>
      <c r="BR287" t="str">
        <f t="shared" si="212"/>
        <v/>
      </c>
      <c r="BS287" t="str">
        <f t="shared" si="196"/>
        <v/>
      </c>
      <c r="BT287" t="str">
        <f t="shared" si="181"/>
        <v/>
      </c>
      <c r="BU287" t="str">
        <f t="shared" si="197"/>
        <v/>
      </c>
      <c r="BV287" t="str">
        <f t="shared" si="213"/>
        <v/>
      </c>
      <c r="BW287" t="str">
        <f t="shared" si="198"/>
        <v/>
      </c>
      <c r="BX287" t="str">
        <f t="shared" si="214"/>
        <v/>
      </c>
      <c r="BY287" t="str">
        <f t="shared" si="199"/>
        <v/>
      </c>
      <c r="BZ287" t="str">
        <f t="shared" si="215"/>
        <v/>
      </c>
      <c r="CA287" t="str">
        <f t="shared" si="200"/>
        <v/>
      </c>
      <c r="CB287" t="str">
        <f t="shared" si="182"/>
        <v/>
      </c>
      <c r="CC287" t="str">
        <f t="shared" si="201"/>
        <v/>
      </c>
      <c r="CD287" t="str">
        <f t="shared" si="183"/>
        <v/>
      </c>
      <c r="CE287" t="str">
        <f t="shared" si="202"/>
        <v>Bowles 5th edition</v>
      </c>
      <c r="CF287">
        <f t="shared" si="184"/>
        <v>115</v>
      </c>
      <c r="CG287" t="str">
        <f t="shared" si="203"/>
        <v/>
      </c>
      <c r="CH287" t="str">
        <f t="shared" si="185"/>
        <v/>
      </c>
      <c r="CI287" t="str">
        <f t="shared" si="204"/>
        <v/>
      </c>
      <c r="CJ287" t="str">
        <f t="shared" si="216"/>
        <v/>
      </c>
    </row>
    <row r="288" spans="2:88" x14ac:dyDescent="0.3">
      <c r="B288" t="str">
        <f t="shared" si="205"/>
        <v>36.824614-76.075024</v>
      </c>
      <c r="C288" s="30" t="s">
        <v>117</v>
      </c>
      <c r="D288">
        <v>36.824613999999997</v>
      </c>
      <c r="E288">
        <v>-76.075023999999999</v>
      </c>
      <c r="F288">
        <v>5</v>
      </c>
      <c r="G288" t="str">
        <f t="shared" si="206"/>
        <v>-43-4536.824614-76.075024</v>
      </c>
      <c r="H288">
        <v>-43</v>
      </c>
      <c r="I288">
        <v>-45</v>
      </c>
      <c r="J288" s="30" t="s">
        <v>21</v>
      </c>
      <c r="L288" t="s">
        <v>17</v>
      </c>
      <c r="M288">
        <v>1</v>
      </c>
      <c r="S288" t="str">
        <f t="shared" si="178"/>
        <v>Sand</v>
      </c>
      <c r="T288">
        <f t="shared" si="208"/>
        <v>1</v>
      </c>
      <c r="AA288">
        <v>80</v>
      </c>
      <c r="AB288" s="1">
        <f t="shared" si="217"/>
        <v>1</v>
      </c>
      <c r="AC288">
        <f t="shared" si="218"/>
        <v>0</v>
      </c>
      <c r="AD288" t="str">
        <f t="shared" si="211"/>
        <v/>
      </c>
      <c r="AG288" s="21" t="str">
        <f t="shared" si="186"/>
        <v/>
      </c>
      <c r="AI288" s="6" t="str">
        <f t="shared" si="187"/>
        <v/>
      </c>
      <c r="AM288" s="7" t="str">
        <f t="shared" si="188"/>
        <v/>
      </c>
      <c r="AQ288" s="8" t="str">
        <f t="shared" si="189"/>
        <v/>
      </c>
      <c r="AW288" s="25" t="str">
        <f t="shared" si="190"/>
        <v/>
      </c>
      <c r="AZ288" s="12" t="str">
        <f t="shared" si="191"/>
        <v/>
      </c>
      <c r="BI288" s="17" t="str">
        <f t="shared" si="192"/>
        <v/>
      </c>
      <c r="BM288" t="str">
        <f t="shared" si="193"/>
        <v>SPT Relationship</v>
      </c>
      <c r="BN288">
        <f t="shared" si="179"/>
        <v>95</v>
      </c>
      <c r="BO288" t="str">
        <f t="shared" si="194"/>
        <v>Wolff, 1989</v>
      </c>
      <c r="BP288">
        <f t="shared" si="180"/>
        <v>27</v>
      </c>
      <c r="BQ288" t="str">
        <f t="shared" si="195"/>
        <v/>
      </c>
      <c r="BR288" t="str">
        <f t="shared" si="212"/>
        <v/>
      </c>
      <c r="BS288" t="str">
        <f t="shared" si="196"/>
        <v/>
      </c>
      <c r="BT288" t="str">
        <f t="shared" si="181"/>
        <v/>
      </c>
      <c r="BU288" t="str">
        <f t="shared" si="197"/>
        <v/>
      </c>
      <c r="BV288" t="str">
        <f t="shared" si="213"/>
        <v/>
      </c>
      <c r="BW288" t="str">
        <f t="shared" si="198"/>
        <v/>
      </c>
      <c r="BX288" t="str">
        <f t="shared" si="214"/>
        <v/>
      </c>
      <c r="BY288" t="str">
        <f t="shared" si="199"/>
        <v/>
      </c>
      <c r="BZ288" t="str">
        <f t="shared" si="215"/>
        <v/>
      </c>
      <c r="CA288" t="str">
        <f t="shared" si="200"/>
        <v/>
      </c>
      <c r="CB288" t="str">
        <f t="shared" si="182"/>
        <v/>
      </c>
      <c r="CC288" t="str">
        <f t="shared" si="201"/>
        <v/>
      </c>
      <c r="CD288" t="str">
        <f t="shared" si="183"/>
        <v/>
      </c>
      <c r="CE288" t="str">
        <f t="shared" si="202"/>
        <v>Bowles 5th edition</v>
      </c>
      <c r="CF288">
        <f t="shared" si="184"/>
        <v>102</v>
      </c>
      <c r="CG288" t="str">
        <f t="shared" si="203"/>
        <v/>
      </c>
      <c r="CH288" t="str">
        <f t="shared" si="185"/>
        <v/>
      </c>
      <c r="CI288" t="str">
        <f t="shared" si="204"/>
        <v/>
      </c>
      <c r="CJ288" t="str">
        <f t="shared" si="216"/>
        <v/>
      </c>
    </row>
    <row r="289" spans="2:88" x14ac:dyDescent="0.3">
      <c r="B289" t="str">
        <f t="shared" si="205"/>
        <v>36.824614-76.075024</v>
      </c>
      <c r="C289" s="30" t="s">
        <v>117</v>
      </c>
      <c r="D289">
        <v>36.824613999999997</v>
      </c>
      <c r="E289">
        <v>-76.075023999999999</v>
      </c>
      <c r="F289">
        <v>5</v>
      </c>
      <c r="G289" t="str">
        <f t="shared" si="206"/>
        <v>-48-5036.824614-76.075024</v>
      </c>
      <c r="H289">
        <v>-48</v>
      </c>
      <c r="I289">
        <v>-50</v>
      </c>
      <c r="J289" s="30" t="s">
        <v>21</v>
      </c>
      <c r="L289" t="s">
        <v>113</v>
      </c>
      <c r="M289">
        <v>2</v>
      </c>
      <c r="S289" t="str">
        <f t="shared" si="178"/>
        <v>Clay</v>
      </c>
      <c r="T289">
        <f t="shared" si="208"/>
        <v>1</v>
      </c>
      <c r="AA289">
        <v>80</v>
      </c>
      <c r="AB289" s="1">
        <f t="shared" si="217"/>
        <v>3</v>
      </c>
      <c r="AC289">
        <f t="shared" si="218"/>
        <v>1</v>
      </c>
      <c r="AD289" t="str">
        <f t="shared" si="211"/>
        <v/>
      </c>
      <c r="AG289" s="21" t="str">
        <f t="shared" si="186"/>
        <v/>
      </c>
      <c r="AI289" s="6" t="str">
        <f t="shared" si="187"/>
        <v/>
      </c>
      <c r="AM289" s="7" t="str">
        <f t="shared" si="188"/>
        <v/>
      </c>
      <c r="AQ289" s="8" t="str">
        <f t="shared" si="189"/>
        <v/>
      </c>
      <c r="AW289" s="25" t="str">
        <f t="shared" si="190"/>
        <v/>
      </c>
      <c r="AZ289" s="12" t="str">
        <f t="shared" si="191"/>
        <v/>
      </c>
      <c r="BI289" s="17" t="str">
        <f t="shared" si="192"/>
        <v/>
      </c>
      <c r="BM289" t="str">
        <f t="shared" si="193"/>
        <v>SPT Relationship</v>
      </c>
      <c r="BN289">
        <f t="shared" si="179"/>
        <v>101</v>
      </c>
      <c r="BO289" t="str">
        <f t="shared" si="194"/>
        <v>Wolff, 1989</v>
      </c>
      <c r="BP289">
        <f t="shared" si="180"/>
        <v>27</v>
      </c>
      <c r="BQ289" t="str">
        <f t="shared" si="195"/>
        <v/>
      </c>
      <c r="BR289" t="str">
        <f t="shared" si="212"/>
        <v/>
      </c>
      <c r="BS289" t="str">
        <f t="shared" si="196"/>
        <v>Stroud 1974 (K=3.5)</v>
      </c>
      <c r="BT289">
        <f t="shared" si="181"/>
        <v>219</v>
      </c>
      <c r="BU289" t="str">
        <f t="shared" si="197"/>
        <v/>
      </c>
      <c r="BV289" t="str">
        <f t="shared" si="213"/>
        <v/>
      </c>
      <c r="BW289" t="str">
        <f t="shared" si="198"/>
        <v/>
      </c>
      <c r="BX289" t="str">
        <f t="shared" si="214"/>
        <v/>
      </c>
      <c r="BY289" t="str">
        <f t="shared" si="199"/>
        <v/>
      </c>
      <c r="BZ289" t="str">
        <f t="shared" si="215"/>
        <v/>
      </c>
      <c r="CA289" t="str">
        <f t="shared" si="200"/>
        <v/>
      </c>
      <c r="CB289" t="str">
        <f t="shared" si="182"/>
        <v/>
      </c>
      <c r="CC289" t="str">
        <f t="shared" si="201"/>
        <v/>
      </c>
      <c r="CD289" t="str">
        <f t="shared" si="183"/>
        <v/>
      </c>
      <c r="CE289" t="str">
        <f t="shared" si="202"/>
        <v/>
      </c>
      <c r="CF289" t="str">
        <f t="shared" si="184"/>
        <v/>
      </c>
      <c r="CG289" t="str">
        <f t="shared" si="203"/>
        <v/>
      </c>
      <c r="CH289" t="str">
        <f t="shared" si="185"/>
        <v/>
      </c>
      <c r="CI289" t="str">
        <f t="shared" si="204"/>
        <v/>
      </c>
      <c r="CJ289" t="str">
        <f t="shared" si="216"/>
        <v/>
      </c>
    </row>
    <row r="290" spans="2:88" x14ac:dyDescent="0.3">
      <c r="B290" t="str">
        <f t="shared" si="205"/>
        <v>36.824614-76.075024</v>
      </c>
      <c r="C290" s="30" t="s">
        <v>117</v>
      </c>
      <c r="D290">
        <v>36.824613999999997</v>
      </c>
      <c r="E290">
        <v>-76.075023999999999</v>
      </c>
      <c r="F290">
        <v>5</v>
      </c>
      <c r="G290" t="str">
        <f t="shared" si="206"/>
        <v>-53-5536.824614-76.075024</v>
      </c>
      <c r="H290">
        <v>-53</v>
      </c>
      <c r="I290">
        <v>-55</v>
      </c>
      <c r="J290" s="30" t="s">
        <v>21</v>
      </c>
      <c r="L290" t="s">
        <v>113</v>
      </c>
      <c r="M290">
        <v>2</v>
      </c>
      <c r="S290" t="str">
        <f t="shared" si="178"/>
        <v>Clay</v>
      </c>
      <c r="T290">
        <f t="shared" si="208"/>
        <v>1</v>
      </c>
      <c r="AA290">
        <v>80</v>
      </c>
      <c r="AB290" s="1">
        <f t="shared" si="217"/>
        <v>3</v>
      </c>
      <c r="AC290">
        <f t="shared" si="218"/>
        <v>1</v>
      </c>
      <c r="AD290" t="str">
        <f t="shared" si="211"/>
        <v/>
      </c>
      <c r="AG290" s="21" t="str">
        <f t="shared" si="186"/>
        <v/>
      </c>
      <c r="AI290" s="6" t="str">
        <f t="shared" si="187"/>
        <v/>
      </c>
      <c r="AM290" s="7" t="str">
        <f t="shared" si="188"/>
        <v/>
      </c>
      <c r="AQ290" s="8" t="str">
        <f t="shared" si="189"/>
        <v/>
      </c>
      <c r="AW290" s="25" t="str">
        <f t="shared" si="190"/>
        <v/>
      </c>
      <c r="AZ290" s="12" t="str">
        <f t="shared" si="191"/>
        <v/>
      </c>
      <c r="BI290" s="17" t="str">
        <f t="shared" si="192"/>
        <v/>
      </c>
      <c r="BM290" t="str">
        <f t="shared" si="193"/>
        <v>SPT Relationship</v>
      </c>
      <c r="BN290">
        <f t="shared" si="179"/>
        <v>101</v>
      </c>
      <c r="BO290" t="str">
        <f t="shared" si="194"/>
        <v>Wolff, 1989</v>
      </c>
      <c r="BP290">
        <f t="shared" si="180"/>
        <v>27</v>
      </c>
      <c r="BQ290" t="str">
        <f t="shared" si="195"/>
        <v/>
      </c>
      <c r="BR290" t="str">
        <f t="shared" si="212"/>
        <v/>
      </c>
      <c r="BS290" t="str">
        <f t="shared" si="196"/>
        <v>Stroud 1974 (K=3.5)</v>
      </c>
      <c r="BT290">
        <f t="shared" si="181"/>
        <v>219</v>
      </c>
      <c r="BU290" t="str">
        <f t="shared" si="197"/>
        <v/>
      </c>
      <c r="BV290" t="str">
        <f t="shared" si="213"/>
        <v/>
      </c>
      <c r="BW290" t="str">
        <f t="shared" si="198"/>
        <v/>
      </c>
      <c r="BX290" t="str">
        <f t="shared" si="214"/>
        <v/>
      </c>
      <c r="BY290" t="str">
        <f t="shared" si="199"/>
        <v/>
      </c>
      <c r="BZ290" t="str">
        <f t="shared" si="215"/>
        <v/>
      </c>
      <c r="CA290" t="str">
        <f t="shared" si="200"/>
        <v/>
      </c>
      <c r="CB290" t="str">
        <f t="shared" si="182"/>
        <v/>
      </c>
      <c r="CC290" t="str">
        <f t="shared" si="201"/>
        <v/>
      </c>
      <c r="CD290" t="str">
        <f t="shared" si="183"/>
        <v/>
      </c>
      <c r="CE290" t="str">
        <f t="shared" si="202"/>
        <v/>
      </c>
      <c r="CF290" t="str">
        <f t="shared" si="184"/>
        <v/>
      </c>
      <c r="CG290" t="str">
        <f t="shared" si="203"/>
        <v/>
      </c>
      <c r="CH290" t="str">
        <f t="shared" si="185"/>
        <v/>
      </c>
      <c r="CI290" t="str">
        <f t="shared" si="204"/>
        <v/>
      </c>
      <c r="CJ290" t="str">
        <f t="shared" si="216"/>
        <v/>
      </c>
    </row>
    <row r="291" spans="2:88" x14ac:dyDescent="0.3">
      <c r="B291" t="str">
        <f t="shared" si="205"/>
        <v>36.824614-76.075024</v>
      </c>
      <c r="C291" s="30" t="s">
        <v>117</v>
      </c>
      <c r="D291">
        <v>36.824613999999997</v>
      </c>
      <c r="E291">
        <v>-76.075023999999999</v>
      </c>
      <c r="F291">
        <v>5</v>
      </c>
      <c r="G291" t="str">
        <f t="shared" si="206"/>
        <v>-55-5736.824614-76.075024</v>
      </c>
      <c r="H291">
        <v>-55</v>
      </c>
      <c r="I291">
        <v>-57</v>
      </c>
      <c r="J291" s="30" t="s">
        <v>49</v>
      </c>
      <c r="L291" t="s">
        <v>113</v>
      </c>
      <c r="M291" t="s">
        <v>148</v>
      </c>
      <c r="S291" t="str">
        <f t="shared" si="178"/>
        <v>Clay</v>
      </c>
      <c r="T291">
        <f t="shared" si="208"/>
        <v>1</v>
      </c>
      <c r="AA291">
        <v>80</v>
      </c>
      <c r="AB291" s="1" t="str">
        <f t="shared" si="217"/>
        <v/>
      </c>
      <c r="AC291" t="str">
        <f t="shared" si="218"/>
        <v/>
      </c>
      <c r="AD291" t="str">
        <f t="shared" si="211"/>
        <v/>
      </c>
      <c r="AG291" s="21" t="str">
        <f t="shared" si="186"/>
        <v/>
      </c>
      <c r="AI291" s="6" t="str">
        <f t="shared" si="187"/>
        <v/>
      </c>
      <c r="AM291" s="7" t="str">
        <f t="shared" si="188"/>
        <v/>
      </c>
      <c r="AQ291" s="8" t="str">
        <f t="shared" si="189"/>
        <v/>
      </c>
      <c r="AW291" s="25" t="str">
        <f t="shared" si="190"/>
        <v/>
      </c>
      <c r="AZ291" s="12" t="str">
        <f t="shared" si="191"/>
        <v/>
      </c>
      <c r="BI291" s="17" t="str">
        <f t="shared" si="192"/>
        <v/>
      </c>
      <c r="BM291" t="str">
        <f t="shared" si="193"/>
        <v/>
      </c>
      <c r="BN291" t="str">
        <f t="shared" si="179"/>
        <v/>
      </c>
      <c r="BO291" t="str">
        <f t="shared" si="194"/>
        <v/>
      </c>
      <c r="BP291" t="str">
        <f>IFERROR(ROUNDDOWN(27.1+0.3*AC291-0.00054*AC291^2,0),"")</f>
        <v/>
      </c>
      <c r="BQ291" t="str">
        <f t="shared" si="195"/>
        <v/>
      </c>
      <c r="BR291" t="str">
        <f t="shared" si="212"/>
        <v/>
      </c>
      <c r="BS291" t="str">
        <f t="shared" si="196"/>
        <v/>
      </c>
      <c r="BT291" t="str">
        <f>IFERROR(IF(S291="Clay",ROUND((3.5*AB291)*20.885434273039,0),""),"")</f>
        <v/>
      </c>
      <c r="BU291" t="str">
        <f t="shared" si="197"/>
        <v/>
      </c>
      <c r="BV291" t="str">
        <f t="shared" si="213"/>
        <v/>
      </c>
      <c r="BW291" t="str">
        <f t="shared" si="198"/>
        <v/>
      </c>
      <c r="BX291" t="str">
        <f t="shared" si="214"/>
        <v/>
      </c>
      <c r="BY291" t="str">
        <f t="shared" si="199"/>
        <v/>
      </c>
      <c r="BZ291" t="str">
        <f t="shared" si="215"/>
        <v/>
      </c>
      <c r="CA291" t="str">
        <f t="shared" si="200"/>
        <v/>
      </c>
      <c r="CB291" t="str">
        <f t="shared" si="182"/>
        <v/>
      </c>
      <c r="CC291" t="str">
        <f t="shared" si="201"/>
        <v/>
      </c>
      <c r="CD291" t="str">
        <f t="shared" si="183"/>
        <v/>
      </c>
      <c r="CE291" t="str">
        <f t="shared" si="202"/>
        <v/>
      </c>
      <c r="CF291" t="str">
        <f t="shared" si="184"/>
        <v/>
      </c>
      <c r="CG291" t="str">
        <f t="shared" si="203"/>
        <v/>
      </c>
      <c r="CH291" t="str">
        <f t="shared" si="185"/>
        <v/>
      </c>
      <c r="CI291" t="str">
        <f t="shared" si="204"/>
        <v/>
      </c>
      <c r="CJ291" t="str">
        <f t="shared" si="216"/>
        <v/>
      </c>
    </row>
    <row r="292" spans="2:88" x14ac:dyDescent="0.3">
      <c r="B292" t="str">
        <f t="shared" si="205"/>
        <v>36.824614-76.075024</v>
      </c>
      <c r="C292" s="30" t="s">
        <v>117</v>
      </c>
      <c r="D292">
        <v>36.824613999999997</v>
      </c>
      <c r="E292">
        <v>-76.075023999999999</v>
      </c>
      <c r="F292">
        <v>5</v>
      </c>
      <c r="G292" t="str">
        <f t="shared" si="206"/>
        <v>-57-5936.824614-76.075024</v>
      </c>
      <c r="H292">
        <v>-57</v>
      </c>
      <c r="I292">
        <v>-59</v>
      </c>
      <c r="J292" s="30" t="s">
        <v>21</v>
      </c>
      <c r="L292" t="s">
        <v>17</v>
      </c>
      <c r="M292">
        <v>1</v>
      </c>
      <c r="S292" t="str">
        <f t="shared" si="178"/>
        <v>Sand</v>
      </c>
      <c r="T292">
        <f t="shared" si="208"/>
        <v>1</v>
      </c>
      <c r="AA292">
        <v>80</v>
      </c>
      <c r="AB292" s="1">
        <f t="shared" si="217"/>
        <v>1</v>
      </c>
      <c r="AC292">
        <f t="shared" si="218"/>
        <v>0</v>
      </c>
      <c r="AD292" t="str">
        <f t="shared" si="211"/>
        <v/>
      </c>
      <c r="AG292" s="21" t="str">
        <f t="shared" si="186"/>
        <v/>
      </c>
      <c r="AI292" s="6" t="str">
        <f t="shared" si="187"/>
        <v/>
      </c>
      <c r="AM292" s="7" t="str">
        <f t="shared" si="188"/>
        <v/>
      </c>
      <c r="AQ292" s="8" t="str">
        <f t="shared" si="189"/>
        <v/>
      </c>
      <c r="AW292" s="25" t="str">
        <f t="shared" si="190"/>
        <v/>
      </c>
      <c r="AZ292" s="12" t="str">
        <f t="shared" si="191"/>
        <v/>
      </c>
      <c r="BI292" s="17" t="str">
        <f t="shared" si="192"/>
        <v/>
      </c>
      <c r="BM292" t="str">
        <f t="shared" si="193"/>
        <v>SPT Relationship</v>
      </c>
      <c r="BN292">
        <f t="shared" si="179"/>
        <v>95</v>
      </c>
      <c r="BO292" t="str">
        <f t="shared" si="194"/>
        <v>Wolff, 1989</v>
      </c>
      <c r="BP292">
        <f t="shared" ref="BP292:BP355" si="219">IFERROR(ROUNDDOWN(27.1+0.3*AC292-0.00054*AC292^2,0),"")</f>
        <v>27</v>
      </c>
      <c r="BQ292" t="str">
        <f t="shared" si="195"/>
        <v/>
      </c>
      <c r="BR292" t="str">
        <f t="shared" si="212"/>
        <v/>
      </c>
      <c r="BS292" t="str">
        <f t="shared" si="196"/>
        <v/>
      </c>
      <c r="BT292" t="str">
        <f t="shared" ref="BT292:BT355" si="220">IFERROR(IF(S292="Clay",ROUND((3.5*AB292)*20.885434273039,0),""),"")</f>
        <v/>
      </c>
      <c r="BU292" t="str">
        <f t="shared" si="197"/>
        <v/>
      </c>
      <c r="BV292" t="str">
        <f t="shared" si="213"/>
        <v/>
      </c>
      <c r="BW292" t="str">
        <f t="shared" si="198"/>
        <v/>
      </c>
      <c r="BX292" t="str">
        <f t="shared" si="214"/>
        <v/>
      </c>
      <c r="BY292" t="str">
        <f t="shared" si="199"/>
        <v/>
      </c>
      <c r="BZ292" t="str">
        <f t="shared" si="215"/>
        <v/>
      </c>
      <c r="CA292" t="str">
        <f t="shared" si="200"/>
        <v/>
      </c>
      <c r="CB292" t="str">
        <f t="shared" si="182"/>
        <v/>
      </c>
      <c r="CC292" t="str">
        <f t="shared" si="201"/>
        <v/>
      </c>
      <c r="CD292" t="str">
        <f t="shared" si="183"/>
        <v/>
      </c>
      <c r="CE292" t="str">
        <f t="shared" si="202"/>
        <v>Bowles 5th edition</v>
      </c>
      <c r="CF292">
        <f t="shared" si="184"/>
        <v>102</v>
      </c>
      <c r="CG292" t="str">
        <f t="shared" si="203"/>
        <v/>
      </c>
      <c r="CH292" t="str">
        <f t="shared" si="185"/>
        <v/>
      </c>
      <c r="CI292" t="str">
        <f t="shared" si="204"/>
        <v/>
      </c>
      <c r="CJ292" t="str">
        <f t="shared" si="216"/>
        <v/>
      </c>
    </row>
    <row r="293" spans="2:88" x14ac:dyDescent="0.3">
      <c r="B293" t="str">
        <f t="shared" si="205"/>
        <v>36.824614-76.075024</v>
      </c>
      <c r="C293" s="30" t="s">
        <v>117</v>
      </c>
      <c r="D293">
        <v>36.824613999999997</v>
      </c>
      <c r="E293">
        <v>-76.075023999999999</v>
      </c>
      <c r="F293">
        <v>5</v>
      </c>
      <c r="G293" t="str">
        <f t="shared" si="206"/>
        <v>-63-6536.824614-76.075024</v>
      </c>
      <c r="H293">
        <v>-63</v>
      </c>
      <c r="I293">
        <v>-65</v>
      </c>
      <c r="J293" s="30" t="s">
        <v>21</v>
      </c>
      <c r="L293" t="s">
        <v>17</v>
      </c>
      <c r="M293">
        <v>3</v>
      </c>
      <c r="S293" t="str">
        <f t="shared" si="178"/>
        <v>Sand</v>
      </c>
      <c r="T293">
        <f t="shared" si="208"/>
        <v>1</v>
      </c>
      <c r="AA293">
        <v>80</v>
      </c>
      <c r="AB293" s="1">
        <f t="shared" si="217"/>
        <v>4</v>
      </c>
      <c r="AC293">
        <f t="shared" si="218"/>
        <v>2</v>
      </c>
      <c r="AD293" t="str">
        <f t="shared" si="211"/>
        <v/>
      </c>
      <c r="AG293" s="21" t="str">
        <f t="shared" si="186"/>
        <v/>
      </c>
      <c r="AI293" s="6" t="str">
        <f t="shared" si="187"/>
        <v/>
      </c>
      <c r="AM293" s="7" t="str">
        <f t="shared" si="188"/>
        <v/>
      </c>
      <c r="AQ293" s="8" t="str">
        <f t="shared" si="189"/>
        <v/>
      </c>
      <c r="AW293" s="25" t="str">
        <f t="shared" si="190"/>
        <v/>
      </c>
      <c r="AZ293" s="12" t="str">
        <f t="shared" si="191"/>
        <v/>
      </c>
      <c r="BI293" s="17" t="str">
        <f t="shared" si="192"/>
        <v/>
      </c>
      <c r="BM293" t="str">
        <f t="shared" si="193"/>
        <v>SPT Relationship</v>
      </c>
      <c r="BN293">
        <f t="shared" si="179"/>
        <v>105</v>
      </c>
      <c r="BO293" t="str">
        <f t="shared" si="194"/>
        <v>Wolff, 1989</v>
      </c>
      <c r="BP293">
        <f t="shared" si="219"/>
        <v>27</v>
      </c>
      <c r="BQ293" t="str">
        <f t="shared" si="195"/>
        <v/>
      </c>
      <c r="BR293" t="str">
        <f t="shared" si="212"/>
        <v/>
      </c>
      <c r="BS293" t="str">
        <f t="shared" si="196"/>
        <v/>
      </c>
      <c r="BT293" t="str">
        <f t="shared" si="220"/>
        <v/>
      </c>
      <c r="BU293" t="str">
        <f t="shared" si="197"/>
        <v/>
      </c>
      <c r="BV293" t="str">
        <f t="shared" si="213"/>
        <v/>
      </c>
      <c r="BW293" t="str">
        <f t="shared" si="198"/>
        <v/>
      </c>
      <c r="BX293" t="str">
        <f t="shared" si="214"/>
        <v/>
      </c>
      <c r="BY293" t="str">
        <f t="shared" si="199"/>
        <v/>
      </c>
      <c r="BZ293" t="str">
        <f t="shared" si="215"/>
        <v/>
      </c>
      <c r="CA293" t="str">
        <f t="shared" si="200"/>
        <v/>
      </c>
      <c r="CB293" t="str">
        <f t="shared" si="182"/>
        <v/>
      </c>
      <c r="CC293" t="str">
        <f t="shared" si="201"/>
        <v/>
      </c>
      <c r="CD293" t="str">
        <f t="shared" si="183"/>
        <v/>
      </c>
      <c r="CE293" t="str">
        <f t="shared" si="202"/>
        <v>Bowles 5th edition</v>
      </c>
      <c r="CF293">
        <f t="shared" si="184"/>
        <v>122</v>
      </c>
      <c r="CG293" t="str">
        <f t="shared" si="203"/>
        <v/>
      </c>
      <c r="CH293" t="str">
        <f t="shared" si="185"/>
        <v/>
      </c>
      <c r="CI293" t="str">
        <f t="shared" si="204"/>
        <v/>
      </c>
      <c r="CJ293" t="str">
        <f t="shared" si="216"/>
        <v/>
      </c>
    </row>
    <row r="294" spans="2:88" x14ac:dyDescent="0.3">
      <c r="B294" t="str">
        <f t="shared" si="205"/>
        <v>36.824614-76.075024</v>
      </c>
      <c r="C294" s="30" t="s">
        <v>117</v>
      </c>
      <c r="D294">
        <v>36.824613999999997</v>
      </c>
      <c r="E294">
        <v>-76.075023999999999</v>
      </c>
      <c r="F294">
        <v>5</v>
      </c>
      <c r="G294" t="str">
        <f t="shared" si="206"/>
        <v>-68-7036.824614-76.075024</v>
      </c>
      <c r="H294">
        <v>-68</v>
      </c>
      <c r="I294">
        <v>-70</v>
      </c>
      <c r="J294" s="30" t="s">
        <v>21</v>
      </c>
      <c r="L294" t="s">
        <v>17</v>
      </c>
      <c r="M294">
        <v>2</v>
      </c>
      <c r="S294" t="str">
        <f t="shared" si="178"/>
        <v>Sand</v>
      </c>
      <c r="T294">
        <f t="shared" si="208"/>
        <v>1</v>
      </c>
      <c r="AA294">
        <v>80</v>
      </c>
      <c r="AB294" s="1">
        <f t="shared" si="217"/>
        <v>3</v>
      </c>
      <c r="AC294">
        <f t="shared" si="218"/>
        <v>1</v>
      </c>
      <c r="AD294" t="str">
        <f t="shared" si="211"/>
        <v/>
      </c>
      <c r="AG294" s="21" t="str">
        <f t="shared" si="186"/>
        <v/>
      </c>
      <c r="AI294" s="6" t="str">
        <f t="shared" si="187"/>
        <v/>
      </c>
      <c r="AM294" s="7" t="str">
        <f t="shared" si="188"/>
        <v/>
      </c>
      <c r="AQ294" s="8" t="str">
        <f t="shared" si="189"/>
        <v/>
      </c>
      <c r="AW294" s="25" t="str">
        <f t="shared" si="190"/>
        <v/>
      </c>
      <c r="AZ294" s="12" t="str">
        <f t="shared" si="191"/>
        <v/>
      </c>
      <c r="BI294" s="17" t="str">
        <f t="shared" si="192"/>
        <v/>
      </c>
      <c r="BM294" t="str">
        <f t="shared" si="193"/>
        <v>SPT Relationship</v>
      </c>
      <c r="BN294">
        <f t="shared" si="179"/>
        <v>101</v>
      </c>
      <c r="BO294" t="str">
        <f t="shared" si="194"/>
        <v>Wolff, 1989</v>
      </c>
      <c r="BP294">
        <f t="shared" si="219"/>
        <v>27</v>
      </c>
      <c r="BQ294" t="str">
        <f t="shared" si="195"/>
        <v/>
      </c>
      <c r="BR294" t="str">
        <f t="shared" si="212"/>
        <v/>
      </c>
      <c r="BS294" t="str">
        <f t="shared" si="196"/>
        <v/>
      </c>
      <c r="BT294" t="str">
        <f t="shared" si="220"/>
        <v/>
      </c>
      <c r="BU294" t="str">
        <f t="shared" si="197"/>
        <v/>
      </c>
      <c r="BV294" t="str">
        <f t="shared" si="213"/>
        <v/>
      </c>
      <c r="BW294" t="str">
        <f t="shared" si="198"/>
        <v/>
      </c>
      <c r="BX294" t="str">
        <f t="shared" si="214"/>
        <v/>
      </c>
      <c r="BY294" t="str">
        <f t="shared" si="199"/>
        <v/>
      </c>
      <c r="BZ294" t="str">
        <f t="shared" si="215"/>
        <v/>
      </c>
      <c r="CA294" t="str">
        <f t="shared" si="200"/>
        <v/>
      </c>
      <c r="CB294" t="str">
        <f t="shared" si="182"/>
        <v/>
      </c>
      <c r="CC294" t="str">
        <f t="shared" si="201"/>
        <v/>
      </c>
      <c r="CD294" t="str">
        <f t="shared" si="183"/>
        <v/>
      </c>
      <c r="CE294" t="str">
        <f t="shared" si="202"/>
        <v>Bowles 5th edition</v>
      </c>
      <c r="CF294">
        <f t="shared" si="184"/>
        <v>115</v>
      </c>
      <c r="CG294" t="str">
        <f t="shared" si="203"/>
        <v/>
      </c>
      <c r="CH294" t="str">
        <f t="shared" si="185"/>
        <v/>
      </c>
      <c r="CI294" t="str">
        <f t="shared" si="204"/>
        <v/>
      </c>
      <c r="CJ294" t="str">
        <f t="shared" si="216"/>
        <v/>
      </c>
    </row>
    <row r="295" spans="2:88" x14ac:dyDescent="0.3">
      <c r="B295" t="str">
        <f t="shared" si="205"/>
        <v>36.824614-76.075024</v>
      </c>
      <c r="C295" s="30" t="s">
        <v>117</v>
      </c>
      <c r="D295">
        <v>36.824613999999997</v>
      </c>
      <c r="E295">
        <v>-76.075023999999999</v>
      </c>
      <c r="F295">
        <v>5</v>
      </c>
      <c r="G295" t="str">
        <f t="shared" si="206"/>
        <v>-73-7536.824614-76.075024</v>
      </c>
      <c r="H295">
        <v>-73</v>
      </c>
      <c r="I295">
        <v>-75</v>
      </c>
      <c r="J295" s="30" t="s">
        <v>21</v>
      </c>
      <c r="L295" t="s">
        <v>113</v>
      </c>
      <c r="M295">
        <v>0</v>
      </c>
      <c r="S295" t="str">
        <f t="shared" si="178"/>
        <v>Clay</v>
      </c>
      <c r="T295">
        <f t="shared" si="208"/>
        <v>1</v>
      </c>
      <c r="AA295">
        <v>80</v>
      </c>
      <c r="AB295" s="1">
        <f t="shared" si="217"/>
        <v>0</v>
      </c>
      <c r="AC295">
        <f t="shared" si="218"/>
        <v>0</v>
      </c>
      <c r="AD295" t="str">
        <f t="shared" si="211"/>
        <v/>
      </c>
      <c r="AG295" s="21" t="str">
        <f t="shared" si="186"/>
        <v/>
      </c>
      <c r="AI295" s="6" t="str">
        <f t="shared" si="187"/>
        <v/>
      </c>
      <c r="AM295" s="7" t="str">
        <f t="shared" si="188"/>
        <v/>
      </c>
      <c r="AQ295" s="8" t="str">
        <f t="shared" si="189"/>
        <v/>
      </c>
      <c r="AW295" s="25" t="str">
        <f t="shared" si="190"/>
        <v/>
      </c>
      <c r="AZ295" s="12" t="str">
        <f t="shared" si="191"/>
        <v/>
      </c>
      <c r="BI295" s="17" t="str">
        <f t="shared" si="192"/>
        <v/>
      </c>
      <c r="BM295" t="str">
        <f t="shared" si="193"/>
        <v>SPT Relationship</v>
      </c>
      <c r="BN295">
        <f t="shared" si="179"/>
        <v>95</v>
      </c>
      <c r="BO295" t="str">
        <f t="shared" si="194"/>
        <v>Wolff, 1989</v>
      </c>
      <c r="BP295">
        <f t="shared" si="219"/>
        <v>27</v>
      </c>
      <c r="BQ295" t="str">
        <f t="shared" si="195"/>
        <v/>
      </c>
      <c r="BR295" t="str">
        <f t="shared" si="212"/>
        <v/>
      </c>
      <c r="BS295" t="str">
        <f t="shared" si="196"/>
        <v>Stroud 1974 (K=3.5)</v>
      </c>
      <c r="BT295">
        <f t="shared" si="220"/>
        <v>0</v>
      </c>
      <c r="BU295" t="str">
        <f t="shared" si="197"/>
        <v/>
      </c>
      <c r="BV295" t="str">
        <f t="shared" si="213"/>
        <v/>
      </c>
      <c r="BW295" t="str">
        <f t="shared" si="198"/>
        <v/>
      </c>
      <c r="BX295" t="str">
        <f t="shared" si="214"/>
        <v/>
      </c>
      <c r="BY295" t="str">
        <f t="shared" si="199"/>
        <v/>
      </c>
      <c r="BZ295" t="str">
        <f t="shared" si="215"/>
        <v/>
      </c>
      <c r="CA295" t="str">
        <f t="shared" si="200"/>
        <v/>
      </c>
      <c r="CB295" t="str">
        <f t="shared" si="182"/>
        <v/>
      </c>
      <c r="CC295" t="str">
        <f t="shared" si="201"/>
        <v/>
      </c>
      <c r="CD295" t="str">
        <f t="shared" si="183"/>
        <v/>
      </c>
      <c r="CE295" t="str">
        <f t="shared" si="202"/>
        <v/>
      </c>
      <c r="CF295" t="str">
        <f t="shared" si="184"/>
        <v/>
      </c>
      <c r="CG295" t="str">
        <f t="shared" si="203"/>
        <v/>
      </c>
      <c r="CH295" t="str">
        <f t="shared" si="185"/>
        <v/>
      </c>
      <c r="CI295" t="str">
        <f t="shared" si="204"/>
        <v/>
      </c>
      <c r="CJ295" t="str">
        <f t="shared" si="216"/>
        <v/>
      </c>
    </row>
    <row r="296" spans="2:88" x14ac:dyDescent="0.3">
      <c r="B296" t="str">
        <f t="shared" si="205"/>
        <v>36.824614-76.075024</v>
      </c>
      <c r="C296" s="30" t="s">
        <v>117</v>
      </c>
      <c r="D296">
        <v>36.824613999999997</v>
      </c>
      <c r="E296">
        <v>-76.075023999999999</v>
      </c>
      <c r="F296">
        <v>5</v>
      </c>
      <c r="G296" t="str">
        <f t="shared" si="206"/>
        <v>-78-8036.824614-76.075024</v>
      </c>
      <c r="H296">
        <v>-78</v>
      </c>
      <c r="I296">
        <v>-80</v>
      </c>
      <c r="J296" s="30" t="s">
        <v>21</v>
      </c>
      <c r="L296" t="s">
        <v>113</v>
      </c>
      <c r="M296">
        <v>0</v>
      </c>
      <c r="S296" t="str">
        <f t="shared" ref="S296:S359" si="221">IF(OR(L296="CL",L296="CH",L296="CL_ML"),"Clay",IF(OR(L296="SM",L296="SC",L296="SP",L296="SP-SM",L296="SP-SC",L296="SC-SM",L296="SW",L296="SW-SM"),"Sand",IF(OR(L296="GP", L296="GM",L296="GC", L296="GP-GM",L296="GW"),"Gravel",IF(OR(L296="ML",L296="MH"),"Silt",IF(OR(L296="OL",L296="OH",L296="PT"),"Organic")))))</f>
        <v>Clay</v>
      </c>
      <c r="T296">
        <f t="shared" si="208"/>
        <v>1</v>
      </c>
      <c r="AA296">
        <v>80</v>
      </c>
      <c r="AB296" s="1">
        <f t="shared" si="217"/>
        <v>0</v>
      </c>
      <c r="AC296">
        <f t="shared" si="218"/>
        <v>0</v>
      </c>
      <c r="AD296" t="str">
        <f t="shared" si="211"/>
        <v/>
      </c>
      <c r="AG296" s="21" t="str">
        <f t="shared" si="186"/>
        <v/>
      </c>
      <c r="AI296" s="6" t="str">
        <f t="shared" si="187"/>
        <v/>
      </c>
      <c r="AM296" s="7" t="str">
        <f t="shared" si="188"/>
        <v/>
      </c>
      <c r="AQ296" s="8" t="str">
        <f t="shared" si="189"/>
        <v/>
      </c>
      <c r="AW296" s="25" t="str">
        <f t="shared" si="190"/>
        <v/>
      </c>
      <c r="AZ296" s="12" t="str">
        <f t="shared" si="191"/>
        <v/>
      </c>
      <c r="BI296" s="17" t="str">
        <f t="shared" si="192"/>
        <v/>
      </c>
      <c r="BM296" t="str">
        <f t="shared" si="193"/>
        <v>SPT Relationship</v>
      </c>
      <c r="BN296">
        <f t="shared" si="179"/>
        <v>95</v>
      </c>
      <c r="BO296" t="str">
        <f t="shared" si="194"/>
        <v>Wolff, 1989</v>
      </c>
      <c r="BP296">
        <f t="shared" si="219"/>
        <v>27</v>
      </c>
      <c r="BQ296" t="str">
        <f t="shared" si="195"/>
        <v/>
      </c>
      <c r="BR296" t="str">
        <f t="shared" si="212"/>
        <v/>
      </c>
      <c r="BS296" t="str">
        <f t="shared" si="196"/>
        <v>Stroud 1974 (K=3.5)</v>
      </c>
      <c r="BT296">
        <f t="shared" si="220"/>
        <v>0</v>
      </c>
      <c r="BU296" t="str">
        <f t="shared" si="197"/>
        <v/>
      </c>
      <c r="BV296" t="str">
        <f t="shared" si="213"/>
        <v/>
      </c>
      <c r="BW296" t="str">
        <f t="shared" si="198"/>
        <v/>
      </c>
      <c r="BX296" t="str">
        <f t="shared" si="214"/>
        <v/>
      </c>
      <c r="BY296" t="str">
        <f t="shared" si="199"/>
        <v/>
      </c>
      <c r="BZ296" t="str">
        <f t="shared" si="215"/>
        <v/>
      </c>
      <c r="CA296" t="str">
        <f t="shared" si="200"/>
        <v/>
      </c>
      <c r="CB296" t="str">
        <f t="shared" si="182"/>
        <v/>
      </c>
      <c r="CC296" t="str">
        <f t="shared" si="201"/>
        <v/>
      </c>
      <c r="CD296" t="str">
        <f t="shared" si="183"/>
        <v/>
      </c>
      <c r="CE296" t="str">
        <f t="shared" si="202"/>
        <v/>
      </c>
      <c r="CF296" t="str">
        <f t="shared" si="184"/>
        <v/>
      </c>
      <c r="CG296" t="str">
        <f t="shared" si="203"/>
        <v/>
      </c>
      <c r="CH296" t="str">
        <f t="shared" si="185"/>
        <v/>
      </c>
      <c r="CI296" t="str">
        <f t="shared" si="204"/>
        <v/>
      </c>
      <c r="CJ296" t="str">
        <f t="shared" si="216"/>
        <v/>
      </c>
    </row>
    <row r="297" spans="2:88" x14ac:dyDescent="0.3">
      <c r="B297" t="str">
        <f t="shared" si="205"/>
        <v>36.824614-76.075024</v>
      </c>
      <c r="C297" s="30" t="s">
        <v>117</v>
      </c>
      <c r="D297">
        <v>36.824613999999997</v>
      </c>
      <c r="E297">
        <v>-76.075023999999999</v>
      </c>
      <c r="F297">
        <v>5</v>
      </c>
      <c r="G297" t="str">
        <f t="shared" si="206"/>
        <v>-83-8536.824614-76.075024</v>
      </c>
      <c r="H297">
        <v>-83</v>
      </c>
      <c r="I297">
        <v>-85</v>
      </c>
      <c r="J297" s="30" t="s">
        <v>21</v>
      </c>
      <c r="L297" t="s">
        <v>8</v>
      </c>
      <c r="M297">
        <v>6</v>
      </c>
      <c r="S297" t="str">
        <f t="shared" si="221"/>
        <v>Sand</v>
      </c>
      <c r="T297">
        <f t="shared" si="208"/>
        <v>1</v>
      </c>
      <c r="AA297">
        <v>80</v>
      </c>
      <c r="AB297" s="1">
        <f t="shared" si="217"/>
        <v>8</v>
      </c>
      <c r="AC297">
        <f t="shared" si="218"/>
        <v>3</v>
      </c>
      <c r="AD297" t="str">
        <f t="shared" si="211"/>
        <v/>
      </c>
      <c r="AG297" s="21" t="str">
        <f t="shared" si="186"/>
        <v/>
      </c>
      <c r="AI297" s="6" t="str">
        <f t="shared" si="187"/>
        <v/>
      </c>
      <c r="AM297" s="7" t="str">
        <f t="shared" si="188"/>
        <v/>
      </c>
      <c r="AQ297" s="8" t="str">
        <f t="shared" si="189"/>
        <v/>
      </c>
      <c r="AW297" s="25" t="str">
        <f t="shared" si="190"/>
        <v/>
      </c>
      <c r="AZ297" s="12" t="str">
        <f t="shared" si="191"/>
        <v/>
      </c>
      <c r="BI297" s="17" t="str">
        <f t="shared" si="192"/>
        <v/>
      </c>
      <c r="BM297" t="str">
        <f t="shared" si="193"/>
        <v>SPT Relationship</v>
      </c>
      <c r="BN297">
        <f t="shared" si="179"/>
        <v>113</v>
      </c>
      <c r="BO297" t="str">
        <f t="shared" si="194"/>
        <v>Wolff, 1989</v>
      </c>
      <c r="BP297">
        <f t="shared" si="219"/>
        <v>27</v>
      </c>
      <c r="BQ297" t="str">
        <f t="shared" si="195"/>
        <v/>
      </c>
      <c r="BR297" t="str">
        <f t="shared" si="212"/>
        <v/>
      </c>
      <c r="BS297" t="str">
        <f t="shared" si="196"/>
        <v/>
      </c>
      <c r="BT297" t="str">
        <f t="shared" si="220"/>
        <v/>
      </c>
      <c r="BU297" t="str">
        <f t="shared" si="197"/>
        <v/>
      </c>
      <c r="BV297" t="str">
        <f t="shared" si="213"/>
        <v/>
      </c>
      <c r="BW297" t="str">
        <f t="shared" si="198"/>
        <v/>
      </c>
      <c r="BX297" t="str">
        <f t="shared" si="214"/>
        <v/>
      </c>
      <c r="BY297" t="str">
        <f t="shared" si="199"/>
        <v/>
      </c>
      <c r="BZ297" t="str">
        <f t="shared" si="215"/>
        <v/>
      </c>
      <c r="CA297" t="str">
        <f t="shared" si="200"/>
        <v/>
      </c>
      <c r="CB297" t="str">
        <f t="shared" si="182"/>
        <v/>
      </c>
      <c r="CC297" t="str">
        <f t="shared" si="201"/>
        <v/>
      </c>
      <c r="CD297" t="str">
        <f t="shared" si="183"/>
        <v/>
      </c>
      <c r="CE297" t="str">
        <f t="shared" si="202"/>
        <v>Bowles 5th edition</v>
      </c>
      <c r="CF297">
        <f t="shared" si="184"/>
        <v>147</v>
      </c>
      <c r="CG297" t="str">
        <f t="shared" si="203"/>
        <v/>
      </c>
      <c r="CH297" t="str">
        <f t="shared" si="185"/>
        <v/>
      </c>
      <c r="CI297" t="str">
        <f t="shared" si="204"/>
        <v/>
      </c>
      <c r="CJ297" t="str">
        <f t="shared" si="216"/>
        <v/>
      </c>
    </row>
    <row r="298" spans="2:88" x14ac:dyDescent="0.3">
      <c r="B298" t="str">
        <f t="shared" si="205"/>
        <v>36.824614-76.075024</v>
      </c>
      <c r="C298" s="30" t="s">
        <v>117</v>
      </c>
      <c r="D298">
        <v>36.824613999999997</v>
      </c>
      <c r="E298">
        <v>-76.075023999999999</v>
      </c>
      <c r="F298">
        <v>5</v>
      </c>
      <c r="G298" t="str">
        <f t="shared" si="206"/>
        <v>-88-9036.824614-76.075024</v>
      </c>
      <c r="H298">
        <v>-88</v>
      </c>
      <c r="I298">
        <v>-90</v>
      </c>
      <c r="J298" s="30" t="s">
        <v>21</v>
      </c>
      <c r="L298" t="s">
        <v>16</v>
      </c>
      <c r="M298">
        <v>9</v>
      </c>
      <c r="S298" t="str">
        <f t="shared" si="221"/>
        <v>Sand</v>
      </c>
      <c r="T298">
        <f t="shared" si="208"/>
        <v>1</v>
      </c>
      <c r="AA298">
        <v>80</v>
      </c>
      <c r="AB298" s="1">
        <f t="shared" si="217"/>
        <v>12</v>
      </c>
      <c r="AC298">
        <f t="shared" si="218"/>
        <v>5</v>
      </c>
      <c r="AD298" t="str">
        <f t="shared" si="211"/>
        <v/>
      </c>
      <c r="AG298" s="21" t="str">
        <f t="shared" si="186"/>
        <v/>
      </c>
      <c r="AI298" s="6" t="str">
        <f t="shared" si="187"/>
        <v/>
      </c>
      <c r="AM298" s="7" t="str">
        <f t="shared" si="188"/>
        <v/>
      </c>
      <c r="AQ298" s="8" t="str">
        <f t="shared" si="189"/>
        <v/>
      </c>
      <c r="AW298" s="25" t="str">
        <f t="shared" si="190"/>
        <v/>
      </c>
      <c r="AZ298" s="12" t="str">
        <f t="shared" si="191"/>
        <v/>
      </c>
      <c r="BI298" s="17" t="str">
        <f t="shared" si="192"/>
        <v/>
      </c>
      <c r="BM298" t="str">
        <f t="shared" si="193"/>
        <v>SPT Relationship</v>
      </c>
      <c r="BN298">
        <f t="shared" si="179"/>
        <v>117</v>
      </c>
      <c r="BO298" t="str">
        <f t="shared" si="194"/>
        <v>Wolff, 1989</v>
      </c>
      <c r="BP298">
        <f t="shared" si="219"/>
        <v>28</v>
      </c>
      <c r="BQ298" t="str">
        <f t="shared" si="195"/>
        <v/>
      </c>
      <c r="BR298" t="str">
        <f t="shared" si="212"/>
        <v/>
      </c>
      <c r="BS298" t="str">
        <f t="shared" si="196"/>
        <v/>
      </c>
      <c r="BT298" t="str">
        <f t="shared" si="220"/>
        <v/>
      </c>
      <c r="BU298" t="str">
        <f t="shared" si="197"/>
        <v/>
      </c>
      <c r="BV298" t="str">
        <f t="shared" si="213"/>
        <v/>
      </c>
      <c r="BW298" t="str">
        <f t="shared" si="198"/>
        <v/>
      </c>
      <c r="BX298" t="str">
        <f t="shared" si="214"/>
        <v/>
      </c>
      <c r="BY298" t="str">
        <f t="shared" si="199"/>
        <v/>
      </c>
      <c r="BZ298" t="str">
        <f t="shared" si="215"/>
        <v/>
      </c>
      <c r="CA298" t="str">
        <f t="shared" si="200"/>
        <v/>
      </c>
      <c r="CB298" t="str">
        <f t="shared" si="182"/>
        <v/>
      </c>
      <c r="CC298" t="str">
        <f t="shared" si="201"/>
        <v/>
      </c>
      <c r="CD298" t="str">
        <f t="shared" si="183"/>
        <v/>
      </c>
      <c r="CE298" t="str">
        <f t="shared" si="202"/>
        <v>Bowles 5th edition</v>
      </c>
      <c r="CF298">
        <f t="shared" si="184"/>
        <v>173</v>
      </c>
      <c r="CG298" t="str">
        <f t="shared" si="203"/>
        <v/>
      </c>
      <c r="CH298" t="str">
        <f t="shared" si="185"/>
        <v/>
      </c>
      <c r="CI298" t="str">
        <f t="shared" si="204"/>
        <v/>
      </c>
      <c r="CJ298" t="str">
        <f t="shared" si="216"/>
        <v/>
      </c>
    </row>
    <row r="299" spans="2:88" x14ac:dyDescent="0.3">
      <c r="B299" t="str">
        <f t="shared" si="205"/>
        <v>36.824614-76.075024</v>
      </c>
      <c r="C299" s="30" t="s">
        <v>117</v>
      </c>
      <c r="D299">
        <v>36.824613999999997</v>
      </c>
      <c r="E299">
        <v>-76.075023999999999</v>
      </c>
      <c r="F299">
        <v>5</v>
      </c>
      <c r="G299" t="str">
        <f t="shared" si="206"/>
        <v>-93-9536.824614-76.075024</v>
      </c>
      <c r="H299">
        <v>-93</v>
      </c>
      <c r="I299">
        <v>-95</v>
      </c>
      <c r="J299" s="30" t="s">
        <v>21</v>
      </c>
      <c r="L299" t="s">
        <v>113</v>
      </c>
      <c r="M299">
        <v>2</v>
      </c>
      <c r="S299" t="str">
        <f t="shared" si="221"/>
        <v>Clay</v>
      </c>
      <c r="T299">
        <f t="shared" si="208"/>
        <v>1</v>
      </c>
      <c r="AA299">
        <v>80</v>
      </c>
      <c r="AB299" s="1">
        <f t="shared" si="217"/>
        <v>3</v>
      </c>
      <c r="AC299">
        <f t="shared" si="218"/>
        <v>1</v>
      </c>
      <c r="AD299" t="str">
        <f t="shared" si="211"/>
        <v/>
      </c>
      <c r="AG299" s="21" t="str">
        <f t="shared" si="186"/>
        <v/>
      </c>
      <c r="AI299" s="6" t="str">
        <f t="shared" si="187"/>
        <v/>
      </c>
      <c r="AM299" s="7" t="str">
        <f t="shared" si="188"/>
        <v/>
      </c>
      <c r="AQ299" s="8" t="str">
        <f t="shared" si="189"/>
        <v/>
      </c>
      <c r="AW299" s="25" t="str">
        <f t="shared" si="190"/>
        <v/>
      </c>
      <c r="AZ299" s="12" t="str">
        <f t="shared" si="191"/>
        <v/>
      </c>
      <c r="BI299" s="17" t="str">
        <f t="shared" si="192"/>
        <v/>
      </c>
      <c r="BM299" t="str">
        <f t="shared" si="193"/>
        <v>SPT Relationship</v>
      </c>
      <c r="BN299">
        <f t="shared" si="179"/>
        <v>101</v>
      </c>
      <c r="BO299" t="str">
        <f t="shared" si="194"/>
        <v>Wolff, 1989</v>
      </c>
      <c r="BP299">
        <f t="shared" si="219"/>
        <v>27</v>
      </c>
      <c r="BQ299" t="str">
        <f t="shared" si="195"/>
        <v/>
      </c>
      <c r="BR299" t="str">
        <f t="shared" si="212"/>
        <v/>
      </c>
      <c r="BS299" t="str">
        <f t="shared" si="196"/>
        <v>Stroud 1974 (K=3.5)</v>
      </c>
      <c r="BT299">
        <f t="shared" si="220"/>
        <v>219</v>
      </c>
      <c r="BU299" t="str">
        <f t="shared" si="197"/>
        <v/>
      </c>
      <c r="BV299" t="str">
        <f t="shared" si="213"/>
        <v/>
      </c>
      <c r="BW299" t="str">
        <f t="shared" si="198"/>
        <v/>
      </c>
      <c r="BX299" t="str">
        <f t="shared" si="214"/>
        <v/>
      </c>
      <c r="BY299" t="str">
        <f t="shared" si="199"/>
        <v/>
      </c>
      <c r="BZ299" t="str">
        <f t="shared" si="215"/>
        <v/>
      </c>
      <c r="CA299" t="str">
        <f t="shared" si="200"/>
        <v/>
      </c>
      <c r="CB299" t="str">
        <f t="shared" si="182"/>
        <v/>
      </c>
      <c r="CC299" t="str">
        <f t="shared" si="201"/>
        <v/>
      </c>
      <c r="CD299" t="str">
        <f t="shared" si="183"/>
        <v/>
      </c>
      <c r="CE299" t="str">
        <f t="shared" si="202"/>
        <v/>
      </c>
      <c r="CF299" t="str">
        <f t="shared" si="184"/>
        <v/>
      </c>
      <c r="CG299" t="str">
        <f t="shared" si="203"/>
        <v/>
      </c>
      <c r="CH299" t="str">
        <f t="shared" si="185"/>
        <v/>
      </c>
      <c r="CI299" t="str">
        <f t="shared" si="204"/>
        <v/>
      </c>
      <c r="CJ299" t="str">
        <f t="shared" si="216"/>
        <v/>
      </c>
    </row>
    <row r="300" spans="2:88" x14ac:dyDescent="0.3">
      <c r="B300" t="str">
        <f t="shared" si="205"/>
        <v>36.824614-76.075024</v>
      </c>
      <c r="C300" s="30" t="s">
        <v>117</v>
      </c>
      <c r="D300">
        <v>36.824613999999997</v>
      </c>
      <c r="E300">
        <v>-76.075023999999999</v>
      </c>
      <c r="F300">
        <v>5</v>
      </c>
      <c r="G300" t="str">
        <f t="shared" si="206"/>
        <v>-98-10036.824614-76.075024</v>
      </c>
      <c r="H300">
        <v>-98</v>
      </c>
      <c r="I300">
        <v>-100</v>
      </c>
      <c r="J300" s="30" t="s">
        <v>21</v>
      </c>
      <c r="L300" t="s">
        <v>8</v>
      </c>
      <c r="M300">
        <v>8</v>
      </c>
      <c r="S300" t="str">
        <f t="shared" si="221"/>
        <v>Sand</v>
      </c>
      <c r="T300">
        <f t="shared" si="208"/>
        <v>1</v>
      </c>
      <c r="AA300">
        <v>80</v>
      </c>
      <c r="AB300" s="1">
        <f t="shared" si="217"/>
        <v>11</v>
      </c>
      <c r="AC300">
        <f t="shared" si="218"/>
        <v>4</v>
      </c>
      <c r="AD300" t="str">
        <f t="shared" si="211"/>
        <v/>
      </c>
      <c r="AG300" s="21" t="str">
        <f t="shared" si="186"/>
        <v/>
      </c>
      <c r="AI300" s="6" t="str">
        <f t="shared" si="187"/>
        <v/>
      </c>
      <c r="AM300" s="7" t="str">
        <f t="shared" si="188"/>
        <v/>
      </c>
      <c r="AQ300" s="8" t="str">
        <f t="shared" si="189"/>
        <v/>
      </c>
      <c r="AW300" s="25" t="str">
        <f t="shared" si="190"/>
        <v/>
      </c>
      <c r="AZ300" s="12" t="str">
        <f t="shared" si="191"/>
        <v/>
      </c>
      <c r="BI300" s="17" t="str">
        <f t="shared" si="192"/>
        <v/>
      </c>
      <c r="BM300" t="str">
        <f t="shared" si="193"/>
        <v>SPT Relationship</v>
      </c>
      <c r="BN300">
        <f t="shared" si="179"/>
        <v>116</v>
      </c>
      <c r="BO300" t="str">
        <f t="shared" si="194"/>
        <v>Wolff, 1989</v>
      </c>
      <c r="BP300">
        <f t="shared" si="219"/>
        <v>28</v>
      </c>
      <c r="BQ300" t="str">
        <f t="shared" si="195"/>
        <v/>
      </c>
      <c r="BR300" t="str">
        <f t="shared" si="212"/>
        <v/>
      </c>
      <c r="BS300" t="str">
        <f t="shared" si="196"/>
        <v/>
      </c>
      <c r="BT300" t="str">
        <f t="shared" si="220"/>
        <v/>
      </c>
      <c r="BU300" t="str">
        <f t="shared" si="197"/>
        <v/>
      </c>
      <c r="BV300" t="str">
        <f t="shared" si="213"/>
        <v/>
      </c>
      <c r="BW300" t="str">
        <f t="shared" si="198"/>
        <v/>
      </c>
      <c r="BX300" t="str">
        <f t="shared" si="214"/>
        <v/>
      </c>
      <c r="BY300" t="str">
        <f t="shared" si="199"/>
        <v/>
      </c>
      <c r="BZ300" t="str">
        <f t="shared" si="215"/>
        <v/>
      </c>
      <c r="CA300" t="str">
        <f t="shared" si="200"/>
        <v/>
      </c>
      <c r="CB300" t="str">
        <f t="shared" si="182"/>
        <v/>
      </c>
      <c r="CC300" t="str">
        <f t="shared" si="201"/>
        <v/>
      </c>
      <c r="CD300" t="str">
        <f t="shared" si="183"/>
        <v/>
      </c>
      <c r="CE300" t="str">
        <f t="shared" si="202"/>
        <v>Bowles 5th edition</v>
      </c>
      <c r="CF300">
        <f t="shared" si="184"/>
        <v>166</v>
      </c>
      <c r="CG300" t="str">
        <f t="shared" si="203"/>
        <v/>
      </c>
      <c r="CH300" t="str">
        <f t="shared" si="185"/>
        <v/>
      </c>
      <c r="CI300" t="str">
        <f t="shared" si="204"/>
        <v/>
      </c>
      <c r="CJ300" t="str">
        <f t="shared" si="216"/>
        <v/>
      </c>
    </row>
    <row r="301" spans="2:88" x14ac:dyDescent="0.3">
      <c r="B301" t="str">
        <f t="shared" si="205"/>
        <v>36.824614-76.075024</v>
      </c>
      <c r="C301" s="30" t="s">
        <v>117</v>
      </c>
      <c r="D301">
        <v>36.824613999999997</v>
      </c>
      <c r="E301">
        <v>-76.075023999999999</v>
      </c>
      <c r="F301">
        <v>5</v>
      </c>
      <c r="G301" t="str">
        <f t="shared" si="206"/>
        <v>-103-10536.824614-76.075024</v>
      </c>
      <c r="H301">
        <v>-103</v>
      </c>
      <c r="I301">
        <v>-105</v>
      </c>
      <c r="J301" s="30" t="s">
        <v>21</v>
      </c>
      <c r="L301" t="s">
        <v>8</v>
      </c>
      <c r="M301">
        <v>16</v>
      </c>
      <c r="S301" t="str">
        <f t="shared" si="221"/>
        <v>Sand</v>
      </c>
      <c r="T301">
        <f t="shared" si="208"/>
        <v>1</v>
      </c>
      <c r="AA301">
        <v>80</v>
      </c>
      <c r="AB301" s="1">
        <f t="shared" si="217"/>
        <v>21</v>
      </c>
      <c r="AC301">
        <f t="shared" si="218"/>
        <v>8</v>
      </c>
      <c r="AD301" t="str">
        <f t="shared" si="211"/>
        <v/>
      </c>
      <c r="AG301" s="21" t="str">
        <f t="shared" si="186"/>
        <v/>
      </c>
      <c r="AI301" s="6" t="str">
        <f t="shared" si="187"/>
        <v/>
      </c>
      <c r="AM301" s="7" t="str">
        <f t="shared" si="188"/>
        <v/>
      </c>
      <c r="AQ301" s="8" t="str">
        <f t="shared" si="189"/>
        <v/>
      </c>
      <c r="AW301" s="25" t="str">
        <f t="shared" si="190"/>
        <v/>
      </c>
      <c r="AZ301" s="12" t="str">
        <f t="shared" si="191"/>
        <v/>
      </c>
      <c r="BI301" s="17" t="str">
        <f t="shared" si="192"/>
        <v/>
      </c>
      <c r="BM301" t="str">
        <f t="shared" si="193"/>
        <v>SPT Relationship</v>
      </c>
      <c r="BN301">
        <f t="shared" si="179"/>
        <v>124</v>
      </c>
      <c r="BO301" t="str">
        <f t="shared" si="194"/>
        <v>Wolff, 1989</v>
      </c>
      <c r="BP301">
        <f t="shared" si="219"/>
        <v>29</v>
      </c>
      <c r="BQ301" t="str">
        <f t="shared" si="195"/>
        <v/>
      </c>
      <c r="BR301" t="str">
        <f t="shared" si="212"/>
        <v/>
      </c>
      <c r="BS301" t="str">
        <f t="shared" si="196"/>
        <v/>
      </c>
      <c r="BT301" t="str">
        <f t="shared" si="220"/>
        <v/>
      </c>
      <c r="BU301" t="str">
        <f t="shared" si="197"/>
        <v/>
      </c>
      <c r="BV301" t="str">
        <f t="shared" si="213"/>
        <v/>
      </c>
      <c r="BW301" t="str">
        <f t="shared" si="198"/>
        <v/>
      </c>
      <c r="BX301" t="str">
        <f t="shared" si="214"/>
        <v/>
      </c>
      <c r="BY301" t="str">
        <f t="shared" si="199"/>
        <v/>
      </c>
      <c r="BZ301" t="str">
        <f t="shared" si="215"/>
        <v/>
      </c>
      <c r="CA301" t="str">
        <f t="shared" si="200"/>
        <v/>
      </c>
      <c r="CB301" t="str">
        <f t="shared" si="182"/>
        <v/>
      </c>
      <c r="CC301" t="str">
        <f t="shared" si="201"/>
        <v/>
      </c>
      <c r="CD301" t="str">
        <f t="shared" si="183"/>
        <v/>
      </c>
      <c r="CE301" t="str">
        <f t="shared" si="202"/>
        <v>Bowles 5th edition</v>
      </c>
      <c r="CF301">
        <f t="shared" si="184"/>
        <v>230</v>
      </c>
      <c r="CG301" t="str">
        <f t="shared" si="203"/>
        <v/>
      </c>
      <c r="CH301" t="str">
        <f t="shared" si="185"/>
        <v/>
      </c>
      <c r="CI301" t="str">
        <f t="shared" si="204"/>
        <v/>
      </c>
      <c r="CJ301" t="str">
        <f t="shared" si="216"/>
        <v/>
      </c>
    </row>
    <row r="302" spans="2:88" x14ac:dyDescent="0.3">
      <c r="B302" t="str">
        <f t="shared" si="205"/>
        <v>36.824514-76.075605</v>
      </c>
      <c r="C302" s="30" t="s">
        <v>118</v>
      </c>
      <c r="D302">
        <v>36.824514000000001</v>
      </c>
      <c r="E302">
        <v>-76.075604999999996</v>
      </c>
      <c r="F302">
        <v>5</v>
      </c>
      <c r="G302" t="str">
        <f t="shared" si="206"/>
        <v>5336.824514-76.075605</v>
      </c>
      <c r="H302">
        <v>5</v>
      </c>
      <c r="I302">
        <v>3</v>
      </c>
      <c r="J302" s="30" t="s">
        <v>21</v>
      </c>
      <c r="L302" t="s">
        <v>17</v>
      </c>
      <c r="M302">
        <v>11</v>
      </c>
      <c r="S302" t="str">
        <f t="shared" si="221"/>
        <v>Sand</v>
      </c>
      <c r="T302">
        <f t="shared" si="208"/>
        <v>1</v>
      </c>
      <c r="AA302">
        <v>80</v>
      </c>
      <c r="AB302" s="1">
        <f t="shared" si="217"/>
        <v>15</v>
      </c>
      <c r="AC302">
        <f t="shared" si="218"/>
        <v>46</v>
      </c>
      <c r="AD302" t="str">
        <f t="shared" si="211"/>
        <v/>
      </c>
      <c r="AG302" s="21" t="str">
        <f t="shared" si="186"/>
        <v/>
      </c>
      <c r="AI302" s="6" t="str">
        <f t="shared" si="187"/>
        <v/>
      </c>
      <c r="AM302" s="7" t="str">
        <f t="shared" si="188"/>
        <v/>
      </c>
      <c r="AQ302" s="8" t="str">
        <f t="shared" si="189"/>
        <v/>
      </c>
      <c r="AW302" s="25" t="str">
        <f t="shared" si="190"/>
        <v/>
      </c>
      <c r="AZ302" s="12" t="str">
        <f t="shared" si="191"/>
        <v/>
      </c>
      <c r="BI302" s="17" t="str">
        <f t="shared" si="192"/>
        <v/>
      </c>
      <c r="BM302" t="str">
        <f t="shared" si="193"/>
        <v>SPT Relationship</v>
      </c>
      <c r="BN302">
        <f t="shared" si="179"/>
        <v>119</v>
      </c>
      <c r="BO302" t="str">
        <f t="shared" si="194"/>
        <v>Wolff, 1989</v>
      </c>
      <c r="BP302">
        <f t="shared" si="219"/>
        <v>39</v>
      </c>
      <c r="BQ302" t="str">
        <f t="shared" si="195"/>
        <v/>
      </c>
      <c r="BR302" t="str">
        <f t="shared" si="212"/>
        <v/>
      </c>
      <c r="BS302" t="str">
        <f t="shared" si="196"/>
        <v/>
      </c>
      <c r="BT302" t="str">
        <f t="shared" si="220"/>
        <v/>
      </c>
      <c r="BU302" t="str">
        <f t="shared" si="197"/>
        <v/>
      </c>
      <c r="BV302" t="str">
        <f t="shared" si="213"/>
        <v/>
      </c>
      <c r="BW302" t="str">
        <f t="shared" si="198"/>
        <v/>
      </c>
      <c r="BX302" t="str">
        <f t="shared" si="214"/>
        <v/>
      </c>
      <c r="BY302" t="str">
        <f t="shared" si="199"/>
        <v/>
      </c>
      <c r="BZ302" t="str">
        <f t="shared" si="215"/>
        <v/>
      </c>
      <c r="CA302" t="str">
        <f t="shared" si="200"/>
        <v/>
      </c>
      <c r="CB302" t="str">
        <f t="shared" si="182"/>
        <v/>
      </c>
      <c r="CC302" t="str">
        <f t="shared" si="201"/>
        <v/>
      </c>
      <c r="CD302" t="str">
        <f t="shared" si="183"/>
        <v/>
      </c>
      <c r="CE302" t="str">
        <f t="shared" si="202"/>
        <v>Bowles 5th edition</v>
      </c>
      <c r="CF302">
        <f t="shared" si="184"/>
        <v>192</v>
      </c>
      <c r="CG302" t="str">
        <f t="shared" si="203"/>
        <v/>
      </c>
      <c r="CH302" t="str">
        <f t="shared" si="185"/>
        <v/>
      </c>
      <c r="CI302" t="str">
        <f t="shared" si="204"/>
        <v/>
      </c>
      <c r="CJ302" t="str">
        <f t="shared" si="216"/>
        <v/>
      </c>
    </row>
    <row r="303" spans="2:88" x14ac:dyDescent="0.3">
      <c r="B303" t="str">
        <f t="shared" si="205"/>
        <v>36.824514-76.075605</v>
      </c>
      <c r="C303" s="30" t="s">
        <v>118</v>
      </c>
      <c r="D303">
        <v>36.824514000000001</v>
      </c>
      <c r="E303">
        <v>-76.075604999999996</v>
      </c>
      <c r="F303">
        <v>5</v>
      </c>
      <c r="G303" t="str">
        <f t="shared" si="206"/>
        <v>3136.824514-76.075605</v>
      </c>
      <c r="H303">
        <v>3</v>
      </c>
      <c r="I303">
        <v>1</v>
      </c>
      <c r="J303" s="30" t="s">
        <v>21</v>
      </c>
      <c r="L303" t="s">
        <v>17</v>
      </c>
      <c r="M303">
        <v>15</v>
      </c>
      <c r="S303" t="str">
        <f t="shared" si="221"/>
        <v>Sand</v>
      </c>
      <c r="T303">
        <f t="shared" si="208"/>
        <v>1</v>
      </c>
      <c r="AA303">
        <v>80</v>
      </c>
      <c r="AB303" s="1">
        <f t="shared" si="217"/>
        <v>20</v>
      </c>
      <c r="AC303">
        <f t="shared" si="218"/>
        <v>43</v>
      </c>
      <c r="AD303" t="str">
        <f t="shared" si="211"/>
        <v/>
      </c>
      <c r="AG303" s="21" t="str">
        <f t="shared" si="186"/>
        <v/>
      </c>
      <c r="AI303" s="6" t="str">
        <f t="shared" si="187"/>
        <v/>
      </c>
      <c r="AM303" s="7" t="str">
        <f t="shared" si="188"/>
        <v/>
      </c>
      <c r="AQ303" s="8" t="str">
        <f t="shared" si="189"/>
        <v/>
      </c>
      <c r="AW303" s="25" t="str">
        <f t="shared" si="190"/>
        <v/>
      </c>
      <c r="AZ303" s="12" t="str">
        <f t="shared" si="191"/>
        <v/>
      </c>
      <c r="BI303" s="17" t="str">
        <f t="shared" si="192"/>
        <v/>
      </c>
      <c r="BM303" t="str">
        <f t="shared" si="193"/>
        <v>SPT Relationship</v>
      </c>
      <c r="BN303">
        <f t="shared" si="179"/>
        <v>123</v>
      </c>
      <c r="BO303" t="str">
        <f t="shared" si="194"/>
        <v>Wolff, 1989</v>
      </c>
      <c r="BP303">
        <f t="shared" si="219"/>
        <v>39</v>
      </c>
      <c r="BQ303" t="str">
        <f t="shared" si="195"/>
        <v/>
      </c>
      <c r="BR303" t="str">
        <f t="shared" si="212"/>
        <v/>
      </c>
      <c r="BS303" t="str">
        <f t="shared" si="196"/>
        <v/>
      </c>
      <c r="BT303" t="str">
        <f t="shared" si="220"/>
        <v/>
      </c>
      <c r="BU303" t="str">
        <f t="shared" si="197"/>
        <v/>
      </c>
      <c r="BV303" t="str">
        <f t="shared" si="213"/>
        <v/>
      </c>
      <c r="BW303" t="str">
        <f t="shared" si="198"/>
        <v/>
      </c>
      <c r="BX303" t="str">
        <f t="shared" si="214"/>
        <v/>
      </c>
      <c r="BY303" t="str">
        <f t="shared" si="199"/>
        <v/>
      </c>
      <c r="BZ303" t="str">
        <f t="shared" si="215"/>
        <v/>
      </c>
      <c r="CA303" t="str">
        <f t="shared" si="200"/>
        <v/>
      </c>
      <c r="CB303" t="str">
        <f t="shared" si="182"/>
        <v/>
      </c>
      <c r="CC303" t="str">
        <f t="shared" si="201"/>
        <v/>
      </c>
      <c r="CD303" t="str">
        <f t="shared" si="183"/>
        <v/>
      </c>
      <c r="CE303" t="str">
        <f t="shared" si="202"/>
        <v>Bowles 5th edition</v>
      </c>
      <c r="CF303">
        <f t="shared" si="184"/>
        <v>224</v>
      </c>
      <c r="CG303" t="str">
        <f t="shared" si="203"/>
        <v/>
      </c>
      <c r="CH303" t="str">
        <f t="shared" si="185"/>
        <v/>
      </c>
      <c r="CI303" t="str">
        <f t="shared" si="204"/>
        <v/>
      </c>
      <c r="CJ303" t="str">
        <f t="shared" si="216"/>
        <v/>
      </c>
    </row>
    <row r="304" spans="2:88" x14ac:dyDescent="0.3">
      <c r="B304" t="str">
        <f t="shared" si="205"/>
        <v>36.824514-76.075605</v>
      </c>
      <c r="C304" s="30" t="s">
        <v>118</v>
      </c>
      <c r="D304">
        <v>36.824514000000001</v>
      </c>
      <c r="E304">
        <v>-76.075604999999996</v>
      </c>
      <c r="F304">
        <v>5</v>
      </c>
      <c r="G304" t="str">
        <f t="shared" si="206"/>
        <v>1-136.824514-76.075605</v>
      </c>
      <c r="H304">
        <v>1</v>
      </c>
      <c r="I304">
        <v>-1</v>
      </c>
      <c r="J304" s="30" t="s">
        <v>21</v>
      </c>
      <c r="L304" t="s">
        <v>17</v>
      </c>
      <c r="M304">
        <v>13</v>
      </c>
      <c r="S304" t="str">
        <f t="shared" si="221"/>
        <v>Sand</v>
      </c>
      <c r="T304">
        <f t="shared" si="208"/>
        <v>1</v>
      </c>
      <c r="AA304">
        <v>80</v>
      </c>
      <c r="AB304" s="1">
        <f t="shared" si="217"/>
        <v>17</v>
      </c>
      <c r="AC304">
        <f t="shared" si="218"/>
        <v>30</v>
      </c>
      <c r="AD304" t="str">
        <f t="shared" si="211"/>
        <v/>
      </c>
      <c r="AG304" s="21" t="str">
        <f t="shared" si="186"/>
        <v/>
      </c>
      <c r="AI304" s="6" t="str">
        <f t="shared" si="187"/>
        <v/>
      </c>
      <c r="AM304" s="7" t="str">
        <f t="shared" si="188"/>
        <v/>
      </c>
      <c r="AQ304" s="8" t="str">
        <f t="shared" si="189"/>
        <v/>
      </c>
      <c r="AW304" s="25" t="str">
        <f t="shared" si="190"/>
        <v/>
      </c>
      <c r="AZ304" s="12" t="str">
        <f t="shared" si="191"/>
        <v/>
      </c>
      <c r="BI304" s="17" t="str">
        <f t="shared" si="192"/>
        <v/>
      </c>
      <c r="BM304" t="str">
        <f t="shared" si="193"/>
        <v>SPT Relationship</v>
      </c>
      <c r="BN304">
        <f t="shared" si="179"/>
        <v>121</v>
      </c>
      <c r="BO304" t="str">
        <f t="shared" si="194"/>
        <v>Wolff, 1989</v>
      </c>
      <c r="BP304">
        <f t="shared" si="219"/>
        <v>35</v>
      </c>
      <c r="BQ304" t="str">
        <f t="shared" si="195"/>
        <v/>
      </c>
      <c r="BR304" t="str">
        <f t="shared" si="212"/>
        <v/>
      </c>
      <c r="BS304" t="str">
        <f t="shared" si="196"/>
        <v/>
      </c>
      <c r="BT304" t="str">
        <f t="shared" si="220"/>
        <v/>
      </c>
      <c r="BU304" t="str">
        <f t="shared" si="197"/>
        <v/>
      </c>
      <c r="BV304" t="str">
        <f t="shared" si="213"/>
        <v/>
      </c>
      <c r="BW304" t="str">
        <f t="shared" si="198"/>
        <v/>
      </c>
      <c r="BX304" t="str">
        <f t="shared" si="214"/>
        <v/>
      </c>
      <c r="BY304" t="str">
        <f t="shared" si="199"/>
        <v/>
      </c>
      <c r="BZ304" t="str">
        <f t="shared" si="215"/>
        <v/>
      </c>
      <c r="CA304" t="str">
        <f t="shared" si="200"/>
        <v/>
      </c>
      <c r="CB304" t="str">
        <f t="shared" si="182"/>
        <v/>
      </c>
      <c r="CC304" t="str">
        <f t="shared" si="201"/>
        <v/>
      </c>
      <c r="CD304" t="str">
        <f t="shared" si="183"/>
        <v/>
      </c>
      <c r="CE304" t="str">
        <f t="shared" si="202"/>
        <v>Bowles 5th edition</v>
      </c>
      <c r="CF304">
        <f t="shared" si="184"/>
        <v>205</v>
      </c>
      <c r="CG304" t="str">
        <f t="shared" si="203"/>
        <v/>
      </c>
      <c r="CH304" t="str">
        <f t="shared" si="185"/>
        <v/>
      </c>
      <c r="CI304" t="str">
        <f t="shared" si="204"/>
        <v/>
      </c>
      <c r="CJ304" t="str">
        <f t="shared" si="216"/>
        <v/>
      </c>
    </row>
    <row r="305" spans="2:88" x14ac:dyDescent="0.3">
      <c r="B305" t="str">
        <f t="shared" si="205"/>
        <v>36.824514-76.075605</v>
      </c>
      <c r="C305" s="30" t="s">
        <v>118</v>
      </c>
      <c r="D305">
        <v>36.824514000000001</v>
      </c>
      <c r="E305">
        <v>-76.075604999999996</v>
      </c>
      <c r="F305">
        <v>5</v>
      </c>
      <c r="G305" t="str">
        <f t="shared" si="206"/>
        <v>-1-336.824514-76.075605</v>
      </c>
      <c r="H305">
        <v>-1</v>
      </c>
      <c r="I305">
        <v>-3</v>
      </c>
      <c r="J305" s="30" t="s">
        <v>21</v>
      </c>
      <c r="L305" t="s">
        <v>16</v>
      </c>
      <c r="M305">
        <v>5</v>
      </c>
      <c r="S305" t="str">
        <f t="shared" si="221"/>
        <v>Sand</v>
      </c>
      <c r="T305">
        <f t="shared" si="208"/>
        <v>1</v>
      </c>
      <c r="AA305">
        <v>80</v>
      </c>
      <c r="AB305" s="1">
        <f t="shared" si="217"/>
        <v>7</v>
      </c>
      <c r="AC305">
        <f t="shared" si="218"/>
        <v>10</v>
      </c>
      <c r="AD305" t="str">
        <f t="shared" si="211"/>
        <v/>
      </c>
      <c r="AG305" s="21" t="str">
        <f t="shared" si="186"/>
        <v/>
      </c>
      <c r="AI305" s="6" t="str">
        <f t="shared" si="187"/>
        <v/>
      </c>
      <c r="AM305" s="7" t="str">
        <f t="shared" si="188"/>
        <v/>
      </c>
      <c r="AQ305" s="8" t="str">
        <f t="shared" si="189"/>
        <v/>
      </c>
      <c r="AW305" s="25" t="str">
        <f t="shared" si="190"/>
        <v/>
      </c>
      <c r="AZ305" s="12" t="str">
        <f t="shared" si="191"/>
        <v/>
      </c>
      <c r="BI305" s="17" t="str">
        <f t="shared" si="192"/>
        <v/>
      </c>
      <c r="BM305" t="str">
        <f t="shared" si="193"/>
        <v>SPT Relationship</v>
      </c>
      <c r="BN305">
        <f t="shared" si="179"/>
        <v>111</v>
      </c>
      <c r="BO305" t="str">
        <f t="shared" si="194"/>
        <v>Wolff, 1989</v>
      </c>
      <c r="BP305">
        <f t="shared" si="219"/>
        <v>30</v>
      </c>
      <c r="BQ305" t="str">
        <f t="shared" si="195"/>
        <v/>
      </c>
      <c r="BR305" t="str">
        <f t="shared" si="212"/>
        <v/>
      </c>
      <c r="BS305" t="str">
        <f t="shared" si="196"/>
        <v/>
      </c>
      <c r="BT305" t="str">
        <f t="shared" si="220"/>
        <v/>
      </c>
      <c r="BU305" t="str">
        <f t="shared" si="197"/>
        <v/>
      </c>
      <c r="BV305" t="str">
        <f t="shared" si="213"/>
        <v/>
      </c>
      <c r="BW305" t="str">
        <f t="shared" si="198"/>
        <v/>
      </c>
      <c r="BX305" t="str">
        <f t="shared" si="214"/>
        <v/>
      </c>
      <c r="BY305" t="str">
        <f t="shared" si="199"/>
        <v/>
      </c>
      <c r="BZ305" t="str">
        <f t="shared" si="215"/>
        <v/>
      </c>
      <c r="CA305" t="str">
        <f t="shared" si="200"/>
        <v/>
      </c>
      <c r="CB305" t="str">
        <f t="shared" si="182"/>
        <v/>
      </c>
      <c r="CC305" t="str">
        <f t="shared" si="201"/>
        <v/>
      </c>
      <c r="CD305" t="str">
        <f t="shared" si="183"/>
        <v/>
      </c>
      <c r="CE305" t="str">
        <f t="shared" si="202"/>
        <v>Bowles 5th edition</v>
      </c>
      <c r="CF305">
        <f t="shared" si="184"/>
        <v>141</v>
      </c>
      <c r="CG305" t="str">
        <f t="shared" si="203"/>
        <v/>
      </c>
      <c r="CH305" t="str">
        <f t="shared" si="185"/>
        <v/>
      </c>
      <c r="CI305" t="str">
        <f t="shared" si="204"/>
        <v/>
      </c>
      <c r="CJ305" t="str">
        <f t="shared" si="216"/>
        <v/>
      </c>
    </row>
    <row r="306" spans="2:88" x14ac:dyDescent="0.3">
      <c r="B306" t="str">
        <f t="shared" si="205"/>
        <v>36.824514-76.075605</v>
      </c>
      <c r="C306" s="30" t="s">
        <v>118</v>
      </c>
      <c r="D306">
        <v>36.824514000000001</v>
      </c>
      <c r="E306">
        <v>-76.075604999999996</v>
      </c>
      <c r="F306">
        <v>5</v>
      </c>
      <c r="G306" t="str">
        <f t="shared" si="206"/>
        <v>-3-536.824514-76.075605</v>
      </c>
      <c r="H306">
        <v>-3</v>
      </c>
      <c r="I306">
        <v>-5</v>
      </c>
      <c r="J306" s="30" t="s">
        <v>21</v>
      </c>
      <c r="L306" t="s">
        <v>16</v>
      </c>
      <c r="M306">
        <v>2</v>
      </c>
      <c r="S306" t="str">
        <f t="shared" si="221"/>
        <v>Sand</v>
      </c>
      <c r="T306">
        <f t="shared" si="208"/>
        <v>1</v>
      </c>
      <c r="AA306">
        <v>80</v>
      </c>
      <c r="AB306" s="1">
        <f t="shared" si="217"/>
        <v>3</v>
      </c>
      <c r="AC306">
        <f t="shared" si="218"/>
        <v>4</v>
      </c>
      <c r="AD306" t="str">
        <f t="shared" si="211"/>
        <v/>
      </c>
      <c r="AG306" s="21" t="str">
        <f t="shared" si="186"/>
        <v/>
      </c>
      <c r="AI306" s="6" t="str">
        <f t="shared" si="187"/>
        <v/>
      </c>
      <c r="AM306" s="7" t="str">
        <f t="shared" si="188"/>
        <v/>
      </c>
      <c r="AQ306" s="8" t="str">
        <f t="shared" si="189"/>
        <v/>
      </c>
      <c r="AW306" s="25" t="str">
        <f t="shared" si="190"/>
        <v/>
      </c>
      <c r="AZ306" s="12" t="str">
        <f t="shared" si="191"/>
        <v/>
      </c>
      <c r="BI306" s="17" t="str">
        <f t="shared" si="192"/>
        <v/>
      </c>
      <c r="BM306" t="str">
        <f t="shared" si="193"/>
        <v>SPT Relationship</v>
      </c>
      <c r="BN306">
        <f t="shared" si="179"/>
        <v>101</v>
      </c>
      <c r="BO306" t="str">
        <f t="shared" si="194"/>
        <v>Wolff, 1989</v>
      </c>
      <c r="BP306">
        <f t="shared" si="219"/>
        <v>28</v>
      </c>
      <c r="BQ306" t="str">
        <f t="shared" si="195"/>
        <v/>
      </c>
      <c r="BR306" t="str">
        <f t="shared" si="212"/>
        <v/>
      </c>
      <c r="BS306" t="str">
        <f t="shared" si="196"/>
        <v/>
      </c>
      <c r="BT306" t="str">
        <f t="shared" si="220"/>
        <v/>
      </c>
      <c r="BU306" t="str">
        <f t="shared" si="197"/>
        <v/>
      </c>
      <c r="BV306" t="str">
        <f t="shared" si="213"/>
        <v/>
      </c>
      <c r="BW306" t="str">
        <f t="shared" si="198"/>
        <v/>
      </c>
      <c r="BX306" t="str">
        <f t="shared" si="214"/>
        <v/>
      </c>
      <c r="BY306" t="str">
        <f t="shared" si="199"/>
        <v/>
      </c>
      <c r="BZ306" t="str">
        <f t="shared" si="215"/>
        <v/>
      </c>
      <c r="CA306" t="str">
        <f t="shared" si="200"/>
        <v/>
      </c>
      <c r="CB306" t="str">
        <f t="shared" si="182"/>
        <v/>
      </c>
      <c r="CC306" t="str">
        <f t="shared" si="201"/>
        <v/>
      </c>
      <c r="CD306" t="str">
        <f t="shared" si="183"/>
        <v/>
      </c>
      <c r="CE306" t="str">
        <f t="shared" si="202"/>
        <v>Bowles 5th edition</v>
      </c>
      <c r="CF306">
        <f t="shared" si="184"/>
        <v>115</v>
      </c>
      <c r="CG306" t="str">
        <f t="shared" si="203"/>
        <v/>
      </c>
      <c r="CH306" t="str">
        <f t="shared" si="185"/>
        <v/>
      </c>
      <c r="CI306" t="str">
        <f t="shared" si="204"/>
        <v/>
      </c>
      <c r="CJ306" t="str">
        <f t="shared" si="216"/>
        <v/>
      </c>
    </row>
    <row r="307" spans="2:88" x14ac:dyDescent="0.3">
      <c r="B307" t="str">
        <f t="shared" si="205"/>
        <v>36.824514-76.075605</v>
      </c>
      <c r="C307" s="30" t="s">
        <v>118</v>
      </c>
      <c r="D307">
        <v>36.824514000000001</v>
      </c>
      <c r="E307">
        <v>-76.075604999999996</v>
      </c>
      <c r="F307">
        <v>5</v>
      </c>
      <c r="G307" t="str">
        <f t="shared" si="206"/>
        <v>-5-736.824514-76.075605</v>
      </c>
      <c r="H307">
        <v>-5</v>
      </c>
      <c r="I307">
        <v>-7</v>
      </c>
      <c r="J307" s="30" t="s">
        <v>21</v>
      </c>
      <c r="L307" t="s">
        <v>8</v>
      </c>
      <c r="M307">
        <v>2</v>
      </c>
      <c r="S307" t="str">
        <f t="shared" si="221"/>
        <v>Sand</v>
      </c>
      <c r="T307">
        <f t="shared" si="208"/>
        <v>1</v>
      </c>
      <c r="AA307">
        <v>80</v>
      </c>
      <c r="AB307" s="1">
        <f t="shared" si="217"/>
        <v>3</v>
      </c>
      <c r="AC307">
        <f t="shared" si="218"/>
        <v>3</v>
      </c>
      <c r="AD307" t="str">
        <f t="shared" si="211"/>
        <v/>
      </c>
      <c r="AG307" s="21" t="str">
        <f t="shared" si="186"/>
        <v/>
      </c>
      <c r="AI307" s="6" t="str">
        <f t="shared" si="187"/>
        <v/>
      </c>
      <c r="AM307" s="7" t="str">
        <f t="shared" si="188"/>
        <v/>
      </c>
      <c r="AQ307" s="8" t="str">
        <f t="shared" si="189"/>
        <v/>
      </c>
      <c r="AW307" s="25" t="str">
        <f t="shared" si="190"/>
        <v/>
      </c>
      <c r="AZ307" s="12" t="str">
        <f t="shared" si="191"/>
        <v/>
      </c>
      <c r="BI307" s="17" t="str">
        <f t="shared" si="192"/>
        <v/>
      </c>
      <c r="BM307" t="str">
        <f t="shared" si="193"/>
        <v>SPT Relationship</v>
      </c>
      <c r="BN307">
        <f t="shared" si="179"/>
        <v>101</v>
      </c>
      <c r="BO307" t="str">
        <f t="shared" si="194"/>
        <v>Wolff, 1989</v>
      </c>
      <c r="BP307">
        <f t="shared" si="219"/>
        <v>27</v>
      </c>
      <c r="BQ307" t="str">
        <f t="shared" si="195"/>
        <v/>
      </c>
      <c r="BR307" t="str">
        <f t="shared" si="212"/>
        <v/>
      </c>
      <c r="BS307" t="str">
        <f t="shared" si="196"/>
        <v/>
      </c>
      <c r="BT307" t="str">
        <f t="shared" si="220"/>
        <v/>
      </c>
      <c r="BU307" t="str">
        <f t="shared" si="197"/>
        <v/>
      </c>
      <c r="BV307" t="str">
        <f t="shared" si="213"/>
        <v/>
      </c>
      <c r="BW307" t="str">
        <f t="shared" si="198"/>
        <v/>
      </c>
      <c r="BX307" t="str">
        <f t="shared" si="214"/>
        <v/>
      </c>
      <c r="BY307" t="str">
        <f t="shared" si="199"/>
        <v/>
      </c>
      <c r="BZ307" t="str">
        <f t="shared" si="215"/>
        <v/>
      </c>
      <c r="CA307" t="str">
        <f t="shared" si="200"/>
        <v/>
      </c>
      <c r="CB307" t="str">
        <f t="shared" si="182"/>
        <v/>
      </c>
      <c r="CC307" t="str">
        <f t="shared" si="201"/>
        <v/>
      </c>
      <c r="CD307" t="str">
        <f t="shared" si="183"/>
        <v/>
      </c>
      <c r="CE307" t="str">
        <f t="shared" si="202"/>
        <v>Bowles 5th edition</v>
      </c>
      <c r="CF307">
        <f t="shared" si="184"/>
        <v>115</v>
      </c>
      <c r="CG307" t="str">
        <f t="shared" si="203"/>
        <v/>
      </c>
      <c r="CH307" t="str">
        <f t="shared" si="185"/>
        <v/>
      </c>
      <c r="CI307" t="str">
        <f t="shared" si="204"/>
        <v/>
      </c>
      <c r="CJ307" t="str">
        <f t="shared" si="216"/>
        <v/>
      </c>
    </row>
    <row r="308" spans="2:88" x14ac:dyDescent="0.3">
      <c r="B308" t="str">
        <f t="shared" si="205"/>
        <v>36.824514-76.075605</v>
      </c>
      <c r="C308" s="30" t="s">
        <v>118</v>
      </c>
      <c r="D308">
        <v>36.824514000000001</v>
      </c>
      <c r="E308">
        <v>-76.075604999999996</v>
      </c>
      <c r="F308">
        <v>5</v>
      </c>
      <c r="G308" t="str">
        <f t="shared" si="206"/>
        <v>-8-1036.824514-76.075605</v>
      </c>
      <c r="H308">
        <v>-8</v>
      </c>
      <c r="I308">
        <v>-10</v>
      </c>
      <c r="J308" s="30" t="s">
        <v>21</v>
      </c>
      <c r="L308" t="s">
        <v>8</v>
      </c>
      <c r="M308">
        <v>2</v>
      </c>
      <c r="S308" t="str">
        <f t="shared" si="221"/>
        <v>Sand</v>
      </c>
      <c r="T308">
        <f t="shared" si="208"/>
        <v>1</v>
      </c>
      <c r="AA308">
        <v>80</v>
      </c>
      <c r="AB308" s="1">
        <f t="shared" si="217"/>
        <v>3</v>
      </c>
      <c r="AC308">
        <f t="shared" si="218"/>
        <v>3</v>
      </c>
      <c r="AD308" t="str">
        <f t="shared" si="211"/>
        <v/>
      </c>
      <c r="AG308" s="21" t="str">
        <f t="shared" si="186"/>
        <v/>
      </c>
      <c r="AI308" s="6" t="str">
        <f t="shared" si="187"/>
        <v/>
      </c>
      <c r="AM308" s="7" t="str">
        <f t="shared" si="188"/>
        <v/>
      </c>
      <c r="AQ308" s="8" t="str">
        <f t="shared" si="189"/>
        <v/>
      </c>
      <c r="AW308" s="25" t="str">
        <f t="shared" si="190"/>
        <v/>
      </c>
      <c r="AZ308" s="12" t="str">
        <f t="shared" si="191"/>
        <v/>
      </c>
      <c r="BI308" s="17" t="str">
        <f t="shared" si="192"/>
        <v/>
      </c>
      <c r="BM308" t="str">
        <f t="shared" si="193"/>
        <v>SPT Relationship</v>
      </c>
      <c r="BN308">
        <f t="shared" si="179"/>
        <v>101</v>
      </c>
      <c r="BO308" t="str">
        <f t="shared" si="194"/>
        <v>Wolff, 1989</v>
      </c>
      <c r="BP308">
        <f t="shared" si="219"/>
        <v>27</v>
      </c>
      <c r="BQ308" t="str">
        <f t="shared" si="195"/>
        <v/>
      </c>
      <c r="BR308" t="str">
        <f t="shared" si="212"/>
        <v/>
      </c>
      <c r="BS308" t="str">
        <f t="shared" si="196"/>
        <v/>
      </c>
      <c r="BT308" t="str">
        <f t="shared" si="220"/>
        <v/>
      </c>
      <c r="BU308" t="str">
        <f t="shared" si="197"/>
        <v/>
      </c>
      <c r="BV308" t="str">
        <f t="shared" si="213"/>
        <v/>
      </c>
      <c r="BW308" t="str">
        <f t="shared" si="198"/>
        <v/>
      </c>
      <c r="BX308" t="str">
        <f t="shared" si="214"/>
        <v/>
      </c>
      <c r="BY308" t="str">
        <f t="shared" si="199"/>
        <v/>
      </c>
      <c r="BZ308" t="str">
        <f t="shared" si="215"/>
        <v/>
      </c>
      <c r="CA308" t="str">
        <f t="shared" si="200"/>
        <v/>
      </c>
      <c r="CB308" t="str">
        <f t="shared" si="182"/>
        <v/>
      </c>
      <c r="CC308" t="str">
        <f t="shared" si="201"/>
        <v/>
      </c>
      <c r="CD308" t="str">
        <f t="shared" si="183"/>
        <v/>
      </c>
      <c r="CE308" t="str">
        <f t="shared" si="202"/>
        <v>Bowles 5th edition</v>
      </c>
      <c r="CF308">
        <f t="shared" si="184"/>
        <v>115</v>
      </c>
      <c r="CG308" t="str">
        <f t="shared" si="203"/>
        <v/>
      </c>
      <c r="CH308" t="str">
        <f t="shared" si="185"/>
        <v/>
      </c>
      <c r="CI308" t="str">
        <f t="shared" si="204"/>
        <v/>
      </c>
      <c r="CJ308" t="str">
        <f t="shared" si="216"/>
        <v/>
      </c>
    </row>
    <row r="309" spans="2:88" x14ac:dyDescent="0.3">
      <c r="B309" t="str">
        <f t="shared" si="205"/>
        <v>36.824514-76.075605</v>
      </c>
      <c r="C309" s="30" t="s">
        <v>118</v>
      </c>
      <c r="D309">
        <v>36.824514000000001</v>
      </c>
      <c r="E309">
        <v>-76.075604999999996</v>
      </c>
      <c r="F309">
        <v>5</v>
      </c>
      <c r="G309" t="str">
        <f t="shared" si="206"/>
        <v>-13-1536.824514-76.075605</v>
      </c>
      <c r="H309">
        <v>-13</v>
      </c>
      <c r="I309">
        <v>-15</v>
      </c>
      <c r="J309" s="30" t="s">
        <v>21</v>
      </c>
      <c r="L309" t="s">
        <v>8</v>
      </c>
      <c r="M309">
        <v>5</v>
      </c>
      <c r="S309" t="str">
        <f t="shared" si="221"/>
        <v>Sand</v>
      </c>
      <c r="T309">
        <f t="shared" si="208"/>
        <v>1</v>
      </c>
      <c r="AA309">
        <v>80</v>
      </c>
      <c r="AB309" s="1">
        <f t="shared" si="217"/>
        <v>7</v>
      </c>
      <c r="AC309">
        <f t="shared" si="218"/>
        <v>6</v>
      </c>
      <c r="AD309" t="str">
        <f t="shared" si="211"/>
        <v/>
      </c>
      <c r="AG309" s="21" t="str">
        <f t="shared" si="186"/>
        <v/>
      </c>
      <c r="AI309" s="6" t="str">
        <f t="shared" si="187"/>
        <v/>
      </c>
      <c r="AM309" s="7" t="str">
        <f t="shared" si="188"/>
        <v/>
      </c>
      <c r="AQ309" s="8" t="str">
        <f t="shared" si="189"/>
        <v/>
      </c>
      <c r="AW309" s="25" t="str">
        <f t="shared" si="190"/>
        <v/>
      </c>
      <c r="AZ309" s="12" t="str">
        <f t="shared" si="191"/>
        <v/>
      </c>
      <c r="BI309" s="17" t="str">
        <f t="shared" si="192"/>
        <v/>
      </c>
      <c r="BM309" t="str">
        <f t="shared" si="193"/>
        <v>SPT Relationship</v>
      </c>
      <c r="BN309">
        <f t="shared" si="179"/>
        <v>111</v>
      </c>
      <c r="BO309" t="str">
        <f t="shared" si="194"/>
        <v>Wolff, 1989</v>
      </c>
      <c r="BP309">
        <f t="shared" si="219"/>
        <v>28</v>
      </c>
      <c r="BQ309" t="str">
        <f t="shared" si="195"/>
        <v/>
      </c>
      <c r="BR309" t="str">
        <f t="shared" si="212"/>
        <v/>
      </c>
      <c r="BS309" t="str">
        <f t="shared" si="196"/>
        <v/>
      </c>
      <c r="BT309" t="str">
        <f t="shared" si="220"/>
        <v/>
      </c>
      <c r="BU309" t="str">
        <f t="shared" si="197"/>
        <v/>
      </c>
      <c r="BV309" t="str">
        <f t="shared" si="213"/>
        <v/>
      </c>
      <c r="BW309" t="str">
        <f t="shared" si="198"/>
        <v/>
      </c>
      <c r="BX309" t="str">
        <f t="shared" si="214"/>
        <v/>
      </c>
      <c r="BY309" t="str">
        <f t="shared" si="199"/>
        <v/>
      </c>
      <c r="BZ309" t="str">
        <f t="shared" si="215"/>
        <v/>
      </c>
      <c r="CA309" t="str">
        <f t="shared" si="200"/>
        <v/>
      </c>
      <c r="CB309" t="str">
        <f t="shared" si="182"/>
        <v/>
      </c>
      <c r="CC309" t="str">
        <f t="shared" si="201"/>
        <v/>
      </c>
      <c r="CD309" t="str">
        <f t="shared" si="183"/>
        <v/>
      </c>
      <c r="CE309" t="str">
        <f t="shared" si="202"/>
        <v>Bowles 5th edition</v>
      </c>
      <c r="CF309">
        <f t="shared" si="184"/>
        <v>141</v>
      </c>
      <c r="CG309" t="str">
        <f t="shared" si="203"/>
        <v/>
      </c>
      <c r="CH309" t="str">
        <f t="shared" si="185"/>
        <v/>
      </c>
      <c r="CI309" t="str">
        <f t="shared" si="204"/>
        <v/>
      </c>
      <c r="CJ309" t="str">
        <f t="shared" si="216"/>
        <v/>
      </c>
    </row>
    <row r="310" spans="2:88" x14ac:dyDescent="0.3">
      <c r="B310" t="str">
        <f t="shared" si="205"/>
        <v>36.824514-76.075605</v>
      </c>
      <c r="C310" s="30" t="s">
        <v>118</v>
      </c>
      <c r="D310">
        <v>36.824514000000001</v>
      </c>
      <c r="E310">
        <v>-76.075604999999996</v>
      </c>
      <c r="F310">
        <v>5</v>
      </c>
      <c r="G310" t="str">
        <f t="shared" si="206"/>
        <v>-18-2036.824514-76.075605</v>
      </c>
      <c r="H310">
        <v>-18</v>
      </c>
      <c r="I310">
        <v>-20</v>
      </c>
      <c r="J310" s="30" t="s">
        <v>21</v>
      </c>
      <c r="L310" t="s">
        <v>8</v>
      </c>
      <c r="M310">
        <v>3</v>
      </c>
      <c r="S310" t="str">
        <f t="shared" si="221"/>
        <v>Sand</v>
      </c>
      <c r="T310">
        <f t="shared" si="208"/>
        <v>1</v>
      </c>
      <c r="AA310">
        <v>80</v>
      </c>
      <c r="AB310" s="1">
        <f t="shared" si="217"/>
        <v>4</v>
      </c>
      <c r="AC310">
        <f t="shared" si="218"/>
        <v>3</v>
      </c>
      <c r="AD310" t="str">
        <f t="shared" si="211"/>
        <v/>
      </c>
      <c r="AG310" s="21" t="str">
        <f t="shared" si="186"/>
        <v/>
      </c>
      <c r="AI310" s="6" t="str">
        <f t="shared" si="187"/>
        <v/>
      </c>
      <c r="AM310" s="7" t="str">
        <f t="shared" si="188"/>
        <v/>
      </c>
      <c r="AQ310" s="8" t="str">
        <f t="shared" si="189"/>
        <v/>
      </c>
      <c r="AW310" s="25" t="str">
        <f t="shared" si="190"/>
        <v/>
      </c>
      <c r="AZ310" s="12" t="str">
        <f t="shared" si="191"/>
        <v/>
      </c>
      <c r="BI310" s="17" t="str">
        <f t="shared" si="192"/>
        <v/>
      </c>
      <c r="BM310" t="str">
        <f t="shared" si="193"/>
        <v>SPT Relationship</v>
      </c>
      <c r="BN310">
        <f t="shared" si="179"/>
        <v>105</v>
      </c>
      <c r="BO310" t="str">
        <f t="shared" si="194"/>
        <v>Wolff, 1989</v>
      </c>
      <c r="BP310">
        <f t="shared" si="219"/>
        <v>27</v>
      </c>
      <c r="BQ310" t="str">
        <f t="shared" si="195"/>
        <v/>
      </c>
      <c r="BR310" t="str">
        <f t="shared" si="212"/>
        <v/>
      </c>
      <c r="BS310" t="str">
        <f t="shared" si="196"/>
        <v/>
      </c>
      <c r="BT310" t="str">
        <f t="shared" si="220"/>
        <v/>
      </c>
      <c r="BU310" t="str">
        <f t="shared" si="197"/>
        <v/>
      </c>
      <c r="BV310" t="str">
        <f t="shared" si="213"/>
        <v/>
      </c>
      <c r="BW310" t="str">
        <f t="shared" si="198"/>
        <v/>
      </c>
      <c r="BX310" t="str">
        <f t="shared" si="214"/>
        <v/>
      </c>
      <c r="BY310" t="str">
        <f t="shared" si="199"/>
        <v/>
      </c>
      <c r="BZ310" t="str">
        <f t="shared" si="215"/>
        <v/>
      </c>
      <c r="CA310" t="str">
        <f t="shared" si="200"/>
        <v/>
      </c>
      <c r="CB310" t="str">
        <f t="shared" si="182"/>
        <v/>
      </c>
      <c r="CC310" t="str">
        <f t="shared" si="201"/>
        <v/>
      </c>
      <c r="CD310" t="str">
        <f t="shared" si="183"/>
        <v/>
      </c>
      <c r="CE310" t="str">
        <f t="shared" si="202"/>
        <v>Bowles 5th edition</v>
      </c>
      <c r="CF310">
        <f t="shared" si="184"/>
        <v>122</v>
      </c>
      <c r="CG310" t="str">
        <f t="shared" si="203"/>
        <v/>
      </c>
      <c r="CH310" t="str">
        <f t="shared" si="185"/>
        <v/>
      </c>
      <c r="CI310" t="str">
        <f t="shared" si="204"/>
        <v/>
      </c>
      <c r="CJ310" t="str">
        <f t="shared" si="216"/>
        <v/>
      </c>
    </row>
    <row r="311" spans="2:88" x14ac:dyDescent="0.3">
      <c r="B311" t="str">
        <f t="shared" si="205"/>
        <v>36.824636-76.075923</v>
      </c>
      <c r="C311" s="30" t="s">
        <v>119</v>
      </c>
      <c r="D311">
        <v>36.824635999999998</v>
      </c>
      <c r="E311">
        <v>-76.075923000000003</v>
      </c>
      <c r="F311">
        <v>5</v>
      </c>
      <c r="G311" t="str">
        <f t="shared" si="206"/>
        <v>5336.824636-76.075923</v>
      </c>
      <c r="H311">
        <v>5</v>
      </c>
      <c r="I311">
        <v>3</v>
      </c>
      <c r="J311" s="30" t="s">
        <v>21</v>
      </c>
      <c r="L311" t="s">
        <v>11</v>
      </c>
      <c r="M311">
        <v>15</v>
      </c>
      <c r="S311" t="str">
        <f t="shared" si="221"/>
        <v>Clay</v>
      </c>
      <c r="T311">
        <f t="shared" si="208"/>
        <v>1</v>
      </c>
      <c r="AA311">
        <v>80</v>
      </c>
      <c r="AB311" s="1">
        <f t="shared" si="217"/>
        <v>20</v>
      </c>
      <c r="AC311">
        <f t="shared" si="218"/>
        <v>61</v>
      </c>
      <c r="AD311" t="str">
        <f t="shared" si="211"/>
        <v/>
      </c>
      <c r="AG311" s="21" t="str">
        <f t="shared" si="186"/>
        <v/>
      </c>
      <c r="AI311" s="6" t="str">
        <f t="shared" si="187"/>
        <v/>
      </c>
      <c r="AM311" s="7" t="str">
        <f t="shared" si="188"/>
        <v/>
      </c>
      <c r="AQ311" s="8" t="str">
        <f t="shared" si="189"/>
        <v/>
      </c>
      <c r="AW311" s="25" t="str">
        <f t="shared" si="190"/>
        <v/>
      </c>
      <c r="AZ311" s="12" t="str">
        <f t="shared" si="191"/>
        <v/>
      </c>
      <c r="BI311" s="17" t="str">
        <f t="shared" si="192"/>
        <v/>
      </c>
      <c r="BM311" t="str">
        <f t="shared" si="193"/>
        <v>SPT Relationship</v>
      </c>
      <c r="BN311">
        <f t="shared" si="179"/>
        <v>123</v>
      </c>
      <c r="BO311" t="str">
        <f t="shared" si="194"/>
        <v>Wolff, 1989</v>
      </c>
      <c r="BP311">
        <f t="shared" si="219"/>
        <v>43</v>
      </c>
      <c r="BQ311" t="str">
        <f t="shared" si="195"/>
        <v/>
      </c>
      <c r="BR311" t="str">
        <f t="shared" si="212"/>
        <v/>
      </c>
      <c r="BS311" t="str">
        <f t="shared" si="196"/>
        <v>Stroud 1974 (K=3.5)</v>
      </c>
      <c r="BT311">
        <f t="shared" si="220"/>
        <v>1462</v>
      </c>
      <c r="BU311" t="str">
        <f t="shared" si="197"/>
        <v/>
      </c>
      <c r="BV311" t="str">
        <f t="shared" si="213"/>
        <v/>
      </c>
      <c r="BW311" t="str">
        <f t="shared" si="198"/>
        <v/>
      </c>
      <c r="BX311" t="str">
        <f t="shared" si="214"/>
        <v/>
      </c>
      <c r="BY311" t="str">
        <f t="shared" si="199"/>
        <v/>
      </c>
      <c r="BZ311" t="str">
        <f t="shared" si="215"/>
        <v/>
      </c>
      <c r="CA311" t="str">
        <f t="shared" si="200"/>
        <v/>
      </c>
      <c r="CB311" t="str">
        <f t="shared" si="182"/>
        <v/>
      </c>
      <c r="CC311" t="str">
        <f t="shared" si="201"/>
        <v/>
      </c>
      <c r="CD311" t="str">
        <f t="shared" si="183"/>
        <v/>
      </c>
      <c r="CE311" t="str">
        <f t="shared" si="202"/>
        <v/>
      </c>
      <c r="CF311" t="str">
        <f t="shared" si="184"/>
        <v/>
      </c>
      <c r="CG311" t="str">
        <f t="shared" si="203"/>
        <v/>
      </c>
      <c r="CH311" t="str">
        <f t="shared" si="185"/>
        <v/>
      </c>
      <c r="CI311" t="str">
        <f t="shared" si="204"/>
        <v/>
      </c>
      <c r="CJ311" t="str">
        <f t="shared" si="216"/>
        <v/>
      </c>
    </row>
    <row r="312" spans="2:88" x14ac:dyDescent="0.3">
      <c r="B312" t="str">
        <f t="shared" si="205"/>
        <v>36.824636-76.075923</v>
      </c>
      <c r="C312" s="30" t="s">
        <v>119</v>
      </c>
      <c r="D312">
        <v>36.824635999999998</v>
      </c>
      <c r="E312">
        <v>-76.075923000000003</v>
      </c>
      <c r="F312">
        <v>5</v>
      </c>
      <c r="G312" t="str">
        <f t="shared" si="206"/>
        <v>3136.824636-76.075923</v>
      </c>
      <c r="H312">
        <v>3</v>
      </c>
      <c r="I312">
        <v>1</v>
      </c>
      <c r="J312" s="30" t="s">
        <v>21</v>
      </c>
      <c r="L312" t="s">
        <v>17</v>
      </c>
      <c r="M312">
        <v>13</v>
      </c>
      <c r="S312" t="str">
        <f t="shared" si="221"/>
        <v>Sand</v>
      </c>
      <c r="T312">
        <f t="shared" si="208"/>
        <v>1</v>
      </c>
      <c r="AA312">
        <v>80</v>
      </c>
      <c r="AB312" s="1">
        <f t="shared" si="217"/>
        <v>17</v>
      </c>
      <c r="AC312">
        <f t="shared" si="218"/>
        <v>37</v>
      </c>
      <c r="AD312" t="str">
        <f t="shared" si="211"/>
        <v/>
      </c>
      <c r="AG312" s="21" t="str">
        <f t="shared" si="186"/>
        <v/>
      </c>
      <c r="AI312" s="6" t="str">
        <f t="shared" si="187"/>
        <v/>
      </c>
      <c r="AM312" s="7" t="str">
        <f t="shared" si="188"/>
        <v/>
      </c>
      <c r="AQ312" s="8" t="str">
        <f t="shared" si="189"/>
        <v/>
      </c>
      <c r="AW312" s="25" t="str">
        <f t="shared" si="190"/>
        <v/>
      </c>
      <c r="AZ312" s="12" t="str">
        <f t="shared" si="191"/>
        <v/>
      </c>
      <c r="BI312" s="17" t="str">
        <f t="shared" si="192"/>
        <v/>
      </c>
      <c r="BM312" t="str">
        <f t="shared" si="193"/>
        <v>SPT Relationship</v>
      </c>
      <c r="BN312">
        <f t="shared" si="179"/>
        <v>121</v>
      </c>
      <c r="BO312" t="str">
        <f t="shared" si="194"/>
        <v>Wolff, 1989</v>
      </c>
      <c r="BP312">
        <f t="shared" si="219"/>
        <v>37</v>
      </c>
      <c r="BQ312" t="str">
        <f t="shared" si="195"/>
        <v/>
      </c>
      <c r="BR312" t="str">
        <f t="shared" si="212"/>
        <v/>
      </c>
      <c r="BS312" t="str">
        <f t="shared" si="196"/>
        <v/>
      </c>
      <c r="BT312" t="str">
        <f t="shared" si="220"/>
        <v/>
      </c>
      <c r="BU312" t="str">
        <f t="shared" si="197"/>
        <v/>
      </c>
      <c r="BV312" t="str">
        <f t="shared" si="213"/>
        <v/>
      </c>
      <c r="BW312" t="str">
        <f t="shared" si="198"/>
        <v/>
      </c>
      <c r="BX312" t="str">
        <f t="shared" si="214"/>
        <v/>
      </c>
      <c r="BY312" t="str">
        <f t="shared" si="199"/>
        <v/>
      </c>
      <c r="BZ312" t="str">
        <f t="shared" si="215"/>
        <v/>
      </c>
      <c r="CA312" t="str">
        <f t="shared" si="200"/>
        <v/>
      </c>
      <c r="CB312" t="str">
        <f t="shared" si="182"/>
        <v/>
      </c>
      <c r="CC312" t="str">
        <f t="shared" si="201"/>
        <v/>
      </c>
      <c r="CD312" t="str">
        <f t="shared" si="183"/>
        <v/>
      </c>
      <c r="CE312" t="str">
        <f t="shared" si="202"/>
        <v>Bowles 5th edition</v>
      </c>
      <c r="CF312">
        <f t="shared" si="184"/>
        <v>205</v>
      </c>
      <c r="CG312" t="str">
        <f t="shared" si="203"/>
        <v/>
      </c>
      <c r="CH312" t="str">
        <f t="shared" si="185"/>
        <v/>
      </c>
      <c r="CI312" t="str">
        <f t="shared" si="204"/>
        <v/>
      </c>
      <c r="CJ312" t="str">
        <f t="shared" si="216"/>
        <v/>
      </c>
    </row>
    <row r="313" spans="2:88" x14ac:dyDescent="0.3">
      <c r="B313" t="str">
        <f t="shared" si="205"/>
        <v>36.824636-76.075923</v>
      </c>
      <c r="C313" s="30" t="s">
        <v>119</v>
      </c>
      <c r="D313">
        <v>36.824635999999998</v>
      </c>
      <c r="E313">
        <v>-76.075923000000003</v>
      </c>
      <c r="F313">
        <v>5</v>
      </c>
      <c r="G313" t="str">
        <f t="shared" si="206"/>
        <v>1-136.824636-76.075923</v>
      </c>
      <c r="H313">
        <v>1</v>
      </c>
      <c r="I313">
        <v>-1</v>
      </c>
      <c r="J313" s="30" t="s">
        <v>21</v>
      </c>
      <c r="L313" t="s">
        <v>8</v>
      </c>
      <c r="M313">
        <v>12</v>
      </c>
      <c r="S313" t="str">
        <f t="shared" si="221"/>
        <v>Sand</v>
      </c>
      <c r="T313">
        <f t="shared" si="208"/>
        <v>1</v>
      </c>
      <c r="AA313">
        <v>80</v>
      </c>
      <c r="AB313" s="1">
        <f t="shared" si="217"/>
        <v>16</v>
      </c>
      <c r="AC313">
        <f t="shared" si="218"/>
        <v>28</v>
      </c>
      <c r="AD313" t="str">
        <f t="shared" si="211"/>
        <v/>
      </c>
      <c r="AG313" s="21" t="str">
        <f t="shared" si="186"/>
        <v/>
      </c>
      <c r="AI313" s="6" t="str">
        <f t="shared" si="187"/>
        <v/>
      </c>
      <c r="AM313" s="7" t="str">
        <f t="shared" si="188"/>
        <v/>
      </c>
      <c r="AQ313" s="8" t="str">
        <f t="shared" si="189"/>
        <v/>
      </c>
      <c r="AW313" s="25" t="str">
        <f t="shared" si="190"/>
        <v/>
      </c>
      <c r="AZ313" s="12" t="str">
        <f t="shared" si="191"/>
        <v/>
      </c>
      <c r="BI313" s="17" t="str">
        <f t="shared" si="192"/>
        <v/>
      </c>
      <c r="BM313" t="str">
        <f t="shared" si="193"/>
        <v>SPT Relationship</v>
      </c>
      <c r="BN313">
        <f t="shared" si="179"/>
        <v>120</v>
      </c>
      <c r="BO313" t="str">
        <f t="shared" si="194"/>
        <v>Wolff, 1989</v>
      </c>
      <c r="BP313">
        <f t="shared" si="219"/>
        <v>35</v>
      </c>
      <c r="BQ313" t="str">
        <f t="shared" si="195"/>
        <v/>
      </c>
      <c r="BR313" t="str">
        <f t="shared" si="212"/>
        <v/>
      </c>
      <c r="BS313" t="str">
        <f t="shared" si="196"/>
        <v/>
      </c>
      <c r="BT313" t="str">
        <f t="shared" si="220"/>
        <v/>
      </c>
      <c r="BU313" t="str">
        <f t="shared" si="197"/>
        <v/>
      </c>
      <c r="BV313" t="str">
        <f t="shared" si="213"/>
        <v/>
      </c>
      <c r="BW313" t="str">
        <f t="shared" si="198"/>
        <v/>
      </c>
      <c r="BX313" t="str">
        <f t="shared" si="214"/>
        <v/>
      </c>
      <c r="BY313" t="str">
        <f t="shared" si="199"/>
        <v/>
      </c>
      <c r="BZ313" t="str">
        <f t="shared" si="215"/>
        <v/>
      </c>
      <c r="CA313" t="str">
        <f t="shared" si="200"/>
        <v/>
      </c>
      <c r="CB313" t="str">
        <f t="shared" si="182"/>
        <v/>
      </c>
      <c r="CC313" t="str">
        <f t="shared" si="201"/>
        <v/>
      </c>
      <c r="CD313" t="str">
        <f t="shared" si="183"/>
        <v/>
      </c>
      <c r="CE313" t="str">
        <f t="shared" si="202"/>
        <v>Bowles 5th edition</v>
      </c>
      <c r="CF313">
        <f t="shared" si="184"/>
        <v>198</v>
      </c>
      <c r="CG313" t="str">
        <f t="shared" si="203"/>
        <v/>
      </c>
      <c r="CH313" t="str">
        <f t="shared" si="185"/>
        <v/>
      </c>
      <c r="CI313" t="str">
        <f t="shared" si="204"/>
        <v/>
      </c>
      <c r="CJ313" t="str">
        <f t="shared" si="216"/>
        <v/>
      </c>
    </row>
    <row r="314" spans="2:88" x14ac:dyDescent="0.3">
      <c r="B314" t="str">
        <f t="shared" si="205"/>
        <v>36.824636-76.075923</v>
      </c>
      <c r="C314" s="30" t="s">
        <v>119</v>
      </c>
      <c r="D314">
        <v>36.824635999999998</v>
      </c>
      <c r="E314">
        <v>-76.075923000000003</v>
      </c>
      <c r="F314">
        <v>5</v>
      </c>
      <c r="G314" t="str">
        <f t="shared" si="206"/>
        <v>-1-336.824636-76.075923</v>
      </c>
      <c r="H314">
        <v>-1</v>
      </c>
      <c r="I314">
        <v>-3</v>
      </c>
      <c r="J314" s="30" t="s">
        <v>21</v>
      </c>
      <c r="L314" t="s">
        <v>17</v>
      </c>
      <c r="M314">
        <v>4</v>
      </c>
      <c r="S314" t="str">
        <f t="shared" si="221"/>
        <v>Sand</v>
      </c>
      <c r="T314">
        <f t="shared" si="208"/>
        <v>1</v>
      </c>
      <c r="AA314">
        <v>80</v>
      </c>
      <c r="AB314" s="1">
        <f t="shared" si="217"/>
        <v>5</v>
      </c>
      <c r="AC314">
        <f t="shared" si="218"/>
        <v>7</v>
      </c>
      <c r="AD314" t="str">
        <f t="shared" si="211"/>
        <v/>
      </c>
      <c r="AG314" s="21" t="str">
        <f t="shared" si="186"/>
        <v/>
      </c>
      <c r="AI314" s="6" t="str">
        <f t="shared" si="187"/>
        <v/>
      </c>
      <c r="AM314" s="7" t="str">
        <f t="shared" si="188"/>
        <v/>
      </c>
      <c r="AQ314" s="8" t="str">
        <f t="shared" si="189"/>
        <v/>
      </c>
      <c r="AW314" s="25" t="str">
        <f t="shared" si="190"/>
        <v/>
      </c>
      <c r="AZ314" s="12" t="str">
        <f t="shared" si="191"/>
        <v/>
      </c>
      <c r="BI314" s="17" t="str">
        <f t="shared" si="192"/>
        <v/>
      </c>
      <c r="BM314" t="str">
        <f t="shared" si="193"/>
        <v>SPT Relationship</v>
      </c>
      <c r="BN314">
        <f t="shared" si="179"/>
        <v>108</v>
      </c>
      <c r="BO314" t="str">
        <f t="shared" si="194"/>
        <v>Wolff, 1989</v>
      </c>
      <c r="BP314">
        <f t="shared" si="219"/>
        <v>29</v>
      </c>
      <c r="BQ314" t="str">
        <f t="shared" si="195"/>
        <v/>
      </c>
      <c r="BR314" t="str">
        <f t="shared" si="212"/>
        <v/>
      </c>
      <c r="BS314" t="str">
        <f t="shared" si="196"/>
        <v/>
      </c>
      <c r="BT314" t="str">
        <f t="shared" si="220"/>
        <v/>
      </c>
      <c r="BU314" t="str">
        <f t="shared" si="197"/>
        <v/>
      </c>
      <c r="BV314" t="str">
        <f t="shared" si="213"/>
        <v/>
      </c>
      <c r="BW314" t="str">
        <f t="shared" si="198"/>
        <v/>
      </c>
      <c r="BX314" t="str">
        <f t="shared" si="214"/>
        <v/>
      </c>
      <c r="BY314" t="str">
        <f t="shared" si="199"/>
        <v/>
      </c>
      <c r="BZ314" t="str">
        <f t="shared" si="215"/>
        <v/>
      </c>
      <c r="CA314" t="str">
        <f t="shared" si="200"/>
        <v/>
      </c>
      <c r="CB314" t="str">
        <f t="shared" si="182"/>
        <v/>
      </c>
      <c r="CC314" t="str">
        <f t="shared" si="201"/>
        <v/>
      </c>
      <c r="CD314" t="str">
        <f t="shared" si="183"/>
        <v/>
      </c>
      <c r="CE314" t="str">
        <f t="shared" si="202"/>
        <v>Bowles 5th edition</v>
      </c>
      <c r="CF314">
        <f t="shared" si="184"/>
        <v>128</v>
      </c>
      <c r="CG314" t="str">
        <f t="shared" si="203"/>
        <v/>
      </c>
      <c r="CH314" t="str">
        <f t="shared" si="185"/>
        <v/>
      </c>
      <c r="CI314" t="str">
        <f t="shared" si="204"/>
        <v/>
      </c>
      <c r="CJ314" t="str">
        <f t="shared" si="216"/>
        <v/>
      </c>
    </row>
    <row r="315" spans="2:88" x14ac:dyDescent="0.3">
      <c r="B315" t="str">
        <f t="shared" si="205"/>
        <v>36.824636-76.075923</v>
      </c>
      <c r="C315" s="30" t="s">
        <v>119</v>
      </c>
      <c r="D315">
        <v>36.824635999999998</v>
      </c>
      <c r="E315">
        <v>-76.075923000000003</v>
      </c>
      <c r="F315">
        <v>5</v>
      </c>
      <c r="G315" t="str">
        <f t="shared" si="206"/>
        <v>-3-536.824636-76.075923</v>
      </c>
      <c r="H315">
        <v>-3</v>
      </c>
      <c r="I315">
        <v>-5</v>
      </c>
      <c r="J315" s="30" t="s">
        <v>21</v>
      </c>
      <c r="L315" t="s">
        <v>11</v>
      </c>
      <c r="M315">
        <v>1</v>
      </c>
      <c r="S315" t="str">
        <f t="shared" si="221"/>
        <v>Clay</v>
      </c>
      <c r="T315">
        <f t="shared" si="208"/>
        <v>1</v>
      </c>
      <c r="AA315">
        <v>80</v>
      </c>
      <c r="AB315" s="1">
        <f t="shared" si="217"/>
        <v>1</v>
      </c>
      <c r="AC315">
        <f t="shared" si="218"/>
        <v>1</v>
      </c>
      <c r="AD315" t="str">
        <f t="shared" si="211"/>
        <v/>
      </c>
      <c r="AG315" s="21" t="str">
        <f t="shared" si="186"/>
        <v/>
      </c>
      <c r="AI315" s="6" t="str">
        <f t="shared" si="187"/>
        <v/>
      </c>
      <c r="AM315" s="7" t="str">
        <f t="shared" si="188"/>
        <v/>
      </c>
      <c r="AQ315" s="8" t="str">
        <f t="shared" si="189"/>
        <v/>
      </c>
      <c r="AW315" s="25" t="str">
        <f t="shared" si="190"/>
        <v/>
      </c>
      <c r="AZ315" s="12" t="str">
        <f t="shared" si="191"/>
        <v/>
      </c>
      <c r="BI315" s="17" t="str">
        <f t="shared" si="192"/>
        <v/>
      </c>
      <c r="BM315" t="str">
        <f t="shared" si="193"/>
        <v>SPT Relationship</v>
      </c>
      <c r="BN315">
        <f t="shared" si="179"/>
        <v>95</v>
      </c>
      <c r="BO315" t="str">
        <f t="shared" si="194"/>
        <v>Wolff, 1989</v>
      </c>
      <c r="BP315">
        <f t="shared" si="219"/>
        <v>27</v>
      </c>
      <c r="BQ315" t="str">
        <f t="shared" si="195"/>
        <v/>
      </c>
      <c r="BR315" t="str">
        <f t="shared" si="212"/>
        <v/>
      </c>
      <c r="BS315" t="str">
        <f t="shared" si="196"/>
        <v>Stroud 1974 (K=3.5)</v>
      </c>
      <c r="BT315">
        <f t="shared" si="220"/>
        <v>73</v>
      </c>
      <c r="BU315" t="str">
        <f t="shared" si="197"/>
        <v/>
      </c>
      <c r="BV315" t="str">
        <f t="shared" si="213"/>
        <v/>
      </c>
      <c r="BW315" t="str">
        <f t="shared" si="198"/>
        <v/>
      </c>
      <c r="BX315" t="str">
        <f t="shared" si="214"/>
        <v/>
      </c>
      <c r="BY315" t="str">
        <f t="shared" si="199"/>
        <v/>
      </c>
      <c r="BZ315" t="str">
        <f t="shared" si="215"/>
        <v/>
      </c>
      <c r="CA315" t="str">
        <f t="shared" si="200"/>
        <v/>
      </c>
      <c r="CB315" t="str">
        <f t="shared" si="182"/>
        <v/>
      </c>
      <c r="CC315" t="str">
        <f t="shared" si="201"/>
        <v/>
      </c>
      <c r="CD315" t="str">
        <f t="shared" si="183"/>
        <v/>
      </c>
      <c r="CE315" t="str">
        <f t="shared" si="202"/>
        <v/>
      </c>
      <c r="CF315" t="str">
        <f t="shared" si="184"/>
        <v/>
      </c>
      <c r="CG315" t="str">
        <f t="shared" si="203"/>
        <v/>
      </c>
      <c r="CH315" t="str">
        <f t="shared" si="185"/>
        <v/>
      </c>
      <c r="CI315" t="str">
        <f t="shared" si="204"/>
        <v/>
      </c>
      <c r="CJ315" t="str">
        <f t="shared" si="216"/>
        <v/>
      </c>
    </row>
    <row r="316" spans="2:88" x14ac:dyDescent="0.3">
      <c r="B316" t="str">
        <f t="shared" si="205"/>
        <v>36.824636-76.075923</v>
      </c>
      <c r="C316" s="30" t="s">
        <v>119</v>
      </c>
      <c r="D316">
        <v>36.824635999999998</v>
      </c>
      <c r="E316">
        <v>-76.075923000000003</v>
      </c>
      <c r="F316">
        <v>5</v>
      </c>
      <c r="G316" t="str">
        <f t="shared" si="206"/>
        <v>-5-736.824636-76.075923</v>
      </c>
      <c r="H316">
        <v>-5</v>
      </c>
      <c r="I316">
        <v>-7</v>
      </c>
      <c r="J316" s="30" t="s">
        <v>21</v>
      </c>
      <c r="L316" t="s">
        <v>11</v>
      </c>
      <c r="M316">
        <v>0</v>
      </c>
      <c r="S316" t="str">
        <f t="shared" si="221"/>
        <v>Clay</v>
      </c>
      <c r="T316">
        <f t="shared" si="208"/>
        <v>1</v>
      </c>
      <c r="AA316">
        <v>80</v>
      </c>
      <c r="AB316" s="1">
        <f t="shared" si="217"/>
        <v>0</v>
      </c>
      <c r="AC316">
        <f t="shared" si="218"/>
        <v>0</v>
      </c>
      <c r="AD316" t="str">
        <f t="shared" si="211"/>
        <v/>
      </c>
      <c r="AG316" s="21" t="str">
        <f t="shared" si="186"/>
        <v/>
      </c>
      <c r="AI316" s="6" t="str">
        <f t="shared" si="187"/>
        <v/>
      </c>
      <c r="AM316" s="7" t="str">
        <f t="shared" si="188"/>
        <v/>
      </c>
      <c r="AQ316" s="8" t="str">
        <f t="shared" si="189"/>
        <v/>
      </c>
      <c r="AW316" s="25" t="str">
        <f t="shared" si="190"/>
        <v/>
      </c>
      <c r="AZ316" s="12" t="str">
        <f t="shared" si="191"/>
        <v/>
      </c>
      <c r="BI316" s="17" t="str">
        <f t="shared" si="192"/>
        <v/>
      </c>
      <c r="BM316" t="str">
        <f t="shared" si="193"/>
        <v>SPT Relationship</v>
      </c>
      <c r="BN316">
        <f t="shared" si="179"/>
        <v>95</v>
      </c>
      <c r="BO316" t="str">
        <f t="shared" si="194"/>
        <v>Wolff, 1989</v>
      </c>
      <c r="BP316">
        <f t="shared" si="219"/>
        <v>27</v>
      </c>
      <c r="BQ316" t="str">
        <f t="shared" si="195"/>
        <v/>
      </c>
      <c r="BR316" t="str">
        <f t="shared" si="212"/>
        <v/>
      </c>
      <c r="BS316" t="str">
        <f t="shared" si="196"/>
        <v>Stroud 1974 (K=3.5)</v>
      </c>
      <c r="BT316">
        <f t="shared" si="220"/>
        <v>0</v>
      </c>
      <c r="BU316" t="str">
        <f t="shared" si="197"/>
        <v/>
      </c>
      <c r="BV316" t="str">
        <f t="shared" si="213"/>
        <v/>
      </c>
      <c r="BW316" t="str">
        <f t="shared" si="198"/>
        <v/>
      </c>
      <c r="BX316" t="str">
        <f t="shared" si="214"/>
        <v/>
      </c>
      <c r="BY316" t="str">
        <f t="shared" si="199"/>
        <v/>
      </c>
      <c r="BZ316" t="str">
        <f t="shared" si="215"/>
        <v/>
      </c>
      <c r="CA316" t="str">
        <f t="shared" si="200"/>
        <v/>
      </c>
      <c r="CB316" t="str">
        <f t="shared" si="182"/>
        <v/>
      </c>
      <c r="CC316" t="str">
        <f t="shared" si="201"/>
        <v/>
      </c>
      <c r="CD316" t="str">
        <f t="shared" si="183"/>
        <v/>
      </c>
      <c r="CE316" t="str">
        <f t="shared" si="202"/>
        <v/>
      </c>
      <c r="CF316" t="str">
        <f t="shared" si="184"/>
        <v/>
      </c>
      <c r="CG316" t="str">
        <f t="shared" si="203"/>
        <v/>
      </c>
      <c r="CH316" t="str">
        <f t="shared" si="185"/>
        <v/>
      </c>
      <c r="CI316" t="str">
        <f t="shared" si="204"/>
        <v/>
      </c>
      <c r="CJ316" t="str">
        <f t="shared" si="216"/>
        <v/>
      </c>
    </row>
    <row r="317" spans="2:88" x14ac:dyDescent="0.3">
      <c r="B317" t="str">
        <f t="shared" si="205"/>
        <v>36.824636-76.075923</v>
      </c>
      <c r="C317" s="30" t="s">
        <v>119</v>
      </c>
      <c r="D317">
        <v>36.824635999999998</v>
      </c>
      <c r="E317">
        <v>-76.075923000000003</v>
      </c>
      <c r="F317">
        <v>5</v>
      </c>
      <c r="G317" t="str">
        <f t="shared" si="206"/>
        <v>-8-1036.824636-76.075923</v>
      </c>
      <c r="H317">
        <v>-8</v>
      </c>
      <c r="I317">
        <v>-10</v>
      </c>
      <c r="J317" s="30" t="s">
        <v>21</v>
      </c>
      <c r="L317" t="s">
        <v>11</v>
      </c>
      <c r="M317">
        <v>0</v>
      </c>
      <c r="S317" t="str">
        <f t="shared" si="221"/>
        <v>Clay</v>
      </c>
      <c r="T317">
        <f t="shared" si="208"/>
        <v>1</v>
      </c>
      <c r="AA317">
        <v>80</v>
      </c>
      <c r="AB317" s="1">
        <f t="shared" si="217"/>
        <v>0</v>
      </c>
      <c r="AC317">
        <f t="shared" si="218"/>
        <v>0</v>
      </c>
      <c r="AD317" t="str">
        <f t="shared" si="211"/>
        <v/>
      </c>
      <c r="AG317" s="21" t="str">
        <f t="shared" si="186"/>
        <v/>
      </c>
      <c r="AI317" s="6" t="str">
        <f t="shared" si="187"/>
        <v/>
      </c>
      <c r="AM317" s="7" t="str">
        <f t="shared" si="188"/>
        <v/>
      </c>
      <c r="AQ317" s="8" t="str">
        <f t="shared" si="189"/>
        <v/>
      </c>
      <c r="AW317" s="25" t="str">
        <f t="shared" si="190"/>
        <v/>
      </c>
      <c r="AZ317" s="12" t="str">
        <f t="shared" si="191"/>
        <v/>
      </c>
      <c r="BI317" s="17" t="str">
        <f t="shared" si="192"/>
        <v/>
      </c>
      <c r="BM317" t="str">
        <f t="shared" si="193"/>
        <v>SPT Relationship</v>
      </c>
      <c r="BN317">
        <f t="shared" si="179"/>
        <v>95</v>
      </c>
      <c r="BO317" t="str">
        <f t="shared" si="194"/>
        <v>Wolff, 1989</v>
      </c>
      <c r="BP317">
        <f t="shared" si="219"/>
        <v>27</v>
      </c>
      <c r="BQ317" t="str">
        <f t="shared" si="195"/>
        <v/>
      </c>
      <c r="BR317" t="str">
        <f t="shared" si="212"/>
        <v/>
      </c>
      <c r="BS317" t="str">
        <f t="shared" si="196"/>
        <v>Stroud 1974 (K=3.5)</v>
      </c>
      <c r="BT317">
        <f t="shared" si="220"/>
        <v>0</v>
      </c>
      <c r="BU317" t="str">
        <f t="shared" si="197"/>
        <v/>
      </c>
      <c r="BV317" t="str">
        <f t="shared" si="213"/>
        <v/>
      </c>
      <c r="BW317" t="str">
        <f t="shared" si="198"/>
        <v/>
      </c>
      <c r="BX317" t="str">
        <f t="shared" si="214"/>
        <v/>
      </c>
      <c r="BY317" t="str">
        <f t="shared" si="199"/>
        <v/>
      </c>
      <c r="BZ317" t="str">
        <f t="shared" si="215"/>
        <v/>
      </c>
      <c r="CA317" t="str">
        <f t="shared" si="200"/>
        <v/>
      </c>
      <c r="CB317" t="str">
        <f t="shared" si="182"/>
        <v/>
      </c>
      <c r="CC317" t="str">
        <f t="shared" si="201"/>
        <v/>
      </c>
      <c r="CD317" t="str">
        <f t="shared" si="183"/>
        <v/>
      </c>
      <c r="CE317" t="str">
        <f t="shared" si="202"/>
        <v/>
      </c>
      <c r="CF317" t="str">
        <f t="shared" si="184"/>
        <v/>
      </c>
      <c r="CG317" t="str">
        <f t="shared" si="203"/>
        <v/>
      </c>
      <c r="CH317" t="str">
        <f t="shared" si="185"/>
        <v/>
      </c>
      <c r="CI317" t="str">
        <f t="shared" si="204"/>
        <v/>
      </c>
      <c r="CJ317" t="str">
        <f t="shared" si="216"/>
        <v/>
      </c>
    </row>
    <row r="318" spans="2:88" x14ac:dyDescent="0.3">
      <c r="B318" t="str">
        <f t="shared" si="205"/>
        <v>36.824799-76.076029</v>
      </c>
      <c r="C318" s="30" t="s">
        <v>120</v>
      </c>
      <c r="D318">
        <v>36.824798999999999</v>
      </c>
      <c r="E318">
        <v>-76.076029000000005</v>
      </c>
      <c r="F318">
        <v>5</v>
      </c>
      <c r="G318" t="str">
        <f t="shared" si="206"/>
        <v>5336.824799-76.076029</v>
      </c>
      <c r="H318">
        <v>5</v>
      </c>
      <c r="I318">
        <v>3</v>
      </c>
      <c r="J318" s="30" t="s">
        <v>21</v>
      </c>
      <c r="L318" t="s">
        <v>11</v>
      </c>
      <c r="M318">
        <v>13</v>
      </c>
      <c r="S318" t="str">
        <f t="shared" si="221"/>
        <v>Clay</v>
      </c>
      <c r="T318">
        <f t="shared" si="208"/>
        <v>1</v>
      </c>
      <c r="AA318">
        <v>80</v>
      </c>
      <c r="AB318" s="1">
        <f t="shared" si="217"/>
        <v>17</v>
      </c>
      <c r="AC318">
        <f t="shared" si="218"/>
        <v>52</v>
      </c>
      <c r="AD318" t="str">
        <f t="shared" si="211"/>
        <v/>
      </c>
      <c r="AG318" s="21" t="str">
        <f t="shared" si="186"/>
        <v/>
      </c>
      <c r="AI318" s="6" t="str">
        <f t="shared" si="187"/>
        <v/>
      </c>
      <c r="AM318" s="7" t="str">
        <f t="shared" si="188"/>
        <v/>
      </c>
      <c r="AQ318" s="8" t="str">
        <f t="shared" si="189"/>
        <v/>
      </c>
      <c r="AW318" s="25" t="str">
        <f t="shared" si="190"/>
        <v/>
      </c>
      <c r="AZ318" s="12" t="str">
        <f t="shared" si="191"/>
        <v/>
      </c>
      <c r="BI318" s="17" t="str">
        <f t="shared" si="192"/>
        <v/>
      </c>
      <c r="BM318" t="str">
        <f t="shared" si="193"/>
        <v>SPT Relationship</v>
      </c>
      <c r="BN318">
        <f t="shared" si="179"/>
        <v>121</v>
      </c>
      <c r="BO318" t="str">
        <f t="shared" si="194"/>
        <v>Wolff, 1989</v>
      </c>
      <c r="BP318">
        <f t="shared" si="219"/>
        <v>41</v>
      </c>
      <c r="BQ318" t="str">
        <f t="shared" si="195"/>
        <v/>
      </c>
      <c r="BR318" t="str">
        <f t="shared" si="212"/>
        <v/>
      </c>
      <c r="BS318" t="str">
        <f t="shared" si="196"/>
        <v>Stroud 1974 (K=3.5)</v>
      </c>
      <c r="BT318">
        <f t="shared" si="220"/>
        <v>1243</v>
      </c>
      <c r="BU318" t="str">
        <f t="shared" si="197"/>
        <v/>
      </c>
      <c r="BV318" t="str">
        <f t="shared" si="213"/>
        <v/>
      </c>
      <c r="BW318" t="str">
        <f t="shared" si="198"/>
        <v/>
      </c>
      <c r="BX318" t="str">
        <f t="shared" si="214"/>
        <v/>
      </c>
      <c r="BY318" t="str">
        <f t="shared" si="199"/>
        <v/>
      </c>
      <c r="BZ318" t="str">
        <f t="shared" si="215"/>
        <v/>
      </c>
      <c r="CA318" t="str">
        <f t="shared" si="200"/>
        <v/>
      </c>
      <c r="CB318" t="str">
        <f t="shared" si="182"/>
        <v/>
      </c>
      <c r="CC318" t="str">
        <f t="shared" si="201"/>
        <v/>
      </c>
      <c r="CD318" t="str">
        <f t="shared" si="183"/>
        <v/>
      </c>
      <c r="CE318" t="str">
        <f t="shared" si="202"/>
        <v/>
      </c>
      <c r="CF318" t="str">
        <f t="shared" si="184"/>
        <v/>
      </c>
      <c r="CG318" t="str">
        <f t="shared" si="203"/>
        <v/>
      </c>
      <c r="CH318" t="str">
        <f t="shared" si="185"/>
        <v/>
      </c>
      <c r="CI318" t="str">
        <f t="shared" si="204"/>
        <v/>
      </c>
      <c r="CJ318" t="str">
        <f t="shared" si="216"/>
        <v/>
      </c>
    </row>
    <row r="319" spans="2:88" x14ac:dyDescent="0.3">
      <c r="B319" t="str">
        <f t="shared" si="205"/>
        <v>36.824799-76.076029</v>
      </c>
      <c r="C319" s="30" t="s">
        <v>120</v>
      </c>
      <c r="D319">
        <v>36.824798999999999</v>
      </c>
      <c r="E319">
        <v>-76.076029000000005</v>
      </c>
      <c r="F319">
        <v>5</v>
      </c>
      <c r="G319" t="str">
        <f t="shared" si="206"/>
        <v>3136.824799-76.076029</v>
      </c>
      <c r="H319">
        <v>3</v>
      </c>
      <c r="I319">
        <v>1</v>
      </c>
      <c r="J319" s="30" t="s">
        <v>21</v>
      </c>
      <c r="L319" t="s">
        <v>113</v>
      </c>
      <c r="M319">
        <v>11</v>
      </c>
      <c r="S319" t="str">
        <f t="shared" si="221"/>
        <v>Clay</v>
      </c>
      <c r="T319">
        <f t="shared" si="208"/>
        <v>1</v>
      </c>
      <c r="AA319">
        <v>80</v>
      </c>
      <c r="AB319" s="1">
        <f t="shared" si="217"/>
        <v>15</v>
      </c>
      <c r="AC319">
        <f t="shared" si="218"/>
        <v>32</v>
      </c>
      <c r="AD319" t="str">
        <f t="shared" si="211"/>
        <v/>
      </c>
      <c r="AG319" s="21" t="str">
        <f t="shared" si="186"/>
        <v/>
      </c>
      <c r="AI319" s="6" t="str">
        <f t="shared" si="187"/>
        <v/>
      </c>
      <c r="AM319" s="7" t="str">
        <f t="shared" si="188"/>
        <v/>
      </c>
      <c r="AQ319" s="8" t="str">
        <f t="shared" si="189"/>
        <v/>
      </c>
      <c r="AW319" s="25" t="str">
        <f t="shared" si="190"/>
        <v/>
      </c>
      <c r="AZ319" s="12" t="str">
        <f t="shared" si="191"/>
        <v/>
      </c>
      <c r="BI319" s="17" t="str">
        <f t="shared" si="192"/>
        <v/>
      </c>
      <c r="BM319" t="str">
        <f t="shared" si="193"/>
        <v>SPT Relationship</v>
      </c>
      <c r="BN319">
        <f t="shared" si="179"/>
        <v>119</v>
      </c>
      <c r="BO319" t="str">
        <f t="shared" si="194"/>
        <v>Wolff, 1989</v>
      </c>
      <c r="BP319">
        <f t="shared" si="219"/>
        <v>36</v>
      </c>
      <c r="BQ319" t="str">
        <f t="shared" si="195"/>
        <v/>
      </c>
      <c r="BR319" t="str">
        <f t="shared" si="212"/>
        <v/>
      </c>
      <c r="BS319" t="str">
        <f t="shared" si="196"/>
        <v>Stroud 1974 (K=3.5)</v>
      </c>
      <c r="BT319">
        <f t="shared" si="220"/>
        <v>1096</v>
      </c>
      <c r="BU319" t="str">
        <f t="shared" si="197"/>
        <v/>
      </c>
      <c r="BV319" t="str">
        <f t="shared" si="213"/>
        <v/>
      </c>
      <c r="BW319" t="str">
        <f t="shared" si="198"/>
        <v/>
      </c>
      <c r="BX319" t="str">
        <f t="shared" si="214"/>
        <v/>
      </c>
      <c r="BY319" t="str">
        <f t="shared" si="199"/>
        <v/>
      </c>
      <c r="BZ319" t="str">
        <f t="shared" si="215"/>
        <v/>
      </c>
      <c r="CA319" t="str">
        <f t="shared" si="200"/>
        <v/>
      </c>
      <c r="CB319" t="str">
        <f t="shared" si="182"/>
        <v/>
      </c>
      <c r="CC319" t="str">
        <f t="shared" si="201"/>
        <v/>
      </c>
      <c r="CD319" t="str">
        <f t="shared" si="183"/>
        <v/>
      </c>
      <c r="CE319" t="str">
        <f t="shared" si="202"/>
        <v/>
      </c>
      <c r="CF319" t="str">
        <f t="shared" si="184"/>
        <v/>
      </c>
      <c r="CG319" t="str">
        <f t="shared" si="203"/>
        <v/>
      </c>
      <c r="CH319" t="str">
        <f t="shared" si="185"/>
        <v/>
      </c>
      <c r="CI319" t="str">
        <f t="shared" si="204"/>
        <v/>
      </c>
      <c r="CJ319" t="str">
        <f t="shared" si="216"/>
        <v/>
      </c>
    </row>
    <row r="320" spans="2:88" x14ac:dyDescent="0.3">
      <c r="B320" t="str">
        <f t="shared" si="205"/>
        <v>36.824799-76.076029</v>
      </c>
      <c r="C320" s="30" t="s">
        <v>120</v>
      </c>
      <c r="D320">
        <v>36.824798999999999</v>
      </c>
      <c r="E320">
        <v>-76.076029000000005</v>
      </c>
      <c r="F320">
        <v>5</v>
      </c>
      <c r="G320" t="str">
        <f t="shared" si="206"/>
        <v>1-136.824799-76.076029</v>
      </c>
      <c r="H320">
        <v>1</v>
      </c>
      <c r="I320">
        <v>-1</v>
      </c>
      <c r="J320" s="30" t="s">
        <v>21</v>
      </c>
      <c r="L320" t="s">
        <v>17</v>
      </c>
      <c r="M320">
        <v>13</v>
      </c>
      <c r="S320" t="str">
        <f t="shared" si="221"/>
        <v>Sand</v>
      </c>
      <c r="T320">
        <f t="shared" si="208"/>
        <v>1</v>
      </c>
      <c r="AA320">
        <v>80</v>
      </c>
      <c r="AB320" s="1">
        <f t="shared" si="217"/>
        <v>17</v>
      </c>
      <c r="AC320">
        <f t="shared" si="218"/>
        <v>30</v>
      </c>
      <c r="AD320" t="str">
        <f t="shared" si="211"/>
        <v/>
      </c>
      <c r="AG320" s="21" t="str">
        <f t="shared" si="186"/>
        <v/>
      </c>
      <c r="AI320" s="6" t="str">
        <f t="shared" si="187"/>
        <v/>
      </c>
      <c r="AM320" s="7" t="str">
        <f t="shared" si="188"/>
        <v/>
      </c>
      <c r="AQ320" s="8" t="str">
        <f t="shared" si="189"/>
        <v/>
      </c>
      <c r="AW320" s="25" t="str">
        <f t="shared" si="190"/>
        <v/>
      </c>
      <c r="AZ320" s="12" t="str">
        <f t="shared" si="191"/>
        <v/>
      </c>
      <c r="BI320" s="17" t="str">
        <f t="shared" si="192"/>
        <v/>
      </c>
      <c r="BM320" t="str">
        <f t="shared" si="193"/>
        <v>SPT Relationship</v>
      </c>
      <c r="BN320">
        <f t="shared" ref="BN320:BN383" si="222">IFERROR(IF(M320=0,95,ROUND(95*M320^0.095,0)),"")</f>
        <v>121</v>
      </c>
      <c r="BO320" t="str">
        <f t="shared" si="194"/>
        <v>Wolff, 1989</v>
      </c>
      <c r="BP320">
        <f t="shared" si="219"/>
        <v>35</v>
      </c>
      <c r="BQ320" t="str">
        <f t="shared" si="195"/>
        <v/>
      </c>
      <c r="BR320" t="str">
        <f t="shared" si="212"/>
        <v/>
      </c>
      <c r="BS320" t="str">
        <f t="shared" si="196"/>
        <v/>
      </c>
      <c r="BT320" t="str">
        <f t="shared" si="220"/>
        <v/>
      </c>
      <c r="BU320" t="str">
        <f t="shared" si="197"/>
        <v/>
      </c>
      <c r="BV320" t="str">
        <f t="shared" si="213"/>
        <v/>
      </c>
      <c r="BW320" t="str">
        <f t="shared" si="198"/>
        <v/>
      </c>
      <c r="BX320" t="str">
        <f t="shared" si="214"/>
        <v/>
      </c>
      <c r="BY320" t="str">
        <f t="shared" si="199"/>
        <v/>
      </c>
      <c r="BZ320" t="str">
        <f t="shared" si="215"/>
        <v/>
      </c>
      <c r="CA320" t="str">
        <f t="shared" si="200"/>
        <v/>
      </c>
      <c r="CB320" t="str">
        <f t="shared" ref="CB320:CB383" si="223">IF(P320="","",-0.0000000002*P320^5+0.00000009*P320^4-0.00002*P320^3+0.0019*P320^2-0.0999*P320+2.2178)</f>
        <v/>
      </c>
      <c r="CC320" t="str">
        <f t="shared" si="201"/>
        <v/>
      </c>
      <c r="CD320" t="str">
        <f t="shared" ref="CD320:CD383" si="224">IF(AD320="","",(10^(1.11-1.62*AD320)*100)*20.885434273039)</f>
        <v/>
      </c>
      <c r="CE320" t="str">
        <f t="shared" si="202"/>
        <v>Bowles 5th edition</v>
      </c>
      <c r="CF320">
        <f t="shared" ref="CF320:CF383" si="225">IF(S320="Clay","",IF(AB320="","",ROUND((AB320+15)*6.4,0)))</f>
        <v>205</v>
      </c>
      <c r="CG320" t="str">
        <f t="shared" si="203"/>
        <v/>
      </c>
      <c r="CH320" t="str">
        <f t="shared" ref="CH320:CH383" si="226">IF(N320="","",ROUND(N320/100*2.67,2))</f>
        <v/>
      </c>
      <c r="CI320" t="str">
        <f t="shared" si="204"/>
        <v/>
      </c>
      <c r="CJ320" t="str">
        <f t="shared" si="216"/>
        <v/>
      </c>
    </row>
    <row r="321" spans="2:88" x14ac:dyDescent="0.3">
      <c r="B321" t="str">
        <f t="shared" si="205"/>
        <v>36.824799-76.076029</v>
      </c>
      <c r="C321" s="30" t="s">
        <v>120</v>
      </c>
      <c r="D321">
        <v>36.824798999999999</v>
      </c>
      <c r="E321">
        <v>-76.076029000000005</v>
      </c>
      <c r="F321">
        <v>5</v>
      </c>
      <c r="G321" t="str">
        <f t="shared" si="206"/>
        <v>-1-336.824799-76.076029</v>
      </c>
      <c r="H321">
        <v>-1</v>
      </c>
      <c r="I321">
        <v>-3</v>
      </c>
      <c r="J321" s="30" t="s">
        <v>21</v>
      </c>
      <c r="L321" t="s">
        <v>16</v>
      </c>
      <c r="M321">
        <v>15</v>
      </c>
      <c r="S321" t="str">
        <f t="shared" si="221"/>
        <v>Sand</v>
      </c>
      <c r="T321">
        <f t="shared" si="208"/>
        <v>1</v>
      </c>
      <c r="AA321">
        <v>80</v>
      </c>
      <c r="AB321" s="1">
        <f t="shared" si="217"/>
        <v>20</v>
      </c>
      <c r="AC321">
        <f t="shared" si="218"/>
        <v>30</v>
      </c>
      <c r="AD321" t="str">
        <f t="shared" si="211"/>
        <v/>
      </c>
      <c r="AG321" s="21" t="str">
        <f t="shared" si="186"/>
        <v/>
      </c>
      <c r="AI321" s="6" t="str">
        <f t="shared" si="187"/>
        <v/>
      </c>
      <c r="AM321" s="7" t="str">
        <f t="shared" si="188"/>
        <v/>
      </c>
      <c r="AQ321" s="8" t="str">
        <f t="shared" si="189"/>
        <v/>
      </c>
      <c r="AW321" s="25" t="str">
        <f t="shared" si="190"/>
        <v/>
      </c>
      <c r="AZ321" s="12" t="str">
        <f t="shared" si="191"/>
        <v/>
      </c>
      <c r="BI321" s="17" t="str">
        <f t="shared" si="192"/>
        <v/>
      </c>
      <c r="BM321" t="str">
        <f t="shared" si="193"/>
        <v>SPT Relationship</v>
      </c>
      <c r="BN321">
        <f t="shared" si="222"/>
        <v>123</v>
      </c>
      <c r="BO321" t="str">
        <f t="shared" si="194"/>
        <v>Wolff, 1989</v>
      </c>
      <c r="BP321">
        <f t="shared" si="219"/>
        <v>35</v>
      </c>
      <c r="BQ321" t="str">
        <f t="shared" si="195"/>
        <v/>
      </c>
      <c r="BR321" t="str">
        <f t="shared" si="212"/>
        <v/>
      </c>
      <c r="BS321" t="str">
        <f t="shared" si="196"/>
        <v/>
      </c>
      <c r="BT321" t="str">
        <f t="shared" si="220"/>
        <v/>
      </c>
      <c r="BU321" t="str">
        <f t="shared" si="197"/>
        <v/>
      </c>
      <c r="BV321" t="str">
        <f t="shared" si="213"/>
        <v/>
      </c>
      <c r="BW321" t="str">
        <f t="shared" si="198"/>
        <v/>
      </c>
      <c r="BX321" t="str">
        <f t="shared" si="214"/>
        <v/>
      </c>
      <c r="BY321" t="str">
        <f t="shared" si="199"/>
        <v/>
      </c>
      <c r="BZ321" t="str">
        <f t="shared" si="215"/>
        <v/>
      </c>
      <c r="CA321" t="str">
        <f t="shared" si="200"/>
        <v/>
      </c>
      <c r="CB321" t="str">
        <f t="shared" si="223"/>
        <v/>
      </c>
      <c r="CC321" t="str">
        <f t="shared" si="201"/>
        <v/>
      </c>
      <c r="CD321" t="str">
        <f t="shared" si="224"/>
        <v/>
      </c>
      <c r="CE321" t="str">
        <f t="shared" si="202"/>
        <v>Bowles 5th edition</v>
      </c>
      <c r="CF321">
        <f t="shared" si="225"/>
        <v>224</v>
      </c>
      <c r="CG321" t="str">
        <f t="shared" si="203"/>
        <v/>
      </c>
      <c r="CH321" t="str">
        <f t="shared" si="226"/>
        <v/>
      </c>
      <c r="CI321" t="str">
        <f t="shared" si="204"/>
        <v/>
      </c>
      <c r="CJ321" t="str">
        <f t="shared" si="216"/>
        <v/>
      </c>
    </row>
    <row r="322" spans="2:88" x14ac:dyDescent="0.3">
      <c r="B322" t="str">
        <f t="shared" si="205"/>
        <v>36.824799-76.076029</v>
      </c>
      <c r="C322" s="30" t="s">
        <v>120</v>
      </c>
      <c r="D322">
        <v>36.824798999999999</v>
      </c>
      <c r="E322">
        <v>-76.076029000000005</v>
      </c>
      <c r="F322">
        <v>5</v>
      </c>
      <c r="G322" t="str">
        <f t="shared" si="206"/>
        <v>-3-536.824799-76.076029</v>
      </c>
      <c r="H322">
        <v>-3</v>
      </c>
      <c r="I322">
        <v>-5</v>
      </c>
      <c r="J322" s="30" t="s">
        <v>21</v>
      </c>
      <c r="L322" t="s">
        <v>113</v>
      </c>
      <c r="M322">
        <v>0</v>
      </c>
      <c r="S322" t="str">
        <f t="shared" si="221"/>
        <v>Clay</v>
      </c>
      <c r="T322">
        <f t="shared" si="208"/>
        <v>1</v>
      </c>
      <c r="AA322">
        <v>80</v>
      </c>
      <c r="AB322" s="1">
        <f t="shared" si="217"/>
        <v>0</v>
      </c>
      <c r="AC322">
        <f t="shared" si="218"/>
        <v>0</v>
      </c>
      <c r="AD322" t="str">
        <f t="shared" si="211"/>
        <v/>
      </c>
      <c r="AG322" s="21" t="str">
        <f t="shared" si="186"/>
        <v/>
      </c>
      <c r="AI322" s="6" t="str">
        <f t="shared" si="187"/>
        <v/>
      </c>
      <c r="AM322" s="7" t="str">
        <f t="shared" si="188"/>
        <v/>
      </c>
      <c r="AQ322" s="8" t="str">
        <f t="shared" si="189"/>
        <v/>
      </c>
      <c r="AW322" s="25" t="str">
        <f t="shared" si="190"/>
        <v/>
      </c>
      <c r="AZ322" s="12" t="str">
        <f t="shared" si="191"/>
        <v/>
      </c>
      <c r="BI322" s="17" t="str">
        <f t="shared" si="192"/>
        <v/>
      </c>
      <c r="BM322" t="str">
        <f t="shared" si="193"/>
        <v>SPT Relationship</v>
      </c>
      <c r="BN322">
        <f t="shared" si="222"/>
        <v>95</v>
      </c>
      <c r="BO322" t="str">
        <f t="shared" si="194"/>
        <v>Wolff, 1989</v>
      </c>
      <c r="BP322">
        <f t="shared" si="219"/>
        <v>27</v>
      </c>
      <c r="BQ322" t="str">
        <f t="shared" si="195"/>
        <v/>
      </c>
      <c r="BR322" t="str">
        <f t="shared" si="212"/>
        <v/>
      </c>
      <c r="BS322" t="str">
        <f t="shared" si="196"/>
        <v>Stroud 1974 (K=3.5)</v>
      </c>
      <c r="BT322">
        <f t="shared" si="220"/>
        <v>0</v>
      </c>
      <c r="BU322" t="str">
        <f t="shared" si="197"/>
        <v/>
      </c>
      <c r="BV322" t="str">
        <f t="shared" si="213"/>
        <v/>
      </c>
      <c r="BW322" t="str">
        <f t="shared" si="198"/>
        <v/>
      </c>
      <c r="BX322" t="str">
        <f t="shared" si="214"/>
        <v/>
      </c>
      <c r="BY322" t="str">
        <f t="shared" si="199"/>
        <v/>
      </c>
      <c r="BZ322" t="str">
        <f t="shared" si="215"/>
        <v/>
      </c>
      <c r="CA322" t="str">
        <f t="shared" si="200"/>
        <v/>
      </c>
      <c r="CB322" t="str">
        <f t="shared" si="223"/>
        <v/>
      </c>
      <c r="CC322" t="str">
        <f t="shared" si="201"/>
        <v/>
      </c>
      <c r="CD322" t="str">
        <f t="shared" si="224"/>
        <v/>
      </c>
      <c r="CE322" t="str">
        <f t="shared" si="202"/>
        <v/>
      </c>
      <c r="CF322" t="str">
        <f t="shared" si="225"/>
        <v/>
      </c>
      <c r="CG322" t="str">
        <f t="shared" si="203"/>
        <v/>
      </c>
      <c r="CH322" t="str">
        <f t="shared" si="226"/>
        <v/>
      </c>
      <c r="CI322" t="str">
        <f t="shared" si="204"/>
        <v/>
      </c>
      <c r="CJ322" t="str">
        <f t="shared" si="216"/>
        <v/>
      </c>
    </row>
    <row r="323" spans="2:88" x14ac:dyDescent="0.3">
      <c r="B323" t="str">
        <f t="shared" si="205"/>
        <v>36.824799-76.076029</v>
      </c>
      <c r="C323" s="30" t="s">
        <v>120</v>
      </c>
      <c r="D323">
        <v>36.824798999999999</v>
      </c>
      <c r="E323">
        <v>-76.076029000000005</v>
      </c>
      <c r="F323">
        <v>5</v>
      </c>
      <c r="G323" t="str">
        <f t="shared" si="206"/>
        <v>-5-736.824799-76.076029</v>
      </c>
      <c r="H323">
        <v>-5</v>
      </c>
      <c r="I323">
        <v>-7</v>
      </c>
      <c r="J323" s="30" t="s">
        <v>21</v>
      </c>
      <c r="L323" t="s">
        <v>113</v>
      </c>
      <c r="M323">
        <v>0</v>
      </c>
      <c r="S323" t="str">
        <f t="shared" si="221"/>
        <v>Clay</v>
      </c>
      <c r="T323">
        <f t="shared" si="208"/>
        <v>1</v>
      </c>
      <c r="AA323">
        <v>80</v>
      </c>
      <c r="AB323" s="1">
        <f t="shared" si="217"/>
        <v>0</v>
      </c>
      <c r="AC323">
        <f t="shared" si="218"/>
        <v>0</v>
      </c>
      <c r="AD323" t="str">
        <f t="shared" si="211"/>
        <v/>
      </c>
      <c r="AG323" s="21" t="str">
        <f t="shared" ref="AG323:AG386" si="227">IF(AH323="","","Pocket Pentrometer")</f>
        <v/>
      </c>
      <c r="AI323" s="6" t="str">
        <f t="shared" ref="AI323:AI386" si="228">IF(AJ323="","","Unconfined Compression")</f>
        <v/>
      </c>
      <c r="AM323" s="7" t="str">
        <f t="shared" ref="AM323:AM386" si="229">IF(AN323="","","Undrained Unconsolidated Triaxial")</f>
        <v/>
      </c>
      <c r="AQ323" s="8" t="str">
        <f t="shared" ref="AQ323:AQ386" si="230">IF(AR323="","","Consolidated Undrained Triaxial")</f>
        <v/>
      </c>
      <c r="AW323" s="25" t="str">
        <f t="shared" ref="AW323:AW386" si="231">IF(AX323="","","Direct Shear")</f>
        <v/>
      </c>
      <c r="AZ323" s="12" t="str">
        <f t="shared" ref="AZ323:AZ386" si="232">IF(BA323="","","Consolidation Test")</f>
        <v/>
      </c>
      <c r="BI323" s="17" t="str">
        <f t="shared" ref="BI323:BI386" si="233">IF(BJ323="","","Permeability Test")</f>
        <v/>
      </c>
      <c r="BM323" t="str">
        <f t="shared" ref="BM323:BM386" si="234">IF(BN323="","","SPT Relationship")</f>
        <v>SPT Relationship</v>
      </c>
      <c r="BN323">
        <f t="shared" si="222"/>
        <v>95</v>
      </c>
      <c r="BO323" t="str">
        <f t="shared" ref="BO323:BO386" si="235">IF(BP323="","","Wolff, 1989")</f>
        <v>Wolff, 1989</v>
      </c>
      <c r="BP323">
        <f t="shared" si="219"/>
        <v>27</v>
      </c>
      <c r="BQ323" t="str">
        <f t="shared" ref="BQ323:BQ386" si="236">IF(BR323="","","GTENG-2476")</f>
        <v/>
      </c>
      <c r="BR323" t="str">
        <f t="shared" si="212"/>
        <v/>
      </c>
      <c r="BS323" t="str">
        <f t="shared" ref="BS323:BS386" si="237">IF(BT323="","", "Stroud 1974 (K=3.5)")</f>
        <v>Stroud 1974 (K=3.5)</v>
      </c>
      <c r="BT323">
        <f t="shared" si="220"/>
        <v>0</v>
      </c>
      <c r="BU323" t="str">
        <f t="shared" ref="BU323:BU386" si="238">IF(BV323="","","Kulhawy and Mayne 1990")</f>
        <v/>
      </c>
      <c r="BV323" t="str">
        <f t="shared" si="213"/>
        <v/>
      </c>
      <c r="BW323" t="str">
        <f t="shared" ref="BW323:BW386" si="239">IF(BX323="","","Kulhawy and Mayne 1990")</f>
        <v/>
      </c>
      <c r="BX323" t="str">
        <f t="shared" si="214"/>
        <v/>
      </c>
      <c r="BY323" t="str">
        <f t="shared" ref="BY323:BY386" si="240">IF(BZ323="","","Mesri 1990")</f>
        <v/>
      </c>
      <c r="BZ323" t="str">
        <f t="shared" si="215"/>
        <v/>
      </c>
      <c r="CA323" t="str">
        <f t="shared" ref="CA323:CA386" si="241">IF(CB323="","","NAVFAC Vol. 7.1 Figure 4")</f>
        <v/>
      </c>
      <c r="CB323" t="str">
        <f t="shared" si="223"/>
        <v/>
      </c>
      <c r="CC323" t="str">
        <f t="shared" ref="CC323:CC386" si="242">IF(CD323="","","Stas and Kulhawy 1984")</f>
        <v/>
      </c>
      <c r="CD323" t="str">
        <f t="shared" si="224"/>
        <v/>
      </c>
      <c r="CE323" t="str">
        <f t="shared" ref="CE323:CE386" si="243">IF(CF323="","","Bowles 5th edition")</f>
        <v/>
      </c>
      <c r="CF323" t="str">
        <f t="shared" si="225"/>
        <v/>
      </c>
      <c r="CG323" t="str">
        <f t="shared" ref="CG323:CG386" si="244">IF(CH323="","","Relationship (Gs=2.67)")</f>
        <v/>
      </c>
      <c r="CH323" t="str">
        <f t="shared" si="226"/>
        <v/>
      </c>
      <c r="CI323" t="str">
        <f t="shared" ref="CI323:CI386" si="245">IF(CJ323="","","Hazen, 1911 (c=1.5)")</f>
        <v/>
      </c>
      <c r="CJ323" t="str">
        <f t="shared" si="216"/>
        <v/>
      </c>
    </row>
    <row r="324" spans="2:88" x14ac:dyDescent="0.3">
      <c r="B324" t="str">
        <f t="shared" si="205"/>
        <v>36.824799-76.076029</v>
      </c>
      <c r="C324" s="30" t="s">
        <v>120</v>
      </c>
      <c r="D324">
        <v>36.824798999999999</v>
      </c>
      <c r="E324">
        <v>-76.076029000000005</v>
      </c>
      <c r="F324">
        <v>5</v>
      </c>
      <c r="G324" t="str">
        <f t="shared" si="206"/>
        <v>-8-1036.824799-76.076029</v>
      </c>
      <c r="H324">
        <v>-8</v>
      </c>
      <c r="I324">
        <v>-10</v>
      </c>
      <c r="J324" s="30" t="s">
        <v>21</v>
      </c>
      <c r="L324" t="s">
        <v>17</v>
      </c>
      <c r="M324">
        <v>2</v>
      </c>
      <c r="S324" t="str">
        <f t="shared" si="221"/>
        <v>Sand</v>
      </c>
      <c r="T324">
        <f t="shared" si="208"/>
        <v>1</v>
      </c>
      <c r="AA324">
        <v>80</v>
      </c>
      <c r="AB324" s="1">
        <f t="shared" si="217"/>
        <v>3</v>
      </c>
      <c r="AC324">
        <f t="shared" si="218"/>
        <v>3</v>
      </c>
      <c r="AD324" t="str">
        <f t="shared" si="211"/>
        <v/>
      </c>
      <c r="AG324" s="21" t="str">
        <f t="shared" si="227"/>
        <v/>
      </c>
      <c r="AI324" s="6" t="str">
        <f t="shared" si="228"/>
        <v/>
      </c>
      <c r="AM324" s="7" t="str">
        <f t="shared" si="229"/>
        <v/>
      </c>
      <c r="AQ324" s="8" t="str">
        <f t="shared" si="230"/>
        <v/>
      </c>
      <c r="AW324" s="25" t="str">
        <f t="shared" si="231"/>
        <v/>
      </c>
      <c r="AZ324" s="12" t="str">
        <f t="shared" si="232"/>
        <v/>
      </c>
      <c r="BI324" s="17" t="str">
        <f t="shared" si="233"/>
        <v/>
      </c>
      <c r="BM324" t="str">
        <f t="shared" si="234"/>
        <v>SPT Relationship</v>
      </c>
      <c r="BN324">
        <f t="shared" si="222"/>
        <v>101</v>
      </c>
      <c r="BO324" t="str">
        <f t="shared" si="235"/>
        <v>Wolff, 1989</v>
      </c>
      <c r="BP324">
        <f t="shared" si="219"/>
        <v>27</v>
      </c>
      <c r="BQ324" t="str">
        <f t="shared" si="236"/>
        <v/>
      </c>
      <c r="BR324" t="str">
        <f t="shared" si="212"/>
        <v/>
      </c>
      <c r="BS324" t="str">
        <f t="shared" si="237"/>
        <v/>
      </c>
      <c r="BT324" t="str">
        <f t="shared" si="220"/>
        <v/>
      </c>
      <c r="BU324" t="str">
        <f t="shared" si="238"/>
        <v/>
      </c>
      <c r="BV324" t="str">
        <f t="shared" si="213"/>
        <v/>
      </c>
      <c r="BW324" t="str">
        <f t="shared" si="239"/>
        <v/>
      </c>
      <c r="BX324" t="str">
        <f t="shared" si="214"/>
        <v/>
      </c>
      <c r="BY324" t="str">
        <f t="shared" si="240"/>
        <v/>
      </c>
      <c r="BZ324" t="str">
        <f t="shared" si="215"/>
        <v/>
      </c>
      <c r="CA324" t="str">
        <f t="shared" si="241"/>
        <v/>
      </c>
      <c r="CB324" t="str">
        <f t="shared" si="223"/>
        <v/>
      </c>
      <c r="CC324" t="str">
        <f t="shared" si="242"/>
        <v/>
      </c>
      <c r="CD324" t="str">
        <f t="shared" si="224"/>
        <v/>
      </c>
      <c r="CE324" t="str">
        <f t="shared" si="243"/>
        <v>Bowles 5th edition</v>
      </c>
      <c r="CF324">
        <f t="shared" si="225"/>
        <v>115</v>
      </c>
      <c r="CG324" t="str">
        <f t="shared" si="244"/>
        <v/>
      </c>
      <c r="CH324" t="str">
        <f t="shared" si="226"/>
        <v/>
      </c>
      <c r="CI324" t="str">
        <f t="shared" si="245"/>
        <v/>
      </c>
      <c r="CJ324" t="str">
        <f t="shared" si="216"/>
        <v/>
      </c>
    </row>
    <row r="325" spans="2:88" x14ac:dyDescent="0.3">
      <c r="B325" t="str">
        <f t="shared" si="205"/>
        <v>36.824799-76.076029</v>
      </c>
      <c r="C325" s="30" t="s">
        <v>120</v>
      </c>
      <c r="D325">
        <v>36.824798999999999</v>
      </c>
      <c r="E325">
        <v>-76.076029000000005</v>
      </c>
      <c r="F325">
        <v>5</v>
      </c>
      <c r="G325" t="str">
        <f t="shared" si="206"/>
        <v>-13-1536.824799-76.076029</v>
      </c>
      <c r="H325">
        <v>-13</v>
      </c>
      <c r="I325">
        <v>-15</v>
      </c>
      <c r="J325" s="30" t="s">
        <v>21</v>
      </c>
      <c r="L325" t="s">
        <v>17</v>
      </c>
      <c r="M325">
        <v>4</v>
      </c>
      <c r="S325" t="str">
        <f t="shared" si="221"/>
        <v>Sand</v>
      </c>
      <c r="T325">
        <f t="shared" si="208"/>
        <v>1</v>
      </c>
      <c r="AA325">
        <v>80</v>
      </c>
      <c r="AB325" s="1">
        <f t="shared" si="217"/>
        <v>5</v>
      </c>
      <c r="AC325">
        <f t="shared" si="218"/>
        <v>4</v>
      </c>
      <c r="AD325" t="str">
        <f t="shared" si="211"/>
        <v/>
      </c>
      <c r="AG325" s="21" t="str">
        <f t="shared" si="227"/>
        <v/>
      </c>
      <c r="AI325" s="6" t="str">
        <f t="shared" si="228"/>
        <v/>
      </c>
      <c r="AM325" s="7" t="str">
        <f t="shared" si="229"/>
        <v/>
      </c>
      <c r="AQ325" s="8" t="str">
        <f t="shared" si="230"/>
        <v/>
      </c>
      <c r="AW325" s="25" t="str">
        <f t="shared" si="231"/>
        <v/>
      </c>
      <c r="AZ325" s="12" t="str">
        <f t="shared" si="232"/>
        <v/>
      </c>
      <c r="BI325" s="17" t="str">
        <f t="shared" si="233"/>
        <v/>
      </c>
      <c r="BM325" t="str">
        <f t="shared" si="234"/>
        <v>SPT Relationship</v>
      </c>
      <c r="BN325">
        <f t="shared" si="222"/>
        <v>108</v>
      </c>
      <c r="BO325" t="str">
        <f t="shared" si="235"/>
        <v>Wolff, 1989</v>
      </c>
      <c r="BP325">
        <f t="shared" si="219"/>
        <v>28</v>
      </c>
      <c r="BQ325" t="str">
        <f t="shared" si="236"/>
        <v/>
      </c>
      <c r="BR325" t="str">
        <f t="shared" si="212"/>
        <v/>
      </c>
      <c r="BS325" t="str">
        <f t="shared" si="237"/>
        <v/>
      </c>
      <c r="BT325" t="str">
        <f t="shared" si="220"/>
        <v/>
      </c>
      <c r="BU325" t="str">
        <f t="shared" si="238"/>
        <v/>
      </c>
      <c r="BV325" t="str">
        <f t="shared" si="213"/>
        <v/>
      </c>
      <c r="BW325" t="str">
        <f t="shared" si="239"/>
        <v/>
      </c>
      <c r="BX325" t="str">
        <f t="shared" si="214"/>
        <v/>
      </c>
      <c r="BY325" t="str">
        <f t="shared" si="240"/>
        <v/>
      </c>
      <c r="BZ325" t="str">
        <f t="shared" si="215"/>
        <v/>
      </c>
      <c r="CA325" t="str">
        <f t="shared" si="241"/>
        <v/>
      </c>
      <c r="CB325" t="str">
        <f t="shared" si="223"/>
        <v/>
      </c>
      <c r="CC325" t="str">
        <f t="shared" si="242"/>
        <v/>
      </c>
      <c r="CD325" t="str">
        <f t="shared" si="224"/>
        <v/>
      </c>
      <c r="CE325" t="str">
        <f t="shared" si="243"/>
        <v>Bowles 5th edition</v>
      </c>
      <c r="CF325">
        <f t="shared" si="225"/>
        <v>128</v>
      </c>
      <c r="CG325" t="str">
        <f t="shared" si="244"/>
        <v/>
      </c>
      <c r="CH325" t="str">
        <f t="shared" si="226"/>
        <v/>
      </c>
      <c r="CI325" t="str">
        <f t="shared" si="245"/>
        <v/>
      </c>
      <c r="CJ325" t="str">
        <f t="shared" si="216"/>
        <v/>
      </c>
    </row>
    <row r="326" spans="2:88" x14ac:dyDescent="0.3">
      <c r="B326" t="str">
        <f t="shared" si="205"/>
        <v>36.824799-76.076029</v>
      </c>
      <c r="C326" s="30" t="s">
        <v>120</v>
      </c>
      <c r="D326">
        <v>36.824798999999999</v>
      </c>
      <c r="E326">
        <v>-76.076029000000005</v>
      </c>
      <c r="F326">
        <v>5</v>
      </c>
      <c r="G326" t="str">
        <f t="shared" si="206"/>
        <v>-18-2036.824799-76.076029</v>
      </c>
      <c r="H326">
        <v>-18</v>
      </c>
      <c r="I326">
        <v>-20</v>
      </c>
      <c r="J326" s="30" t="s">
        <v>21</v>
      </c>
      <c r="L326" t="s">
        <v>8</v>
      </c>
      <c r="M326">
        <v>4</v>
      </c>
      <c r="S326" t="str">
        <f t="shared" si="221"/>
        <v>Sand</v>
      </c>
      <c r="T326">
        <f t="shared" si="208"/>
        <v>1</v>
      </c>
      <c r="AA326">
        <v>80</v>
      </c>
      <c r="AB326" s="1">
        <f t="shared" si="217"/>
        <v>5</v>
      </c>
      <c r="AC326">
        <f t="shared" si="218"/>
        <v>4</v>
      </c>
      <c r="AD326" t="str">
        <f t="shared" si="211"/>
        <v/>
      </c>
      <c r="AG326" s="21" t="str">
        <f t="shared" si="227"/>
        <v/>
      </c>
      <c r="AI326" s="6" t="str">
        <f t="shared" si="228"/>
        <v/>
      </c>
      <c r="AM326" s="7" t="str">
        <f t="shared" si="229"/>
        <v/>
      </c>
      <c r="AQ326" s="8" t="str">
        <f t="shared" si="230"/>
        <v/>
      </c>
      <c r="AW326" s="25" t="str">
        <f t="shared" si="231"/>
        <v/>
      </c>
      <c r="AZ326" s="12" t="str">
        <f t="shared" si="232"/>
        <v/>
      </c>
      <c r="BI326" s="17" t="str">
        <f t="shared" si="233"/>
        <v/>
      </c>
      <c r="BM326" t="str">
        <f t="shared" si="234"/>
        <v>SPT Relationship</v>
      </c>
      <c r="BN326">
        <f t="shared" si="222"/>
        <v>108</v>
      </c>
      <c r="BO326" t="str">
        <f t="shared" si="235"/>
        <v>Wolff, 1989</v>
      </c>
      <c r="BP326">
        <f t="shared" si="219"/>
        <v>28</v>
      </c>
      <c r="BQ326" t="str">
        <f t="shared" si="236"/>
        <v/>
      </c>
      <c r="BR326" t="str">
        <f t="shared" si="212"/>
        <v/>
      </c>
      <c r="BS326" t="str">
        <f t="shared" si="237"/>
        <v/>
      </c>
      <c r="BT326" t="str">
        <f t="shared" si="220"/>
        <v/>
      </c>
      <c r="BU326" t="str">
        <f t="shared" si="238"/>
        <v/>
      </c>
      <c r="BV326" t="str">
        <f t="shared" si="213"/>
        <v/>
      </c>
      <c r="BW326" t="str">
        <f t="shared" si="239"/>
        <v/>
      </c>
      <c r="BX326" t="str">
        <f t="shared" si="214"/>
        <v/>
      </c>
      <c r="BY326" t="str">
        <f t="shared" si="240"/>
        <v/>
      </c>
      <c r="BZ326" t="str">
        <f t="shared" si="215"/>
        <v/>
      </c>
      <c r="CA326" t="str">
        <f t="shared" si="241"/>
        <v/>
      </c>
      <c r="CB326" t="str">
        <f t="shared" si="223"/>
        <v/>
      </c>
      <c r="CC326" t="str">
        <f t="shared" si="242"/>
        <v/>
      </c>
      <c r="CD326" t="str">
        <f t="shared" si="224"/>
        <v/>
      </c>
      <c r="CE326" t="str">
        <f t="shared" si="243"/>
        <v>Bowles 5th edition</v>
      </c>
      <c r="CF326">
        <f t="shared" si="225"/>
        <v>128</v>
      </c>
      <c r="CG326" t="str">
        <f t="shared" si="244"/>
        <v/>
      </c>
      <c r="CH326" t="str">
        <f t="shared" si="226"/>
        <v/>
      </c>
      <c r="CI326" t="str">
        <f t="shared" si="245"/>
        <v/>
      </c>
      <c r="CJ326" t="str">
        <f t="shared" si="216"/>
        <v/>
      </c>
    </row>
    <row r="327" spans="2:88" x14ac:dyDescent="0.3">
      <c r="B327" t="str">
        <f t="shared" si="205"/>
        <v>36.824799-76.076029</v>
      </c>
      <c r="C327" s="30" t="s">
        <v>120</v>
      </c>
      <c r="D327">
        <v>36.824798999999999</v>
      </c>
      <c r="E327">
        <v>-76.076029000000005</v>
      </c>
      <c r="F327">
        <v>5</v>
      </c>
      <c r="G327" t="str">
        <f t="shared" si="206"/>
        <v>-23-2536.824799-76.076029</v>
      </c>
      <c r="H327">
        <v>-23</v>
      </c>
      <c r="I327">
        <v>-25</v>
      </c>
      <c r="J327" s="30" t="s">
        <v>21</v>
      </c>
      <c r="L327" t="s">
        <v>16</v>
      </c>
      <c r="M327">
        <v>11</v>
      </c>
      <c r="S327" t="str">
        <f t="shared" si="221"/>
        <v>Sand</v>
      </c>
      <c r="T327">
        <f t="shared" si="208"/>
        <v>1</v>
      </c>
      <c r="AA327">
        <v>80</v>
      </c>
      <c r="AB327" s="1">
        <f t="shared" si="217"/>
        <v>15</v>
      </c>
      <c r="AC327">
        <f t="shared" si="218"/>
        <v>11</v>
      </c>
      <c r="AD327" t="str">
        <f t="shared" si="211"/>
        <v/>
      </c>
      <c r="AG327" s="21" t="str">
        <f t="shared" si="227"/>
        <v/>
      </c>
      <c r="AI327" s="6" t="str">
        <f t="shared" si="228"/>
        <v/>
      </c>
      <c r="AM327" s="7" t="str">
        <f t="shared" si="229"/>
        <v/>
      </c>
      <c r="AQ327" s="8" t="str">
        <f t="shared" si="230"/>
        <v/>
      </c>
      <c r="AW327" s="25" t="str">
        <f t="shared" si="231"/>
        <v/>
      </c>
      <c r="AZ327" s="12" t="str">
        <f t="shared" si="232"/>
        <v/>
      </c>
      <c r="BI327" s="17" t="str">
        <f t="shared" si="233"/>
        <v/>
      </c>
      <c r="BM327" t="str">
        <f t="shared" si="234"/>
        <v>SPT Relationship</v>
      </c>
      <c r="BN327">
        <f t="shared" si="222"/>
        <v>119</v>
      </c>
      <c r="BO327" t="str">
        <f t="shared" si="235"/>
        <v>Wolff, 1989</v>
      </c>
      <c r="BP327">
        <f t="shared" si="219"/>
        <v>30</v>
      </c>
      <c r="BQ327" t="str">
        <f t="shared" si="236"/>
        <v/>
      </c>
      <c r="BR327" t="str">
        <f t="shared" si="212"/>
        <v/>
      </c>
      <c r="BS327" t="str">
        <f t="shared" si="237"/>
        <v/>
      </c>
      <c r="BT327" t="str">
        <f t="shared" si="220"/>
        <v/>
      </c>
      <c r="BU327" t="str">
        <f t="shared" si="238"/>
        <v/>
      </c>
      <c r="BV327" t="str">
        <f t="shared" si="213"/>
        <v/>
      </c>
      <c r="BW327" t="str">
        <f t="shared" si="239"/>
        <v/>
      </c>
      <c r="BX327" t="str">
        <f t="shared" si="214"/>
        <v/>
      </c>
      <c r="BY327" t="str">
        <f t="shared" si="240"/>
        <v/>
      </c>
      <c r="BZ327" t="str">
        <f t="shared" si="215"/>
        <v/>
      </c>
      <c r="CA327" t="str">
        <f t="shared" si="241"/>
        <v/>
      </c>
      <c r="CB327" t="str">
        <f t="shared" si="223"/>
        <v/>
      </c>
      <c r="CC327" t="str">
        <f t="shared" si="242"/>
        <v/>
      </c>
      <c r="CD327" t="str">
        <f t="shared" si="224"/>
        <v/>
      </c>
      <c r="CE327" t="str">
        <f t="shared" si="243"/>
        <v>Bowles 5th edition</v>
      </c>
      <c r="CF327">
        <f t="shared" si="225"/>
        <v>192</v>
      </c>
      <c r="CG327" t="str">
        <f t="shared" si="244"/>
        <v/>
      </c>
      <c r="CH327" t="str">
        <f t="shared" si="226"/>
        <v/>
      </c>
      <c r="CI327" t="str">
        <f t="shared" si="245"/>
        <v/>
      </c>
      <c r="CJ327" t="str">
        <f t="shared" si="216"/>
        <v/>
      </c>
    </row>
    <row r="328" spans="2:88" x14ac:dyDescent="0.3">
      <c r="B328" t="str">
        <f t="shared" si="205"/>
        <v>36.82633-76.077453</v>
      </c>
      <c r="C328" s="30" t="s">
        <v>121</v>
      </c>
      <c r="D328">
        <v>36.826329999999999</v>
      </c>
      <c r="E328">
        <v>-76.077453000000006</v>
      </c>
      <c r="F328">
        <v>5</v>
      </c>
      <c r="G328" t="str">
        <f t="shared" si="206"/>
        <v>5336.82633-76.077453</v>
      </c>
      <c r="H328">
        <v>5</v>
      </c>
      <c r="I328">
        <v>3</v>
      </c>
      <c r="J328" s="30" t="s">
        <v>21</v>
      </c>
      <c r="L328" t="s">
        <v>11</v>
      </c>
      <c r="M328">
        <v>5</v>
      </c>
      <c r="S328" t="str">
        <f t="shared" si="221"/>
        <v>Clay</v>
      </c>
      <c r="T328">
        <f t="shared" si="208"/>
        <v>1</v>
      </c>
      <c r="AA328">
        <v>80</v>
      </c>
      <c r="AB328" s="1">
        <f t="shared" si="217"/>
        <v>7</v>
      </c>
      <c r="AC328">
        <f t="shared" si="218"/>
        <v>21</v>
      </c>
      <c r="AD328" t="str">
        <f t="shared" si="211"/>
        <v/>
      </c>
      <c r="AG328" s="21" t="str">
        <f t="shared" si="227"/>
        <v/>
      </c>
      <c r="AI328" s="6" t="str">
        <f t="shared" si="228"/>
        <v/>
      </c>
      <c r="AM328" s="7" t="str">
        <f t="shared" si="229"/>
        <v/>
      </c>
      <c r="AQ328" s="8" t="str">
        <f t="shared" si="230"/>
        <v/>
      </c>
      <c r="AW328" s="25" t="str">
        <f t="shared" si="231"/>
        <v/>
      </c>
      <c r="AZ328" s="12" t="str">
        <f t="shared" si="232"/>
        <v/>
      </c>
      <c r="BI328" s="17" t="str">
        <f t="shared" si="233"/>
        <v/>
      </c>
      <c r="BM328" t="str">
        <f t="shared" si="234"/>
        <v>SPT Relationship</v>
      </c>
      <c r="BN328">
        <f t="shared" si="222"/>
        <v>111</v>
      </c>
      <c r="BO328" t="str">
        <f t="shared" si="235"/>
        <v>Wolff, 1989</v>
      </c>
      <c r="BP328">
        <f t="shared" si="219"/>
        <v>33</v>
      </c>
      <c r="BQ328" t="str">
        <f t="shared" si="236"/>
        <v/>
      </c>
      <c r="BR328" t="str">
        <f t="shared" si="212"/>
        <v/>
      </c>
      <c r="BS328" t="str">
        <f t="shared" si="237"/>
        <v>Stroud 1974 (K=3.5)</v>
      </c>
      <c r="BT328">
        <f t="shared" si="220"/>
        <v>512</v>
      </c>
      <c r="BU328" t="str">
        <f t="shared" si="238"/>
        <v/>
      </c>
      <c r="BV328" t="str">
        <f t="shared" si="213"/>
        <v/>
      </c>
      <c r="BW328" t="str">
        <f t="shared" si="239"/>
        <v/>
      </c>
      <c r="BX328" t="str">
        <f t="shared" si="214"/>
        <v/>
      </c>
      <c r="BY328" t="str">
        <f t="shared" si="240"/>
        <v/>
      </c>
      <c r="BZ328" t="str">
        <f t="shared" si="215"/>
        <v/>
      </c>
      <c r="CA328" t="str">
        <f t="shared" si="241"/>
        <v/>
      </c>
      <c r="CB328" t="str">
        <f t="shared" si="223"/>
        <v/>
      </c>
      <c r="CC328" t="str">
        <f t="shared" si="242"/>
        <v/>
      </c>
      <c r="CD328" t="str">
        <f t="shared" si="224"/>
        <v/>
      </c>
      <c r="CE328" t="str">
        <f t="shared" si="243"/>
        <v/>
      </c>
      <c r="CF328" t="str">
        <f t="shared" si="225"/>
        <v/>
      </c>
      <c r="CG328" t="str">
        <f t="shared" si="244"/>
        <v/>
      </c>
      <c r="CH328" t="str">
        <f t="shared" si="226"/>
        <v/>
      </c>
      <c r="CI328" t="str">
        <f t="shared" si="245"/>
        <v/>
      </c>
      <c r="CJ328" t="str">
        <f t="shared" si="216"/>
        <v/>
      </c>
    </row>
    <row r="329" spans="2:88" x14ac:dyDescent="0.3">
      <c r="B329" t="str">
        <f t="shared" ref="B329:B392" si="246">""&amp;D329&amp;""&amp;E329</f>
        <v>36.82633-76.077453</v>
      </c>
      <c r="C329" s="30" t="s">
        <v>121</v>
      </c>
      <c r="D329">
        <v>36.826329999999999</v>
      </c>
      <c r="E329">
        <v>-76.077453000000006</v>
      </c>
      <c r="F329">
        <v>5</v>
      </c>
      <c r="G329" t="str">
        <f t="shared" ref="G329:G392" si="247">""&amp;H329&amp;""&amp;I329&amp;""&amp;D329&amp;""&amp;E329</f>
        <v>3136.82633-76.077453</v>
      </c>
      <c r="H329">
        <v>3</v>
      </c>
      <c r="I329">
        <v>1</v>
      </c>
      <c r="J329" s="30" t="s">
        <v>21</v>
      </c>
      <c r="L329" t="s">
        <v>113</v>
      </c>
      <c r="M329">
        <v>6</v>
      </c>
      <c r="S329" t="str">
        <f t="shared" si="221"/>
        <v>Clay</v>
      </c>
      <c r="T329">
        <f t="shared" ref="T329:T392" si="248">IF(OR(Q329&lt;&gt;"",R329&lt;&gt;""),2,1)</f>
        <v>1</v>
      </c>
      <c r="AA329">
        <v>80</v>
      </c>
      <c r="AB329" s="1">
        <f t="shared" si="217"/>
        <v>8</v>
      </c>
      <c r="AC329">
        <f t="shared" si="218"/>
        <v>17</v>
      </c>
      <c r="AD329" t="str">
        <f t="shared" ref="AD329:AD392" si="249">IF(OR(N329="",O329=""),"",(N329-O329)/(P329-O329))</f>
        <v/>
      </c>
      <c r="AG329" s="21" t="str">
        <f t="shared" si="227"/>
        <v/>
      </c>
      <c r="AI329" s="6" t="str">
        <f t="shared" si="228"/>
        <v/>
      </c>
      <c r="AM329" s="7" t="str">
        <f t="shared" si="229"/>
        <v/>
      </c>
      <c r="AQ329" s="8" t="str">
        <f t="shared" si="230"/>
        <v/>
      </c>
      <c r="AW329" s="25" t="str">
        <f t="shared" si="231"/>
        <v/>
      </c>
      <c r="AZ329" s="12" t="str">
        <f t="shared" si="232"/>
        <v/>
      </c>
      <c r="BI329" s="17" t="str">
        <f t="shared" si="233"/>
        <v/>
      </c>
      <c r="BM329" t="str">
        <f t="shared" si="234"/>
        <v>SPT Relationship</v>
      </c>
      <c r="BN329">
        <f t="shared" si="222"/>
        <v>113</v>
      </c>
      <c r="BO329" t="str">
        <f t="shared" si="235"/>
        <v>Wolff, 1989</v>
      </c>
      <c r="BP329">
        <f t="shared" si="219"/>
        <v>32</v>
      </c>
      <c r="BQ329" t="str">
        <f t="shared" si="236"/>
        <v/>
      </c>
      <c r="BR329" t="str">
        <f t="shared" ref="BR329:BR392" si="250">IF(P329="","",ROUNDDOWN(28-0.1533*P329+0.000564*P329^2-0.0000008414*P329^3,0))</f>
        <v/>
      </c>
      <c r="BS329" t="str">
        <f t="shared" si="237"/>
        <v>Stroud 1974 (K=3.5)</v>
      </c>
      <c r="BT329">
        <f t="shared" si="220"/>
        <v>585</v>
      </c>
      <c r="BU329" t="str">
        <f t="shared" si="238"/>
        <v/>
      </c>
      <c r="BV329" t="str">
        <f t="shared" ref="BV329:BV392" si="251">IF(Q329="","",ROUND(Q329/74,3))</f>
        <v/>
      </c>
      <c r="BW329" t="str">
        <f t="shared" si="239"/>
        <v/>
      </c>
      <c r="BX329" t="str">
        <f t="shared" ref="BX329:BX392" si="252">IF(Q329="","",ROUND(Q329/370,3))</f>
        <v/>
      </c>
      <c r="BY329" t="str">
        <f t="shared" si="240"/>
        <v/>
      </c>
      <c r="BZ329" t="str">
        <f t="shared" ref="BZ329:BZ392" si="253">IF(BV329="","",ROUND(0.03*BV329,4))</f>
        <v/>
      </c>
      <c r="CA329" t="str">
        <f t="shared" si="241"/>
        <v/>
      </c>
      <c r="CB329" t="str">
        <f t="shared" si="223"/>
        <v/>
      </c>
      <c r="CC329" t="str">
        <f t="shared" si="242"/>
        <v/>
      </c>
      <c r="CD329" t="str">
        <f t="shared" si="224"/>
        <v/>
      </c>
      <c r="CE329" t="str">
        <f t="shared" si="243"/>
        <v/>
      </c>
      <c r="CF329" t="str">
        <f t="shared" si="225"/>
        <v/>
      </c>
      <c r="CG329" t="str">
        <f t="shared" si="244"/>
        <v/>
      </c>
      <c r="CH329" t="str">
        <f t="shared" si="226"/>
        <v/>
      </c>
      <c r="CI329" t="str">
        <f t="shared" si="245"/>
        <v/>
      </c>
      <c r="CJ329" t="str">
        <f t="shared" ref="CJ329:CJ392" si="254">IF(OR(S329="Clay",X329=""),"",1.5*X329^2)</f>
        <v/>
      </c>
    </row>
    <row r="330" spans="2:88" x14ac:dyDescent="0.3">
      <c r="B330" t="str">
        <f t="shared" si="246"/>
        <v>36.82633-76.077453</v>
      </c>
      <c r="C330" s="30" t="s">
        <v>121</v>
      </c>
      <c r="D330">
        <v>36.826329999999999</v>
      </c>
      <c r="E330">
        <v>-76.077453000000006</v>
      </c>
      <c r="F330">
        <v>5</v>
      </c>
      <c r="G330" t="str">
        <f t="shared" si="247"/>
        <v>1-136.82633-76.077453</v>
      </c>
      <c r="H330">
        <v>1</v>
      </c>
      <c r="I330">
        <v>-1</v>
      </c>
      <c r="J330" s="30" t="s">
        <v>21</v>
      </c>
      <c r="L330" t="s">
        <v>17</v>
      </c>
      <c r="M330">
        <v>5</v>
      </c>
      <c r="S330" t="str">
        <f t="shared" si="221"/>
        <v>Sand</v>
      </c>
      <c r="T330">
        <f t="shared" si="248"/>
        <v>1</v>
      </c>
      <c r="AA330">
        <v>80</v>
      </c>
      <c r="AB330" s="1">
        <f t="shared" si="217"/>
        <v>7</v>
      </c>
      <c r="AC330">
        <f t="shared" si="218"/>
        <v>12</v>
      </c>
      <c r="AD330" t="str">
        <f t="shared" si="249"/>
        <v/>
      </c>
      <c r="AG330" s="21" t="str">
        <f t="shared" si="227"/>
        <v/>
      </c>
      <c r="AI330" s="6" t="str">
        <f t="shared" si="228"/>
        <v/>
      </c>
      <c r="AM330" s="7" t="str">
        <f t="shared" si="229"/>
        <v/>
      </c>
      <c r="AQ330" s="8" t="str">
        <f t="shared" si="230"/>
        <v/>
      </c>
      <c r="AW330" s="25" t="str">
        <f t="shared" si="231"/>
        <v/>
      </c>
      <c r="AZ330" s="12" t="str">
        <f t="shared" si="232"/>
        <v/>
      </c>
      <c r="BI330" s="17" t="str">
        <f t="shared" si="233"/>
        <v/>
      </c>
      <c r="BM330" t="str">
        <f t="shared" si="234"/>
        <v>SPT Relationship</v>
      </c>
      <c r="BN330">
        <f t="shared" si="222"/>
        <v>111</v>
      </c>
      <c r="BO330" t="str">
        <f t="shared" si="235"/>
        <v>Wolff, 1989</v>
      </c>
      <c r="BP330">
        <f t="shared" si="219"/>
        <v>30</v>
      </c>
      <c r="BQ330" t="str">
        <f t="shared" si="236"/>
        <v/>
      </c>
      <c r="BR330" t="str">
        <f t="shared" si="250"/>
        <v/>
      </c>
      <c r="BS330" t="str">
        <f t="shared" si="237"/>
        <v/>
      </c>
      <c r="BT330" t="str">
        <f t="shared" si="220"/>
        <v/>
      </c>
      <c r="BU330" t="str">
        <f t="shared" si="238"/>
        <v/>
      </c>
      <c r="BV330" t="str">
        <f t="shared" si="251"/>
        <v/>
      </c>
      <c r="BW330" t="str">
        <f t="shared" si="239"/>
        <v/>
      </c>
      <c r="BX330" t="str">
        <f t="shared" si="252"/>
        <v/>
      </c>
      <c r="BY330" t="str">
        <f t="shared" si="240"/>
        <v/>
      </c>
      <c r="BZ330" t="str">
        <f t="shared" si="253"/>
        <v/>
      </c>
      <c r="CA330" t="str">
        <f t="shared" si="241"/>
        <v/>
      </c>
      <c r="CB330" t="str">
        <f t="shared" si="223"/>
        <v/>
      </c>
      <c r="CC330" t="str">
        <f t="shared" si="242"/>
        <v/>
      </c>
      <c r="CD330" t="str">
        <f t="shared" si="224"/>
        <v/>
      </c>
      <c r="CE330" t="str">
        <f t="shared" si="243"/>
        <v>Bowles 5th edition</v>
      </c>
      <c r="CF330">
        <f t="shared" si="225"/>
        <v>141</v>
      </c>
      <c r="CG330" t="str">
        <f t="shared" si="244"/>
        <v/>
      </c>
      <c r="CH330" t="str">
        <f t="shared" si="226"/>
        <v/>
      </c>
      <c r="CI330" t="str">
        <f t="shared" si="245"/>
        <v/>
      </c>
      <c r="CJ330" t="str">
        <f t="shared" si="254"/>
        <v/>
      </c>
    </row>
    <row r="331" spans="2:88" x14ac:dyDescent="0.3">
      <c r="B331" t="str">
        <f t="shared" si="246"/>
        <v>36.82633-76.077453</v>
      </c>
      <c r="C331" s="30" t="s">
        <v>121</v>
      </c>
      <c r="D331">
        <v>36.826329999999999</v>
      </c>
      <c r="E331">
        <v>-76.077453000000006</v>
      </c>
      <c r="F331">
        <v>5</v>
      </c>
      <c r="G331" t="str">
        <f t="shared" si="247"/>
        <v>-1-336.82633-76.077453</v>
      </c>
      <c r="H331">
        <v>-1</v>
      </c>
      <c r="I331">
        <v>-3</v>
      </c>
      <c r="J331" s="30" t="s">
        <v>21</v>
      </c>
      <c r="L331" t="s">
        <v>17</v>
      </c>
      <c r="M331">
        <v>7</v>
      </c>
      <c r="S331" t="str">
        <f t="shared" si="221"/>
        <v>Sand</v>
      </c>
      <c r="T331">
        <f t="shared" si="248"/>
        <v>1</v>
      </c>
      <c r="AA331">
        <v>80</v>
      </c>
      <c r="AB331" s="1">
        <f t="shared" si="217"/>
        <v>9</v>
      </c>
      <c r="AC331">
        <f t="shared" si="218"/>
        <v>13</v>
      </c>
      <c r="AD331" t="str">
        <f t="shared" si="249"/>
        <v/>
      </c>
      <c r="AG331" s="21" t="str">
        <f t="shared" si="227"/>
        <v/>
      </c>
      <c r="AI331" s="6" t="str">
        <f t="shared" si="228"/>
        <v/>
      </c>
      <c r="AM331" s="7" t="str">
        <f t="shared" si="229"/>
        <v/>
      </c>
      <c r="AQ331" s="8" t="str">
        <f t="shared" si="230"/>
        <v/>
      </c>
      <c r="AW331" s="25" t="str">
        <f t="shared" si="231"/>
        <v/>
      </c>
      <c r="AZ331" s="12" t="str">
        <f t="shared" si="232"/>
        <v/>
      </c>
      <c r="BI331" s="17" t="str">
        <f t="shared" si="233"/>
        <v/>
      </c>
      <c r="BM331" t="str">
        <f t="shared" si="234"/>
        <v>SPT Relationship</v>
      </c>
      <c r="BN331">
        <f t="shared" si="222"/>
        <v>114</v>
      </c>
      <c r="BO331" t="str">
        <f t="shared" si="235"/>
        <v>Wolff, 1989</v>
      </c>
      <c r="BP331">
        <f t="shared" si="219"/>
        <v>30</v>
      </c>
      <c r="BQ331" t="str">
        <f t="shared" si="236"/>
        <v/>
      </c>
      <c r="BR331" t="str">
        <f t="shared" si="250"/>
        <v/>
      </c>
      <c r="BS331" t="str">
        <f t="shared" si="237"/>
        <v/>
      </c>
      <c r="BT331" t="str">
        <f t="shared" si="220"/>
        <v/>
      </c>
      <c r="BU331" t="str">
        <f t="shared" si="238"/>
        <v/>
      </c>
      <c r="BV331" t="str">
        <f t="shared" si="251"/>
        <v/>
      </c>
      <c r="BW331" t="str">
        <f t="shared" si="239"/>
        <v/>
      </c>
      <c r="BX331" t="str">
        <f t="shared" si="252"/>
        <v/>
      </c>
      <c r="BY331" t="str">
        <f t="shared" si="240"/>
        <v/>
      </c>
      <c r="BZ331" t="str">
        <f t="shared" si="253"/>
        <v/>
      </c>
      <c r="CA331" t="str">
        <f t="shared" si="241"/>
        <v/>
      </c>
      <c r="CB331" t="str">
        <f t="shared" si="223"/>
        <v/>
      </c>
      <c r="CC331" t="str">
        <f t="shared" si="242"/>
        <v/>
      </c>
      <c r="CD331" t="str">
        <f t="shared" si="224"/>
        <v/>
      </c>
      <c r="CE331" t="str">
        <f t="shared" si="243"/>
        <v>Bowles 5th edition</v>
      </c>
      <c r="CF331">
        <f t="shared" si="225"/>
        <v>154</v>
      </c>
      <c r="CG331" t="str">
        <f t="shared" si="244"/>
        <v/>
      </c>
      <c r="CH331" t="str">
        <f t="shared" si="226"/>
        <v/>
      </c>
      <c r="CI331" t="str">
        <f t="shared" si="245"/>
        <v/>
      </c>
      <c r="CJ331" t="str">
        <f t="shared" si="254"/>
        <v/>
      </c>
    </row>
    <row r="332" spans="2:88" x14ac:dyDescent="0.3">
      <c r="B332" t="str">
        <f t="shared" si="246"/>
        <v>36.82633-76.077453</v>
      </c>
      <c r="C332" s="30" t="s">
        <v>121</v>
      </c>
      <c r="D332">
        <v>36.826329999999999</v>
      </c>
      <c r="E332">
        <v>-76.077453000000006</v>
      </c>
      <c r="F332">
        <v>5</v>
      </c>
      <c r="G332" t="str">
        <f t="shared" si="247"/>
        <v>-3-536.82633-76.077453</v>
      </c>
      <c r="H332">
        <v>-3</v>
      </c>
      <c r="I332">
        <v>-5</v>
      </c>
      <c r="J332" s="30" t="s">
        <v>21</v>
      </c>
      <c r="L332" t="s">
        <v>8</v>
      </c>
      <c r="M332">
        <v>4</v>
      </c>
      <c r="S332" t="str">
        <f t="shared" si="221"/>
        <v>Sand</v>
      </c>
      <c r="T332">
        <f t="shared" si="248"/>
        <v>1</v>
      </c>
      <c r="AA332">
        <v>80</v>
      </c>
      <c r="AB332" s="1">
        <f t="shared" si="217"/>
        <v>5</v>
      </c>
      <c r="AC332">
        <f t="shared" si="218"/>
        <v>6</v>
      </c>
      <c r="AD332" t="str">
        <f t="shared" si="249"/>
        <v/>
      </c>
      <c r="AG332" s="21" t="str">
        <f t="shared" si="227"/>
        <v/>
      </c>
      <c r="AI332" s="6" t="str">
        <f t="shared" si="228"/>
        <v/>
      </c>
      <c r="AM332" s="7" t="str">
        <f t="shared" si="229"/>
        <v/>
      </c>
      <c r="AQ332" s="8" t="str">
        <f t="shared" si="230"/>
        <v/>
      </c>
      <c r="AW332" s="25" t="str">
        <f t="shared" si="231"/>
        <v/>
      </c>
      <c r="AZ332" s="12" t="str">
        <f t="shared" si="232"/>
        <v/>
      </c>
      <c r="BI332" s="17" t="str">
        <f t="shared" si="233"/>
        <v/>
      </c>
      <c r="BM332" t="str">
        <f t="shared" si="234"/>
        <v>SPT Relationship</v>
      </c>
      <c r="BN332">
        <f t="shared" si="222"/>
        <v>108</v>
      </c>
      <c r="BO332" t="str">
        <f t="shared" si="235"/>
        <v>Wolff, 1989</v>
      </c>
      <c r="BP332">
        <f t="shared" si="219"/>
        <v>28</v>
      </c>
      <c r="BQ332" t="str">
        <f t="shared" si="236"/>
        <v/>
      </c>
      <c r="BR332" t="str">
        <f t="shared" si="250"/>
        <v/>
      </c>
      <c r="BS332" t="str">
        <f t="shared" si="237"/>
        <v/>
      </c>
      <c r="BT332" t="str">
        <f t="shared" si="220"/>
        <v/>
      </c>
      <c r="BU332" t="str">
        <f t="shared" si="238"/>
        <v/>
      </c>
      <c r="BV332" t="str">
        <f t="shared" si="251"/>
        <v/>
      </c>
      <c r="BW332" t="str">
        <f t="shared" si="239"/>
        <v/>
      </c>
      <c r="BX332" t="str">
        <f t="shared" si="252"/>
        <v/>
      </c>
      <c r="BY332" t="str">
        <f t="shared" si="240"/>
        <v/>
      </c>
      <c r="BZ332" t="str">
        <f t="shared" si="253"/>
        <v/>
      </c>
      <c r="CA332" t="str">
        <f t="shared" si="241"/>
        <v/>
      </c>
      <c r="CB332" t="str">
        <f t="shared" si="223"/>
        <v/>
      </c>
      <c r="CC332" t="str">
        <f t="shared" si="242"/>
        <v/>
      </c>
      <c r="CD332" t="str">
        <f t="shared" si="224"/>
        <v/>
      </c>
      <c r="CE332" t="str">
        <f t="shared" si="243"/>
        <v>Bowles 5th edition</v>
      </c>
      <c r="CF332">
        <f t="shared" si="225"/>
        <v>128</v>
      </c>
      <c r="CG332" t="str">
        <f t="shared" si="244"/>
        <v/>
      </c>
      <c r="CH332" t="str">
        <f t="shared" si="226"/>
        <v/>
      </c>
      <c r="CI332" t="str">
        <f t="shared" si="245"/>
        <v/>
      </c>
      <c r="CJ332" t="str">
        <f t="shared" si="254"/>
        <v/>
      </c>
    </row>
    <row r="333" spans="2:88" x14ac:dyDescent="0.3">
      <c r="B333" t="str">
        <f t="shared" si="246"/>
        <v>36.82633-76.077453</v>
      </c>
      <c r="C333" s="30" t="s">
        <v>121</v>
      </c>
      <c r="D333">
        <v>36.826329999999999</v>
      </c>
      <c r="E333">
        <v>-76.077453000000006</v>
      </c>
      <c r="F333">
        <v>5</v>
      </c>
      <c r="G333" t="str">
        <f t="shared" si="247"/>
        <v>-5-736.82633-76.077453</v>
      </c>
      <c r="H333">
        <v>-5</v>
      </c>
      <c r="I333">
        <v>-7</v>
      </c>
      <c r="J333" s="30" t="s">
        <v>21</v>
      </c>
      <c r="L333" t="s">
        <v>17</v>
      </c>
      <c r="M333">
        <v>0</v>
      </c>
      <c r="S333" t="str">
        <f t="shared" si="221"/>
        <v>Sand</v>
      </c>
      <c r="T333">
        <f t="shared" si="248"/>
        <v>1</v>
      </c>
      <c r="AA333">
        <v>80</v>
      </c>
      <c r="AB333" s="1">
        <f t="shared" si="217"/>
        <v>0</v>
      </c>
      <c r="AC333">
        <f t="shared" si="218"/>
        <v>0</v>
      </c>
      <c r="AD333" t="str">
        <f t="shared" si="249"/>
        <v/>
      </c>
      <c r="AG333" s="21" t="str">
        <f t="shared" si="227"/>
        <v/>
      </c>
      <c r="AI333" s="6" t="str">
        <f t="shared" si="228"/>
        <v/>
      </c>
      <c r="AM333" s="7" t="str">
        <f t="shared" si="229"/>
        <v/>
      </c>
      <c r="AQ333" s="8" t="str">
        <f t="shared" si="230"/>
        <v/>
      </c>
      <c r="AW333" s="25" t="str">
        <f t="shared" si="231"/>
        <v/>
      </c>
      <c r="AZ333" s="12" t="str">
        <f t="shared" si="232"/>
        <v/>
      </c>
      <c r="BI333" s="17" t="str">
        <f t="shared" si="233"/>
        <v/>
      </c>
      <c r="BM333" t="str">
        <f t="shared" si="234"/>
        <v>SPT Relationship</v>
      </c>
      <c r="BN333">
        <f t="shared" si="222"/>
        <v>95</v>
      </c>
      <c r="BO333" t="str">
        <f t="shared" si="235"/>
        <v>Wolff, 1989</v>
      </c>
      <c r="BP333">
        <f t="shared" si="219"/>
        <v>27</v>
      </c>
      <c r="BQ333" t="str">
        <f t="shared" si="236"/>
        <v/>
      </c>
      <c r="BR333" t="str">
        <f t="shared" si="250"/>
        <v/>
      </c>
      <c r="BS333" t="str">
        <f t="shared" si="237"/>
        <v/>
      </c>
      <c r="BT333" t="str">
        <f t="shared" si="220"/>
        <v/>
      </c>
      <c r="BU333" t="str">
        <f t="shared" si="238"/>
        <v/>
      </c>
      <c r="BV333" t="str">
        <f t="shared" si="251"/>
        <v/>
      </c>
      <c r="BW333" t="str">
        <f t="shared" si="239"/>
        <v/>
      </c>
      <c r="BX333" t="str">
        <f t="shared" si="252"/>
        <v/>
      </c>
      <c r="BY333" t="str">
        <f t="shared" si="240"/>
        <v/>
      </c>
      <c r="BZ333" t="str">
        <f t="shared" si="253"/>
        <v/>
      </c>
      <c r="CA333" t="str">
        <f t="shared" si="241"/>
        <v/>
      </c>
      <c r="CB333" t="str">
        <f t="shared" si="223"/>
        <v/>
      </c>
      <c r="CC333" t="str">
        <f t="shared" si="242"/>
        <v/>
      </c>
      <c r="CD333" t="str">
        <f t="shared" si="224"/>
        <v/>
      </c>
      <c r="CE333" t="str">
        <f t="shared" si="243"/>
        <v>Bowles 5th edition</v>
      </c>
      <c r="CF333">
        <f t="shared" si="225"/>
        <v>96</v>
      </c>
      <c r="CG333" t="str">
        <f t="shared" si="244"/>
        <v/>
      </c>
      <c r="CH333" t="str">
        <f t="shared" si="226"/>
        <v/>
      </c>
      <c r="CI333" t="str">
        <f t="shared" si="245"/>
        <v/>
      </c>
      <c r="CJ333" t="str">
        <f t="shared" si="254"/>
        <v/>
      </c>
    </row>
    <row r="334" spans="2:88" x14ac:dyDescent="0.3">
      <c r="B334" t="str">
        <f t="shared" si="246"/>
        <v>36.82633-76.077453</v>
      </c>
      <c r="C334" s="30" t="s">
        <v>121</v>
      </c>
      <c r="D334">
        <v>36.826329999999999</v>
      </c>
      <c r="E334">
        <v>-76.077453000000006</v>
      </c>
      <c r="F334">
        <v>5</v>
      </c>
      <c r="G334" t="str">
        <f t="shared" si="247"/>
        <v>-8-1036.82633-76.077453</v>
      </c>
      <c r="H334">
        <v>-8</v>
      </c>
      <c r="I334">
        <v>-10</v>
      </c>
      <c r="J334" s="30" t="s">
        <v>21</v>
      </c>
      <c r="L334" t="s">
        <v>113</v>
      </c>
      <c r="M334">
        <v>0</v>
      </c>
      <c r="S334" t="str">
        <f t="shared" si="221"/>
        <v>Clay</v>
      </c>
      <c r="T334">
        <f t="shared" si="248"/>
        <v>1</v>
      </c>
      <c r="AA334">
        <v>80</v>
      </c>
      <c r="AB334" s="1">
        <f t="shared" si="217"/>
        <v>0</v>
      </c>
      <c r="AC334">
        <f t="shared" si="218"/>
        <v>0</v>
      </c>
      <c r="AD334" t="str">
        <f t="shared" si="249"/>
        <v/>
      </c>
      <c r="AG334" s="21" t="str">
        <f t="shared" si="227"/>
        <v/>
      </c>
      <c r="AI334" s="6" t="str">
        <f t="shared" si="228"/>
        <v/>
      </c>
      <c r="AM334" s="7" t="str">
        <f t="shared" si="229"/>
        <v/>
      </c>
      <c r="AQ334" s="8" t="str">
        <f t="shared" si="230"/>
        <v/>
      </c>
      <c r="AW334" s="25" t="str">
        <f t="shared" si="231"/>
        <v/>
      </c>
      <c r="AZ334" s="12" t="str">
        <f t="shared" si="232"/>
        <v/>
      </c>
      <c r="BI334" s="17" t="str">
        <f t="shared" si="233"/>
        <v/>
      </c>
      <c r="BM334" t="str">
        <f t="shared" si="234"/>
        <v>SPT Relationship</v>
      </c>
      <c r="BN334">
        <f t="shared" si="222"/>
        <v>95</v>
      </c>
      <c r="BO334" t="str">
        <f t="shared" si="235"/>
        <v>Wolff, 1989</v>
      </c>
      <c r="BP334">
        <f t="shared" si="219"/>
        <v>27</v>
      </c>
      <c r="BQ334" t="str">
        <f t="shared" si="236"/>
        <v/>
      </c>
      <c r="BR334" t="str">
        <f t="shared" si="250"/>
        <v/>
      </c>
      <c r="BS334" t="str">
        <f t="shared" si="237"/>
        <v>Stroud 1974 (K=3.5)</v>
      </c>
      <c r="BT334">
        <f t="shared" si="220"/>
        <v>0</v>
      </c>
      <c r="BU334" t="str">
        <f t="shared" si="238"/>
        <v/>
      </c>
      <c r="BV334" t="str">
        <f t="shared" si="251"/>
        <v/>
      </c>
      <c r="BW334" t="str">
        <f t="shared" si="239"/>
        <v/>
      </c>
      <c r="BX334" t="str">
        <f t="shared" si="252"/>
        <v/>
      </c>
      <c r="BY334" t="str">
        <f t="shared" si="240"/>
        <v/>
      </c>
      <c r="BZ334" t="str">
        <f t="shared" si="253"/>
        <v/>
      </c>
      <c r="CA334" t="str">
        <f t="shared" si="241"/>
        <v/>
      </c>
      <c r="CB334" t="str">
        <f t="shared" si="223"/>
        <v/>
      </c>
      <c r="CC334" t="str">
        <f t="shared" si="242"/>
        <v/>
      </c>
      <c r="CD334" t="str">
        <f t="shared" si="224"/>
        <v/>
      </c>
      <c r="CE334" t="str">
        <f t="shared" si="243"/>
        <v/>
      </c>
      <c r="CF334" t="str">
        <f t="shared" si="225"/>
        <v/>
      </c>
      <c r="CG334" t="str">
        <f t="shared" si="244"/>
        <v/>
      </c>
      <c r="CH334" t="str">
        <f t="shared" si="226"/>
        <v/>
      </c>
      <c r="CI334" t="str">
        <f t="shared" si="245"/>
        <v/>
      </c>
      <c r="CJ334" t="str">
        <f t="shared" si="254"/>
        <v/>
      </c>
    </row>
    <row r="335" spans="2:88" x14ac:dyDescent="0.3">
      <c r="B335" t="str">
        <f t="shared" si="246"/>
        <v>36.825454-76.07658</v>
      </c>
      <c r="C335" s="30" t="s">
        <v>122</v>
      </c>
      <c r="D335">
        <v>36.825454000000001</v>
      </c>
      <c r="E335">
        <v>-76.076580000000007</v>
      </c>
      <c r="F335">
        <v>5</v>
      </c>
      <c r="G335" t="str">
        <f t="shared" si="247"/>
        <v>5336.825454-76.07658</v>
      </c>
      <c r="H335">
        <v>5</v>
      </c>
      <c r="I335">
        <v>3</v>
      </c>
      <c r="J335" s="30" t="s">
        <v>21</v>
      </c>
      <c r="L335" t="s">
        <v>17</v>
      </c>
      <c r="M335">
        <v>31</v>
      </c>
      <c r="S335" t="str">
        <f t="shared" si="221"/>
        <v>Sand</v>
      </c>
      <c r="T335">
        <f t="shared" si="248"/>
        <v>1</v>
      </c>
      <c r="AA335">
        <v>80</v>
      </c>
      <c r="AB335" s="1">
        <f t="shared" si="217"/>
        <v>41</v>
      </c>
      <c r="AC335">
        <f t="shared" si="218"/>
        <v>126</v>
      </c>
      <c r="AD335" t="str">
        <f t="shared" si="249"/>
        <v/>
      </c>
      <c r="AG335" s="21" t="str">
        <f t="shared" si="227"/>
        <v/>
      </c>
      <c r="AI335" s="6" t="str">
        <f t="shared" si="228"/>
        <v/>
      </c>
      <c r="AM335" s="7" t="str">
        <f t="shared" si="229"/>
        <v/>
      </c>
      <c r="AQ335" s="8" t="str">
        <f t="shared" si="230"/>
        <v/>
      </c>
      <c r="AW335" s="25" t="str">
        <f t="shared" si="231"/>
        <v/>
      </c>
      <c r="AZ335" s="12" t="str">
        <f t="shared" si="232"/>
        <v/>
      </c>
      <c r="BI335" s="17" t="str">
        <f t="shared" si="233"/>
        <v/>
      </c>
      <c r="BM335" t="str">
        <f t="shared" si="234"/>
        <v>SPT Relationship</v>
      </c>
      <c r="BN335">
        <f t="shared" si="222"/>
        <v>132</v>
      </c>
      <c r="BO335" t="str">
        <f t="shared" si="235"/>
        <v>Wolff, 1989</v>
      </c>
      <c r="BP335">
        <f t="shared" si="219"/>
        <v>56</v>
      </c>
      <c r="BQ335" t="str">
        <f t="shared" si="236"/>
        <v/>
      </c>
      <c r="BR335" t="str">
        <f t="shared" si="250"/>
        <v/>
      </c>
      <c r="BS335" t="str">
        <f t="shared" si="237"/>
        <v/>
      </c>
      <c r="BT335" t="str">
        <f t="shared" si="220"/>
        <v/>
      </c>
      <c r="BU335" t="str">
        <f t="shared" si="238"/>
        <v/>
      </c>
      <c r="BV335" t="str">
        <f t="shared" si="251"/>
        <v/>
      </c>
      <c r="BW335" t="str">
        <f t="shared" si="239"/>
        <v/>
      </c>
      <c r="BX335" t="str">
        <f t="shared" si="252"/>
        <v/>
      </c>
      <c r="BY335" t="str">
        <f t="shared" si="240"/>
        <v/>
      </c>
      <c r="BZ335" t="str">
        <f t="shared" si="253"/>
        <v/>
      </c>
      <c r="CA335" t="str">
        <f t="shared" si="241"/>
        <v/>
      </c>
      <c r="CB335" t="str">
        <f t="shared" si="223"/>
        <v/>
      </c>
      <c r="CC335" t="str">
        <f t="shared" si="242"/>
        <v/>
      </c>
      <c r="CD335" t="str">
        <f t="shared" si="224"/>
        <v/>
      </c>
      <c r="CE335" t="str">
        <f t="shared" si="243"/>
        <v>Bowles 5th edition</v>
      </c>
      <c r="CF335">
        <f t="shared" si="225"/>
        <v>358</v>
      </c>
      <c r="CG335" t="str">
        <f t="shared" si="244"/>
        <v/>
      </c>
      <c r="CH335" t="str">
        <f t="shared" si="226"/>
        <v/>
      </c>
      <c r="CI335" t="str">
        <f t="shared" si="245"/>
        <v/>
      </c>
      <c r="CJ335" t="str">
        <f t="shared" si="254"/>
        <v/>
      </c>
    </row>
    <row r="336" spans="2:88" x14ac:dyDescent="0.3">
      <c r="B336" t="str">
        <f t="shared" si="246"/>
        <v>36.825454-76.07658</v>
      </c>
      <c r="C336" s="30" t="s">
        <v>122</v>
      </c>
      <c r="D336">
        <v>36.825454000000001</v>
      </c>
      <c r="E336">
        <v>-76.076580000000007</v>
      </c>
      <c r="F336">
        <v>5</v>
      </c>
      <c r="G336" t="str">
        <f t="shared" si="247"/>
        <v>3136.825454-76.07658</v>
      </c>
      <c r="H336">
        <v>3</v>
      </c>
      <c r="I336">
        <v>1</v>
      </c>
      <c r="J336" s="30" t="s">
        <v>21</v>
      </c>
      <c r="L336" t="s">
        <v>17</v>
      </c>
      <c r="M336">
        <v>18</v>
      </c>
      <c r="S336" t="str">
        <f t="shared" si="221"/>
        <v>Sand</v>
      </c>
      <c r="T336">
        <f t="shared" si="248"/>
        <v>1</v>
      </c>
      <c r="AA336">
        <v>80</v>
      </c>
      <c r="AB336" s="1">
        <f t="shared" si="217"/>
        <v>24</v>
      </c>
      <c r="AC336">
        <f t="shared" si="218"/>
        <v>52</v>
      </c>
      <c r="AD336" t="str">
        <f t="shared" si="249"/>
        <v/>
      </c>
      <c r="AG336" s="21" t="str">
        <f t="shared" si="227"/>
        <v/>
      </c>
      <c r="AI336" s="6" t="str">
        <f t="shared" si="228"/>
        <v/>
      </c>
      <c r="AM336" s="7" t="str">
        <f t="shared" si="229"/>
        <v/>
      </c>
      <c r="AQ336" s="8" t="str">
        <f t="shared" si="230"/>
        <v/>
      </c>
      <c r="AW336" s="25" t="str">
        <f t="shared" si="231"/>
        <v/>
      </c>
      <c r="AZ336" s="12" t="str">
        <f t="shared" si="232"/>
        <v/>
      </c>
      <c r="BI336" s="17" t="str">
        <f t="shared" si="233"/>
        <v/>
      </c>
      <c r="BM336" t="str">
        <f t="shared" si="234"/>
        <v>SPT Relationship</v>
      </c>
      <c r="BN336">
        <f t="shared" si="222"/>
        <v>125</v>
      </c>
      <c r="BO336" t="str">
        <f t="shared" si="235"/>
        <v>Wolff, 1989</v>
      </c>
      <c r="BP336">
        <f t="shared" si="219"/>
        <v>41</v>
      </c>
      <c r="BQ336" t="str">
        <f t="shared" si="236"/>
        <v/>
      </c>
      <c r="BR336" t="str">
        <f t="shared" si="250"/>
        <v/>
      </c>
      <c r="BS336" t="str">
        <f t="shared" si="237"/>
        <v/>
      </c>
      <c r="BT336" t="str">
        <f t="shared" si="220"/>
        <v/>
      </c>
      <c r="BU336" t="str">
        <f t="shared" si="238"/>
        <v/>
      </c>
      <c r="BV336" t="str">
        <f t="shared" si="251"/>
        <v/>
      </c>
      <c r="BW336" t="str">
        <f t="shared" si="239"/>
        <v/>
      </c>
      <c r="BX336" t="str">
        <f t="shared" si="252"/>
        <v/>
      </c>
      <c r="BY336" t="str">
        <f t="shared" si="240"/>
        <v/>
      </c>
      <c r="BZ336" t="str">
        <f t="shared" si="253"/>
        <v/>
      </c>
      <c r="CA336" t="str">
        <f t="shared" si="241"/>
        <v/>
      </c>
      <c r="CB336" t="str">
        <f t="shared" si="223"/>
        <v/>
      </c>
      <c r="CC336" t="str">
        <f t="shared" si="242"/>
        <v/>
      </c>
      <c r="CD336" t="str">
        <f t="shared" si="224"/>
        <v/>
      </c>
      <c r="CE336" t="str">
        <f t="shared" si="243"/>
        <v>Bowles 5th edition</v>
      </c>
      <c r="CF336">
        <f t="shared" si="225"/>
        <v>250</v>
      </c>
      <c r="CG336" t="str">
        <f t="shared" si="244"/>
        <v/>
      </c>
      <c r="CH336" t="str">
        <f t="shared" si="226"/>
        <v/>
      </c>
      <c r="CI336" t="str">
        <f t="shared" si="245"/>
        <v/>
      </c>
      <c r="CJ336" t="str">
        <f t="shared" si="254"/>
        <v/>
      </c>
    </row>
    <row r="337" spans="2:88" x14ac:dyDescent="0.3">
      <c r="B337" t="str">
        <f t="shared" si="246"/>
        <v>36.825454-76.07658</v>
      </c>
      <c r="C337" s="30" t="s">
        <v>122</v>
      </c>
      <c r="D337">
        <v>36.825454000000001</v>
      </c>
      <c r="E337">
        <v>-76.076580000000007</v>
      </c>
      <c r="F337">
        <v>5</v>
      </c>
      <c r="G337" t="str">
        <f t="shared" si="247"/>
        <v>1-136.825454-76.07658</v>
      </c>
      <c r="H337">
        <v>1</v>
      </c>
      <c r="I337">
        <v>-1</v>
      </c>
      <c r="J337" s="30" t="s">
        <v>21</v>
      </c>
      <c r="L337" t="s">
        <v>17</v>
      </c>
      <c r="M337">
        <v>15</v>
      </c>
      <c r="S337" t="str">
        <f t="shared" si="221"/>
        <v>Sand</v>
      </c>
      <c r="T337">
        <f t="shared" si="248"/>
        <v>1</v>
      </c>
      <c r="AA337">
        <v>80</v>
      </c>
      <c r="AB337" s="1">
        <f t="shared" si="217"/>
        <v>20</v>
      </c>
      <c r="AC337">
        <f t="shared" si="218"/>
        <v>35</v>
      </c>
      <c r="AD337" t="str">
        <f t="shared" si="249"/>
        <v/>
      </c>
      <c r="AG337" s="21" t="str">
        <f t="shared" si="227"/>
        <v/>
      </c>
      <c r="AI337" s="6" t="str">
        <f t="shared" si="228"/>
        <v/>
      </c>
      <c r="AM337" s="7" t="str">
        <f t="shared" si="229"/>
        <v/>
      </c>
      <c r="AQ337" s="8" t="str">
        <f t="shared" si="230"/>
        <v/>
      </c>
      <c r="AW337" s="25" t="str">
        <f t="shared" si="231"/>
        <v/>
      </c>
      <c r="AZ337" s="12" t="str">
        <f t="shared" si="232"/>
        <v/>
      </c>
      <c r="BI337" s="17" t="str">
        <f t="shared" si="233"/>
        <v/>
      </c>
      <c r="BM337" t="str">
        <f t="shared" si="234"/>
        <v>SPT Relationship</v>
      </c>
      <c r="BN337">
        <f t="shared" si="222"/>
        <v>123</v>
      </c>
      <c r="BO337" t="str">
        <f t="shared" si="235"/>
        <v>Wolff, 1989</v>
      </c>
      <c r="BP337">
        <f t="shared" si="219"/>
        <v>36</v>
      </c>
      <c r="BQ337" t="str">
        <f t="shared" si="236"/>
        <v/>
      </c>
      <c r="BR337" t="str">
        <f t="shared" si="250"/>
        <v/>
      </c>
      <c r="BS337" t="str">
        <f t="shared" si="237"/>
        <v/>
      </c>
      <c r="BT337" t="str">
        <f t="shared" si="220"/>
        <v/>
      </c>
      <c r="BU337" t="str">
        <f t="shared" si="238"/>
        <v/>
      </c>
      <c r="BV337" t="str">
        <f t="shared" si="251"/>
        <v/>
      </c>
      <c r="BW337" t="str">
        <f t="shared" si="239"/>
        <v/>
      </c>
      <c r="BX337" t="str">
        <f t="shared" si="252"/>
        <v/>
      </c>
      <c r="BY337" t="str">
        <f t="shared" si="240"/>
        <v/>
      </c>
      <c r="BZ337" t="str">
        <f t="shared" si="253"/>
        <v/>
      </c>
      <c r="CA337" t="str">
        <f t="shared" si="241"/>
        <v/>
      </c>
      <c r="CB337" t="str">
        <f t="shared" si="223"/>
        <v/>
      </c>
      <c r="CC337" t="str">
        <f t="shared" si="242"/>
        <v/>
      </c>
      <c r="CD337" t="str">
        <f t="shared" si="224"/>
        <v/>
      </c>
      <c r="CE337" t="str">
        <f t="shared" si="243"/>
        <v>Bowles 5th edition</v>
      </c>
      <c r="CF337">
        <f t="shared" si="225"/>
        <v>224</v>
      </c>
      <c r="CG337" t="str">
        <f t="shared" si="244"/>
        <v/>
      </c>
      <c r="CH337" t="str">
        <f t="shared" si="226"/>
        <v/>
      </c>
      <c r="CI337" t="str">
        <f t="shared" si="245"/>
        <v/>
      </c>
      <c r="CJ337" t="str">
        <f t="shared" si="254"/>
        <v/>
      </c>
    </row>
    <row r="338" spans="2:88" x14ac:dyDescent="0.3">
      <c r="B338" t="str">
        <f t="shared" si="246"/>
        <v>36.825454-76.07658</v>
      </c>
      <c r="C338" s="30" t="s">
        <v>122</v>
      </c>
      <c r="D338">
        <v>36.825454000000001</v>
      </c>
      <c r="E338">
        <v>-76.076580000000007</v>
      </c>
      <c r="F338">
        <v>5</v>
      </c>
      <c r="G338" t="str">
        <f t="shared" si="247"/>
        <v>-1-336.825454-76.07658</v>
      </c>
      <c r="H338">
        <v>-1</v>
      </c>
      <c r="I338">
        <v>-3</v>
      </c>
      <c r="J338" s="30" t="s">
        <v>21</v>
      </c>
      <c r="L338" t="s">
        <v>11</v>
      </c>
      <c r="M338">
        <v>9</v>
      </c>
      <c r="S338" t="str">
        <f t="shared" si="221"/>
        <v>Clay</v>
      </c>
      <c r="T338">
        <f t="shared" si="248"/>
        <v>1</v>
      </c>
      <c r="AA338">
        <v>80</v>
      </c>
      <c r="AB338" s="1">
        <f t="shared" si="217"/>
        <v>12</v>
      </c>
      <c r="AC338">
        <f t="shared" si="218"/>
        <v>18</v>
      </c>
      <c r="AD338" t="str">
        <f t="shared" si="249"/>
        <v/>
      </c>
      <c r="AG338" s="21" t="str">
        <f t="shared" si="227"/>
        <v/>
      </c>
      <c r="AI338" s="6" t="str">
        <f t="shared" si="228"/>
        <v/>
      </c>
      <c r="AM338" s="7" t="str">
        <f t="shared" si="229"/>
        <v/>
      </c>
      <c r="AQ338" s="8" t="str">
        <f t="shared" si="230"/>
        <v/>
      </c>
      <c r="AW338" s="25" t="str">
        <f t="shared" si="231"/>
        <v/>
      </c>
      <c r="AZ338" s="12" t="str">
        <f t="shared" si="232"/>
        <v/>
      </c>
      <c r="BI338" s="17" t="str">
        <f t="shared" si="233"/>
        <v/>
      </c>
      <c r="BM338" t="str">
        <f t="shared" si="234"/>
        <v>SPT Relationship</v>
      </c>
      <c r="BN338">
        <f t="shared" si="222"/>
        <v>117</v>
      </c>
      <c r="BO338" t="str">
        <f t="shared" si="235"/>
        <v>Wolff, 1989</v>
      </c>
      <c r="BP338">
        <f t="shared" si="219"/>
        <v>32</v>
      </c>
      <c r="BQ338" t="str">
        <f t="shared" si="236"/>
        <v/>
      </c>
      <c r="BR338" t="str">
        <f t="shared" si="250"/>
        <v/>
      </c>
      <c r="BS338" t="str">
        <f t="shared" si="237"/>
        <v>Stroud 1974 (K=3.5)</v>
      </c>
      <c r="BT338">
        <f t="shared" si="220"/>
        <v>877</v>
      </c>
      <c r="BU338" t="str">
        <f t="shared" si="238"/>
        <v/>
      </c>
      <c r="BV338" t="str">
        <f t="shared" si="251"/>
        <v/>
      </c>
      <c r="BW338" t="str">
        <f t="shared" si="239"/>
        <v/>
      </c>
      <c r="BX338" t="str">
        <f t="shared" si="252"/>
        <v/>
      </c>
      <c r="BY338" t="str">
        <f t="shared" si="240"/>
        <v/>
      </c>
      <c r="BZ338" t="str">
        <f t="shared" si="253"/>
        <v/>
      </c>
      <c r="CA338" t="str">
        <f t="shared" si="241"/>
        <v/>
      </c>
      <c r="CB338" t="str">
        <f t="shared" si="223"/>
        <v/>
      </c>
      <c r="CC338" t="str">
        <f t="shared" si="242"/>
        <v/>
      </c>
      <c r="CD338" t="str">
        <f t="shared" si="224"/>
        <v/>
      </c>
      <c r="CE338" t="str">
        <f t="shared" si="243"/>
        <v/>
      </c>
      <c r="CF338" t="str">
        <f t="shared" si="225"/>
        <v/>
      </c>
      <c r="CG338" t="str">
        <f t="shared" si="244"/>
        <v/>
      </c>
      <c r="CH338" t="str">
        <f t="shared" si="226"/>
        <v/>
      </c>
      <c r="CI338" t="str">
        <f t="shared" si="245"/>
        <v/>
      </c>
      <c r="CJ338" t="str">
        <f t="shared" si="254"/>
        <v/>
      </c>
    </row>
    <row r="339" spans="2:88" x14ac:dyDescent="0.3">
      <c r="B339" t="str">
        <f t="shared" si="246"/>
        <v>36.825454-76.07658</v>
      </c>
      <c r="C339" s="30" t="s">
        <v>122</v>
      </c>
      <c r="D339">
        <v>36.825454000000001</v>
      </c>
      <c r="E339">
        <v>-76.076580000000007</v>
      </c>
      <c r="F339">
        <v>5</v>
      </c>
      <c r="G339" t="str">
        <f t="shared" si="247"/>
        <v>-3-536.825454-76.07658</v>
      </c>
      <c r="H339">
        <v>-3</v>
      </c>
      <c r="I339">
        <v>-5</v>
      </c>
      <c r="J339" s="30" t="s">
        <v>21</v>
      </c>
      <c r="L339" t="s">
        <v>17</v>
      </c>
      <c r="M339">
        <v>7</v>
      </c>
      <c r="S339" t="str">
        <f t="shared" si="221"/>
        <v>Sand</v>
      </c>
      <c r="T339">
        <f t="shared" si="248"/>
        <v>1</v>
      </c>
      <c r="AA339">
        <v>80</v>
      </c>
      <c r="AB339" s="1">
        <f t="shared" ref="AB339:AB402" si="255">IFERROR(ROUND(M339*AA339/60,0),"")</f>
        <v>9</v>
      </c>
      <c r="AC339">
        <f t="shared" ref="AC339:AC402" si="256">IFERROR(ROUNDDOWN(((1/((((F339-I339)*110)*0.047880258888889)/100))^(0.5))*AB339,0),"")</f>
        <v>12</v>
      </c>
      <c r="AD339" t="str">
        <f t="shared" si="249"/>
        <v/>
      </c>
      <c r="AG339" s="21" t="str">
        <f t="shared" si="227"/>
        <v/>
      </c>
      <c r="AI339" s="6" t="str">
        <f t="shared" si="228"/>
        <v/>
      </c>
      <c r="AM339" s="7" t="str">
        <f t="shared" si="229"/>
        <v/>
      </c>
      <c r="AQ339" s="8" t="str">
        <f t="shared" si="230"/>
        <v/>
      </c>
      <c r="AW339" s="25" t="str">
        <f t="shared" si="231"/>
        <v/>
      </c>
      <c r="AZ339" s="12" t="str">
        <f t="shared" si="232"/>
        <v/>
      </c>
      <c r="BI339" s="17" t="str">
        <f t="shared" si="233"/>
        <v/>
      </c>
      <c r="BM339" t="str">
        <f t="shared" si="234"/>
        <v>SPT Relationship</v>
      </c>
      <c r="BN339">
        <f t="shared" si="222"/>
        <v>114</v>
      </c>
      <c r="BO339" t="str">
        <f t="shared" si="235"/>
        <v>Wolff, 1989</v>
      </c>
      <c r="BP339">
        <f t="shared" si="219"/>
        <v>30</v>
      </c>
      <c r="BQ339" t="str">
        <f t="shared" si="236"/>
        <v/>
      </c>
      <c r="BR339" t="str">
        <f t="shared" si="250"/>
        <v/>
      </c>
      <c r="BS339" t="str">
        <f t="shared" si="237"/>
        <v/>
      </c>
      <c r="BT339" t="str">
        <f t="shared" si="220"/>
        <v/>
      </c>
      <c r="BU339" t="str">
        <f t="shared" si="238"/>
        <v/>
      </c>
      <c r="BV339" t="str">
        <f t="shared" si="251"/>
        <v/>
      </c>
      <c r="BW339" t="str">
        <f t="shared" si="239"/>
        <v/>
      </c>
      <c r="BX339" t="str">
        <f t="shared" si="252"/>
        <v/>
      </c>
      <c r="BY339" t="str">
        <f t="shared" si="240"/>
        <v/>
      </c>
      <c r="BZ339" t="str">
        <f t="shared" si="253"/>
        <v/>
      </c>
      <c r="CA339" t="str">
        <f t="shared" si="241"/>
        <v/>
      </c>
      <c r="CB339" t="str">
        <f t="shared" si="223"/>
        <v/>
      </c>
      <c r="CC339" t="str">
        <f t="shared" si="242"/>
        <v/>
      </c>
      <c r="CD339" t="str">
        <f t="shared" si="224"/>
        <v/>
      </c>
      <c r="CE339" t="str">
        <f t="shared" si="243"/>
        <v>Bowles 5th edition</v>
      </c>
      <c r="CF339">
        <f t="shared" si="225"/>
        <v>154</v>
      </c>
      <c r="CG339" t="str">
        <f t="shared" si="244"/>
        <v/>
      </c>
      <c r="CH339" t="str">
        <f t="shared" si="226"/>
        <v/>
      </c>
      <c r="CI339" t="str">
        <f t="shared" si="245"/>
        <v/>
      </c>
      <c r="CJ339" t="str">
        <f t="shared" si="254"/>
        <v/>
      </c>
    </row>
    <row r="340" spans="2:88" x14ac:dyDescent="0.3">
      <c r="B340" t="str">
        <f t="shared" si="246"/>
        <v>36.825454-76.07658</v>
      </c>
      <c r="C340" s="30" t="s">
        <v>122</v>
      </c>
      <c r="D340">
        <v>36.825454000000001</v>
      </c>
      <c r="E340">
        <v>-76.076580000000007</v>
      </c>
      <c r="F340">
        <v>5</v>
      </c>
      <c r="G340" t="str">
        <f t="shared" si="247"/>
        <v>-5-736.825454-76.07658</v>
      </c>
      <c r="H340">
        <v>-5</v>
      </c>
      <c r="I340">
        <v>-7</v>
      </c>
      <c r="J340" s="30" t="s">
        <v>21</v>
      </c>
      <c r="L340" t="s">
        <v>113</v>
      </c>
      <c r="M340">
        <v>0</v>
      </c>
      <c r="S340" t="str">
        <f t="shared" si="221"/>
        <v>Clay</v>
      </c>
      <c r="T340">
        <f t="shared" si="248"/>
        <v>1</v>
      </c>
      <c r="AA340">
        <v>80</v>
      </c>
      <c r="AB340" s="1">
        <f t="shared" si="255"/>
        <v>0</v>
      </c>
      <c r="AC340">
        <f t="shared" si="256"/>
        <v>0</v>
      </c>
      <c r="AD340" t="str">
        <f t="shared" si="249"/>
        <v/>
      </c>
      <c r="AG340" s="21" t="str">
        <f t="shared" si="227"/>
        <v/>
      </c>
      <c r="AI340" s="6" t="str">
        <f t="shared" si="228"/>
        <v/>
      </c>
      <c r="AM340" s="7" t="str">
        <f t="shared" si="229"/>
        <v/>
      </c>
      <c r="AQ340" s="8" t="str">
        <f t="shared" si="230"/>
        <v/>
      </c>
      <c r="AW340" s="25" t="str">
        <f t="shared" si="231"/>
        <v/>
      </c>
      <c r="AZ340" s="12" t="str">
        <f t="shared" si="232"/>
        <v/>
      </c>
      <c r="BI340" s="17" t="str">
        <f t="shared" si="233"/>
        <v/>
      </c>
      <c r="BM340" t="str">
        <f t="shared" si="234"/>
        <v>SPT Relationship</v>
      </c>
      <c r="BN340">
        <f t="shared" si="222"/>
        <v>95</v>
      </c>
      <c r="BO340" t="str">
        <f t="shared" si="235"/>
        <v>Wolff, 1989</v>
      </c>
      <c r="BP340">
        <f t="shared" si="219"/>
        <v>27</v>
      </c>
      <c r="BQ340" t="str">
        <f t="shared" si="236"/>
        <v/>
      </c>
      <c r="BR340" t="str">
        <f t="shared" si="250"/>
        <v/>
      </c>
      <c r="BS340" t="str">
        <f t="shared" si="237"/>
        <v>Stroud 1974 (K=3.5)</v>
      </c>
      <c r="BT340">
        <f t="shared" si="220"/>
        <v>0</v>
      </c>
      <c r="BU340" t="str">
        <f t="shared" si="238"/>
        <v/>
      </c>
      <c r="BV340" t="str">
        <f t="shared" si="251"/>
        <v/>
      </c>
      <c r="BW340" t="str">
        <f t="shared" si="239"/>
        <v/>
      </c>
      <c r="BX340" t="str">
        <f t="shared" si="252"/>
        <v/>
      </c>
      <c r="BY340" t="str">
        <f t="shared" si="240"/>
        <v/>
      </c>
      <c r="BZ340" t="str">
        <f t="shared" si="253"/>
        <v/>
      </c>
      <c r="CA340" t="str">
        <f t="shared" si="241"/>
        <v/>
      </c>
      <c r="CB340" t="str">
        <f t="shared" si="223"/>
        <v/>
      </c>
      <c r="CC340" t="str">
        <f t="shared" si="242"/>
        <v/>
      </c>
      <c r="CD340" t="str">
        <f t="shared" si="224"/>
        <v/>
      </c>
      <c r="CE340" t="str">
        <f t="shared" si="243"/>
        <v/>
      </c>
      <c r="CF340" t="str">
        <f t="shared" si="225"/>
        <v/>
      </c>
      <c r="CG340" t="str">
        <f t="shared" si="244"/>
        <v/>
      </c>
      <c r="CH340" t="str">
        <f t="shared" si="226"/>
        <v/>
      </c>
      <c r="CI340" t="str">
        <f t="shared" si="245"/>
        <v/>
      </c>
      <c r="CJ340" t="str">
        <f t="shared" si="254"/>
        <v/>
      </c>
    </row>
    <row r="341" spans="2:88" x14ac:dyDescent="0.3">
      <c r="B341" t="str">
        <f t="shared" si="246"/>
        <v>36.825454-76.07658</v>
      </c>
      <c r="C341" s="30" t="s">
        <v>122</v>
      </c>
      <c r="D341">
        <v>36.825454000000001</v>
      </c>
      <c r="E341">
        <v>-76.076580000000007</v>
      </c>
      <c r="F341">
        <v>5</v>
      </c>
      <c r="G341" t="str">
        <f t="shared" si="247"/>
        <v>-8-1036.825454-76.07658</v>
      </c>
      <c r="H341">
        <v>-8</v>
      </c>
      <c r="I341">
        <v>-10</v>
      </c>
      <c r="J341" s="30" t="s">
        <v>21</v>
      </c>
      <c r="L341" t="s">
        <v>8</v>
      </c>
      <c r="M341">
        <v>0</v>
      </c>
      <c r="S341" t="str">
        <f t="shared" si="221"/>
        <v>Sand</v>
      </c>
      <c r="T341">
        <f t="shared" si="248"/>
        <v>1</v>
      </c>
      <c r="AA341">
        <v>80</v>
      </c>
      <c r="AB341" s="1">
        <f t="shared" si="255"/>
        <v>0</v>
      </c>
      <c r="AC341">
        <f t="shared" si="256"/>
        <v>0</v>
      </c>
      <c r="AD341" t="str">
        <f t="shared" si="249"/>
        <v/>
      </c>
      <c r="AG341" s="21" t="str">
        <f t="shared" si="227"/>
        <v/>
      </c>
      <c r="AI341" s="6" t="str">
        <f t="shared" si="228"/>
        <v/>
      </c>
      <c r="AM341" s="7" t="str">
        <f t="shared" si="229"/>
        <v/>
      </c>
      <c r="AQ341" s="8" t="str">
        <f t="shared" si="230"/>
        <v/>
      </c>
      <c r="AW341" s="25" t="str">
        <f t="shared" si="231"/>
        <v/>
      </c>
      <c r="AZ341" s="12" t="str">
        <f t="shared" si="232"/>
        <v/>
      </c>
      <c r="BI341" s="17" t="str">
        <f t="shared" si="233"/>
        <v/>
      </c>
      <c r="BM341" t="str">
        <f t="shared" si="234"/>
        <v>SPT Relationship</v>
      </c>
      <c r="BN341">
        <f t="shared" si="222"/>
        <v>95</v>
      </c>
      <c r="BO341" t="str">
        <f t="shared" si="235"/>
        <v>Wolff, 1989</v>
      </c>
      <c r="BP341">
        <f t="shared" si="219"/>
        <v>27</v>
      </c>
      <c r="BQ341" t="str">
        <f t="shared" si="236"/>
        <v/>
      </c>
      <c r="BR341" t="str">
        <f t="shared" si="250"/>
        <v/>
      </c>
      <c r="BS341" t="str">
        <f t="shared" si="237"/>
        <v/>
      </c>
      <c r="BT341" t="str">
        <f t="shared" si="220"/>
        <v/>
      </c>
      <c r="BU341" t="str">
        <f t="shared" si="238"/>
        <v/>
      </c>
      <c r="BV341" t="str">
        <f t="shared" si="251"/>
        <v/>
      </c>
      <c r="BW341" t="str">
        <f t="shared" si="239"/>
        <v/>
      </c>
      <c r="BX341" t="str">
        <f t="shared" si="252"/>
        <v/>
      </c>
      <c r="BY341" t="str">
        <f t="shared" si="240"/>
        <v/>
      </c>
      <c r="BZ341" t="str">
        <f t="shared" si="253"/>
        <v/>
      </c>
      <c r="CA341" t="str">
        <f t="shared" si="241"/>
        <v/>
      </c>
      <c r="CB341" t="str">
        <f t="shared" si="223"/>
        <v/>
      </c>
      <c r="CC341" t="str">
        <f t="shared" si="242"/>
        <v/>
      </c>
      <c r="CD341" t="str">
        <f t="shared" si="224"/>
        <v/>
      </c>
      <c r="CE341" t="str">
        <f t="shared" si="243"/>
        <v>Bowles 5th edition</v>
      </c>
      <c r="CF341">
        <f t="shared" si="225"/>
        <v>96</v>
      </c>
      <c r="CG341" t="str">
        <f t="shared" si="244"/>
        <v/>
      </c>
      <c r="CH341" t="str">
        <f t="shared" si="226"/>
        <v/>
      </c>
      <c r="CI341" t="str">
        <f t="shared" si="245"/>
        <v/>
      </c>
      <c r="CJ341" t="str">
        <f t="shared" si="254"/>
        <v/>
      </c>
    </row>
    <row r="342" spans="2:88" x14ac:dyDescent="0.3">
      <c r="B342" t="str">
        <f t="shared" si="246"/>
        <v>36.825454-76.07658</v>
      </c>
      <c r="C342" s="30" t="s">
        <v>122</v>
      </c>
      <c r="D342">
        <v>36.825454000000001</v>
      </c>
      <c r="E342">
        <v>-76.076580000000007</v>
      </c>
      <c r="F342">
        <v>5</v>
      </c>
      <c r="G342" t="str">
        <f t="shared" si="247"/>
        <v>-13-1536.825454-76.07658</v>
      </c>
      <c r="H342">
        <v>-13</v>
      </c>
      <c r="I342">
        <v>-15</v>
      </c>
      <c r="J342" s="30" t="s">
        <v>21</v>
      </c>
      <c r="L342" t="s">
        <v>113</v>
      </c>
      <c r="M342">
        <v>4</v>
      </c>
      <c r="S342" t="str">
        <f t="shared" si="221"/>
        <v>Clay</v>
      </c>
      <c r="T342">
        <f t="shared" si="248"/>
        <v>1</v>
      </c>
      <c r="AA342">
        <v>80</v>
      </c>
      <c r="AB342" s="1">
        <f t="shared" si="255"/>
        <v>5</v>
      </c>
      <c r="AC342">
        <f t="shared" si="256"/>
        <v>4</v>
      </c>
      <c r="AD342" t="str">
        <f t="shared" si="249"/>
        <v/>
      </c>
      <c r="AG342" s="21" t="str">
        <f t="shared" si="227"/>
        <v/>
      </c>
      <c r="AI342" s="6" t="str">
        <f t="shared" si="228"/>
        <v/>
      </c>
      <c r="AM342" s="7" t="str">
        <f t="shared" si="229"/>
        <v/>
      </c>
      <c r="AQ342" s="8" t="str">
        <f t="shared" si="230"/>
        <v/>
      </c>
      <c r="AW342" s="25" t="str">
        <f t="shared" si="231"/>
        <v/>
      </c>
      <c r="AZ342" s="12" t="str">
        <f t="shared" si="232"/>
        <v/>
      </c>
      <c r="BI342" s="17" t="str">
        <f t="shared" si="233"/>
        <v/>
      </c>
      <c r="BM342" t="str">
        <f t="shared" si="234"/>
        <v>SPT Relationship</v>
      </c>
      <c r="BN342">
        <f t="shared" si="222"/>
        <v>108</v>
      </c>
      <c r="BO342" t="str">
        <f t="shared" si="235"/>
        <v>Wolff, 1989</v>
      </c>
      <c r="BP342">
        <f t="shared" si="219"/>
        <v>28</v>
      </c>
      <c r="BQ342" t="str">
        <f t="shared" si="236"/>
        <v/>
      </c>
      <c r="BR342" t="str">
        <f t="shared" si="250"/>
        <v/>
      </c>
      <c r="BS342" t="str">
        <f t="shared" si="237"/>
        <v>Stroud 1974 (K=3.5)</v>
      </c>
      <c r="BT342">
        <f t="shared" si="220"/>
        <v>365</v>
      </c>
      <c r="BU342" t="str">
        <f t="shared" si="238"/>
        <v/>
      </c>
      <c r="BV342" t="str">
        <f t="shared" si="251"/>
        <v/>
      </c>
      <c r="BW342" t="str">
        <f t="shared" si="239"/>
        <v/>
      </c>
      <c r="BX342" t="str">
        <f t="shared" si="252"/>
        <v/>
      </c>
      <c r="BY342" t="str">
        <f t="shared" si="240"/>
        <v/>
      </c>
      <c r="BZ342" t="str">
        <f t="shared" si="253"/>
        <v/>
      </c>
      <c r="CA342" t="str">
        <f t="shared" si="241"/>
        <v/>
      </c>
      <c r="CB342" t="str">
        <f t="shared" si="223"/>
        <v/>
      </c>
      <c r="CC342" t="str">
        <f t="shared" si="242"/>
        <v/>
      </c>
      <c r="CD342" t="str">
        <f t="shared" si="224"/>
        <v/>
      </c>
      <c r="CE342" t="str">
        <f t="shared" si="243"/>
        <v/>
      </c>
      <c r="CF342" t="str">
        <f t="shared" si="225"/>
        <v/>
      </c>
      <c r="CG342" t="str">
        <f t="shared" si="244"/>
        <v/>
      </c>
      <c r="CH342" t="str">
        <f t="shared" si="226"/>
        <v/>
      </c>
      <c r="CI342" t="str">
        <f t="shared" si="245"/>
        <v/>
      </c>
      <c r="CJ342" t="str">
        <f t="shared" si="254"/>
        <v/>
      </c>
    </row>
    <row r="343" spans="2:88" x14ac:dyDescent="0.3">
      <c r="B343" t="str">
        <f t="shared" si="246"/>
        <v>36.825454-76.07658</v>
      </c>
      <c r="C343" s="30" t="s">
        <v>122</v>
      </c>
      <c r="D343">
        <v>36.825454000000001</v>
      </c>
      <c r="E343">
        <v>-76.076580000000007</v>
      </c>
      <c r="F343">
        <v>5</v>
      </c>
      <c r="G343" t="str">
        <f t="shared" si="247"/>
        <v>-18-2036.825454-76.07658</v>
      </c>
      <c r="H343">
        <v>-18</v>
      </c>
      <c r="I343">
        <v>-20</v>
      </c>
      <c r="J343" s="30" t="s">
        <v>21</v>
      </c>
      <c r="L343" t="s">
        <v>8</v>
      </c>
      <c r="M343">
        <v>7</v>
      </c>
      <c r="S343" t="str">
        <f t="shared" si="221"/>
        <v>Sand</v>
      </c>
      <c r="T343">
        <f t="shared" si="248"/>
        <v>1</v>
      </c>
      <c r="AA343">
        <v>80</v>
      </c>
      <c r="AB343" s="1">
        <f t="shared" si="255"/>
        <v>9</v>
      </c>
      <c r="AC343">
        <f t="shared" si="256"/>
        <v>7</v>
      </c>
      <c r="AD343" t="str">
        <f t="shared" si="249"/>
        <v/>
      </c>
      <c r="AG343" s="21" t="str">
        <f t="shared" si="227"/>
        <v/>
      </c>
      <c r="AI343" s="6" t="str">
        <f t="shared" si="228"/>
        <v/>
      </c>
      <c r="AM343" s="7" t="str">
        <f t="shared" si="229"/>
        <v/>
      </c>
      <c r="AQ343" s="8" t="str">
        <f t="shared" si="230"/>
        <v/>
      </c>
      <c r="AW343" s="25" t="str">
        <f t="shared" si="231"/>
        <v/>
      </c>
      <c r="AZ343" s="12" t="str">
        <f t="shared" si="232"/>
        <v/>
      </c>
      <c r="BI343" s="17" t="str">
        <f t="shared" si="233"/>
        <v/>
      </c>
      <c r="BM343" t="str">
        <f t="shared" si="234"/>
        <v>SPT Relationship</v>
      </c>
      <c r="BN343">
        <f t="shared" si="222"/>
        <v>114</v>
      </c>
      <c r="BO343" t="str">
        <f t="shared" si="235"/>
        <v>Wolff, 1989</v>
      </c>
      <c r="BP343">
        <f t="shared" si="219"/>
        <v>29</v>
      </c>
      <c r="BQ343" t="str">
        <f t="shared" si="236"/>
        <v/>
      </c>
      <c r="BR343" t="str">
        <f t="shared" si="250"/>
        <v/>
      </c>
      <c r="BS343" t="str">
        <f t="shared" si="237"/>
        <v/>
      </c>
      <c r="BT343" t="str">
        <f t="shared" si="220"/>
        <v/>
      </c>
      <c r="BU343" t="str">
        <f t="shared" si="238"/>
        <v/>
      </c>
      <c r="BV343" t="str">
        <f t="shared" si="251"/>
        <v/>
      </c>
      <c r="BW343" t="str">
        <f t="shared" si="239"/>
        <v/>
      </c>
      <c r="BX343" t="str">
        <f t="shared" si="252"/>
        <v/>
      </c>
      <c r="BY343" t="str">
        <f t="shared" si="240"/>
        <v/>
      </c>
      <c r="BZ343" t="str">
        <f t="shared" si="253"/>
        <v/>
      </c>
      <c r="CA343" t="str">
        <f t="shared" si="241"/>
        <v/>
      </c>
      <c r="CB343" t="str">
        <f t="shared" si="223"/>
        <v/>
      </c>
      <c r="CC343" t="str">
        <f t="shared" si="242"/>
        <v/>
      </c>
      <c r="CD343" t="str">
        <f t="shared" si="224"/>
        <v/>
      </c>
      <c r="CE343" t="str">
        <f t="shared" si="243"/>
        <v>Bowles 5th edition</v>
      </c>
      <c r="CF343">
        <f t="shared" si="225"/>
        <v>154</v>
      </c>
      <c r="CG343" t="str">
        <f t="shared" si="244"/>
        <v/>
      </c>
      <c r="CH343" t="str">
        <f t="shared" si="226"/>
        <v/>
      </c>
      <c r="CI343" t="str">
        <f t="shared" si="245"/>
        <v/>
      </c>
      <c r="CJ343" t="str">
        <f t="shared" si="254"/>
        <v/>
      </c>
    </row>
    <row r="344" spans="2:88" x14ac:dyDescent="0.3">
      <c r="B344" t="str">
        <f t="shared" si="246"/>
        <v>36.825454-76.07658</v>
      </c>
      <c r="C344" s="30" t="s">
        <v>122</v>
      </c>
      <c r="D344">
        <v>36.825454000000001</v>
      </c>
      <c r="E344">
        <v>-76.076580000000007</v>
      </c>
      <c r="F344">
        <v>5</v>
      </c>
      <c r="G344" t="str">
        <f t="shared" si="247"/>
        <v>-23-2536.825454-76.07658</v>
      </c>
      <c r="H344">
        <v>-23</v>
      </c>
      <c r="I344">
        <v>-25</v>
      </c>
      <c r="J344" s="30" t="s">
        <v>21</v>
      </c>
      <c r="L344" t="s">
        <v>8</v>
      </c>
      <c r="M344">
        <v>2</v>
      </c>
      <c r="S344" t="str">
        <f t="shared" si="221"/>
        <v>Sand</v>
      </c>
      <c r="T344">
        <f t="shared" si="248"/>
        <v>1</v>
      </c>
      <c r="AA344">
        <v>80</v>
      </c>
      <c r="AB344" s="1">
        <f t="shared" si="255"/>
        <v>3</v>
      </c>
      <c r="AC344">
        <f t="shared" si="256"/>
        <v>2</v>
      </c>
      <c r="AD344" t="str">
        <f t="shared" si="249"/>
        <v/>
      </c>
      <c r="AG344" s="21" t="str">
        <f t="shared" si="227"/>
        <v/>
      </c>
      <c r="AI344" s="6" t="str">
        <f t="shared" si="228"/>
        <v/>
      </c>
      <c r="AM344" s="7" t="str">
        <f t="shared" si="229"/>
        <v/>
      </c>
      <c r="AQ344" s="8" t="str">
        <f t="shared" si="230"/>
        <v/>
      </c>
      <c r="AW344" s="25" t="str">
        <f t="shared" si="231"/>
        <v/>
      </c>
      <c r="AZ344" s="12" t="str">
        <f t="shared" si="232"/>
        <v/>
      </c>
      <c r="BI344" s="17" t="str">
        <f t="shared" si="233"/>
        <v/>
      </c>
      <c r="BM344" t="str">
        <f t="shared" si="234"/>
        <v>SPT Relationship</v>
      </c>
      <c r="BN344">
        <f t="shared" si="222"/>
        <v>101</v>
      </c>
      <c r="BO344" t="str">
        <f t="shared" si="235"/>
        <v>Wolff, 1989</v>
      </c>
      <c r="BP344">
        <f t="shared" si="219"/>
        <v>27</v>
      </c>
      <c r="BQ344" t="str">
        <f t="shared" si="236"/>
        <v/>
      </c>
      <c r="BR344" t="str">
        <f t="shared" si="250"/>
        <v/>
      </c>
      <c r="BS344" t="str">
        <f t="shared" si="237"/>
        <v/>
      </c>
      <c r="BT344" t="str">
        <f t="shared" si="220"/>
        <v/>
      </c>
      <c r="BU344" t="str">
        <f t="shared" si="238"/>
        <v/>
      </c>
      <c r="BV344" t="str">
        <f t="shared" si="251"/>
        <v/>
      </c>
      <c r="BW344" t="str">
        <f t="shared" si="239"/>
        <v/>
      </c>
      <c r="BX344" t="str">
        <f t="shared" si="252"/>
        <v/>
      </c>
      <c r="BY344" t="str">
        <f t="shared" si="240"/>
        <v/>
      </c>
      <c r="BZ344" t="str">
        <f t="shared" si="253"/>
        <v/>
      </c>
      <c r="CA344" t="str">
        <f t="shared" si="241"/>
        <v/>
      </c>
      <c r="CB344" t="str">
        <f t="shared" si="223"/>
        <v/>
      </c>
      <c r="CC344" t="str">
        <f t="shared" si="242"/>
        <v/>
      </c>
      <c r="CD344" t="str">
        <f t="shared" si="224"/>
        <v/>
      </c>
      <c r="CE344" t="str">
        <f t="shared" si="243"/>
        <v>Bowles 5th edition</v>
      </c>
      <c r="CF344">
        <f t="shared" si="225"/>
        <v>115</v>
      </c>
      <c r="CG344" t="str">
        <f t="shared" si="244"/>
        <v/>
      </c>
      <c r="CH344" t="str">
        <f t="shared" si="226"/>
        <v/>
      </c>
      <c r="CI344" t="str">
        <f t="shared" si="245"/>
        <v/>
      </c>
      <c r="CJ344" t="str">
        <f t="shared" si="254"/>
        <v/>
      </c>
    </row>
    <row r="345" spans="2:88" x14ac:dyDescent="0.3">
      <c r="B345" t="str">
        <f t="shared" si="246"/>
        <v>36.825454-76.07658</v>
      </c>
      <c r="C345" s="30" t="s">
        <v>122</v>
      </c>
      <c r="D345">
        <v>36.825454000000001</v>
      </c>
      <c r="E345">
        <v>-76.076580000000007</v>
      </c>
      <c r="F345">
        <v>5</v>
      </c>
      <c r="G345" t="str">
        <f t="shared" si="247"/>
        <v>-28-3036.825454-76.07658</v>
      </c>
      <c r="H345">
        <v>-28</v>
      </c>
      <c r="I345">
        <v>-30</v>
      </c>
      <c r="J345" s="30" t="s">
        <v>21</v>
      </c>
      <c r="L345" t="s">
        <v>17</v>
      </c>
      <c r="M345">
        <v>0</v>
      </c>
      <c r="S345" t="str">
        <f t="shared" si="221"/>
        <v>Sand</v>
      </c>
      <c r="T345">
        <f t="shared" si="248"/>
        <v>1</v>
      </c>
      <c r="AA345">
        <v>80</v>
      </c>
      <c r="AB345" s="1">
        <f t="shared" si="255"/>
        <v>0</v>
      </c>
      <c r="AC345">
        <f t="shared" si="256"/>
        <v>0</v>
      </c>
      <c r="AD345" t="str">
        <f t="shared" si="249"/>
        <v/>
      </c>
      <c r="AG345" s="21" t="str">
        <f t="shared" si="227"/>
        <v/>
      </c>
      <c r="AI345" s="6" t="str">
        <f t="shared" si="228"/>
        <v/>
      </c>
      <c r="AM345" s="7" t="str">
        <f t="shared" si="229"/>
        <v/>
      </c>
      <c r="AQ345" s="8" t="str">
        <f t="shared" si="230"/>
        <v/>
      </c>
      <c r="AW345" s="25" t="str">
        <f t="shared" si="231"/>
        <v/>
      </c>
      <c r="AZ345" s="12" t="str">
        <f t="shared" si="232"/>
        <v/>
      </c>
      <c r="BI345" s="17" t="str">
        <f t="shared" si="233"/>
        <v/>
      </c>
      <c r="BM345" t="str">
        <f t="shared" si="234"/>
        <v>SPT Relationship</v>
      </c>
      <c r="BN345">
        <f t="shared" si="222"/>
        <v>95</v>
      </c>
      <c r="BO345" t="str">
        <f t="shared" si="235"/>
        <v>Wolff, 1989</v>
      </c>
      <c r="BP345">
        <f t="shared" si="219"/>
        <v>27</v>
      </c>
      <c r="BQ345" t="str">
        <f t="shared" si="236"/>
        <v/>
      </c>
      <c r="BR345" t="str">
        <f t="shared" si="250"/>
        <v/>
      </c>
      <c r="BS345" t="str">
        <f t="shared" si="237"/>
        <v/>
      </c>
      <c r="BT345" t="str">
        <f t="shared" si="220"/>
        <v/>
      </c>
      <c r="BU345" t="str">
        <f t="shared" si="238"/>
        <v/>
      </c>
      <c r="BV345" t="str">
        <f t="shared" si="251"/>
        <v/>
      </c>
      <c r="BW345" t="str">
        <f t="shared" si="239"/>
        <v/>
      </c>
      <c r="BX345" t="str">
        <f t="shared" si="252"/>
        <v/>
      </c>
      <c r="BY345" t="str">
        <f t="shared" si="240"/>
        <v/>
      </c>
      <c r="BZ345" t="str">
        <f t="shared" si="253"/>
        <v/>
      </c>
      <c r="CA345" t="str">
        <f t="shared" si="241"/>
        <v/>
      </c>
      <c r="CB345" t="str">
        <f t="shared" si="223"/>
        <v/>
      </c>
      <c r="CC345" t="str">
        <f t="shared" si="242"/>
        <v/>
      </c>
      <c r="CD345" t="str">
        <f t="shared" si="224"/>
        <v/>
      </c>
      <c r="CE345" t="str">
        <f t="shared" si="243"/>
        <v>Bowles 5th edition</v>
      </c>
      <c r="CF345">
        <f t="shared" si="225"/>
        <v>96</v>
      </c>
      <c r="CG345" t="str">
        <f t="shared" si="244"/>
        <v/>
      </c>
      <c r="CH345" t="str">
        <f t="shared" si="226"/>
        <v/>
      </c>
      <c r="CI345" t="str">
        <f t="shared" si="245"/>
        <v/>
      </c>
      <c r="CJ345" t="str">
        <f t="shared" si="254"/>
        <v/>
      </c>
    </row>
    <row r="346" spans="2:88" x14ac:dyDescent="0.3">
      <c r="B346" t="str">
        <f t="shared" si="246"/>
        <v>36.825454-76.07658</v>
      </c>
      <c r="C346" s="30" t="s">
        <v>122</v>
      </c>
      <c r="D346">
        <v>36.825454000000001</v>
      </c>
      <c r="E346">
        <v>-76.076580000000007</v>
      </c>
      <c r="F346">
        <v>5</v>
      </c>
      <c r="G346" t="str">
        <f t="shared" si="247"/>
        <v>-33-3536.825454-76.07658</v>
      </c>
      <c r="H346">
        <v>-33</v>
      </c>
      <c r="I346">
        <v>-35</v>
      </c>
      <c r="J346" s="30" t="s">
        <v>21</v>
      </c>
      <c r="L346" t="s">
        <v>17</v>
      </c>
      <c r="M346">
        <v>0</v>
      </c>
      <c r="S346" t="str">
        <f t="shared" si="221"/>
        <v>Sand</v>
      </c>
      <c r="T346">
        <f t="shared" si="248"/>
        <v>1</v>
      </c>
      <c r="AA346">
        <v>80</v>
      </c>
      <c r="AB346" s="1">
        <f t="shared" si="255"/>
        <v>0</v>
      </c>
      <c r="AC346">
        <f t="shared" si="256"/>
        <v>0</v>
      </c>
      <c r="AD346" t="str">
        <f t="shared" si="249"/>
        <v/>
      </c>
      <c r="AG346" s="21" t="str">
        <f t="shared" si="227"/>
        <v/>
      </c>
      <c r="AI346" s="6" t="str">
        <f t="shared" si="228"/>
        <v/>
      </c>
      <c r="AM346" s="7" t="str">
        <f t="shared" si="229"/>
        <v/>
      </c>
      <c r="AQ346" s="8" t="str">
        <f t="shared" si="230"/>
        <v/>
      </c>
      <c r="AW346" s="25" t="str">
        <f t="shared" si="231"/>
        <v/>
      </c>
      <c r="AZ346" s="12" t="str">
        <f t="shared" si="232"/>
        <v/>
      </c>
      <c r="BI346" s="17" t="str">
        <f t="shared" si="233"/>
        <v/>
      </c>
      <c r="BM346" t="str">
        <f t="shared" si="234"/>
        <v>SPT Relationship</v>
      </c>
      <c r="BN346">
        <f t="shared" si="222"/>
        <v>95</v>
      </c>
      <c r="BO346" t="str">
        <f t="shared" si="235"/>
        <v>Wolff, 1989</v>
      </c>
      <c r="BP346">
        <f t="shared" si="219"/>
        <v>27</v>
      </c>
      <c r="BQ346" t="str">
        <f t="shared" si="236"/>
        <v/>
      </c>
      <c r="BR346" t="str">
        <f t="shared" si="250"/>
        <v/>
      </c>
      <c r="BS346" t="str">
        <f t="shared" si="237"/>
        <v/>
      </c>
      <c r="BT346" t="str">
        <f t="shared" si="220"/>
        <v/>
      </c>
      <c r="BU346" t="str">
        <f t="shared" si="238"/>
        <v/>
      </c>
      <c r="BV346" t="str">
        <f t="shared" si="251"/>
        <v/>
      </c>
      <c r="BW346" t="str">
        <f t="shared" si="239"/>
        <v/>
      </c>
      <c r="BX346" t="str">
        <f t="shared" si="252"/>
        <v/>
      </c>
      <c r="BY346" t="str">
        <f t="shared" si="240"/>
        <v/>
      </c>
      <c r="BZ346" t="str">
        <f t="shared" si="253"/>
        <v/>
      </c>
      <c r="CA346" t="str">
        <f t="shared" si="241"/>
        <v/>
      </c>
      <c r="CB346" t="str">
        <f t="shared" si="223"/>
        <v/>
      </c>
      <c r="CC346" t="str">
        <f t="shared" si="242"/>
        <v/>
      </c>
      <c r="CD346" t="str">
        <f t="shared" si="224"/>
        <v/>
      </c>
      <c r="CE346" t="str">
        <f t="shared" si="243"/>
        <v>Bowles 5th edition</v>
      </c>
      <c r="CF346">
        <f t="shared" si="225"/>
        <v>96</v>
      </c>
      <c r="CG346" t="str">
        <f t="shared" si="244"/>
        <v/>
      </c>
      <c r="CH346" t="str">
        <f t="shared" si="226"/>
        <v/>
      </c>
      <c r="CI346" t="str">
        <f t="shared" si="245"/>
        <v/>
      </c>
      <c r="CJ346" t="str">
        <f t="shared" si="254"/>
        <v/>
      </c>
    </row>
    <row r="347" spans="2:88" x14ac:dyDescent="0.3">
      <c r="B347" t="str">
        <f t="shared" si="246"/>
        <v>36.825454-76.07658</v>
      </c>
      <c r="C347" s="30" t="s">
        <v>122</v>
      </c>
      <c r="D347">
        <v>36.825454000000001</v>
      </c>
      <c r="E347">
        <v>-76.076580000000007</v>
      </c>
      <c r="F347">
        <v>5</v>
      </c>
      <c r="G347" t="str">
        <f t="shared" si="247"/>
        <v>-38-4036.825454-76.07658</v>
      </c>
      <c r="H347">
        <v>-38</v>
      </c>
      <c r="I347">
        <v>-40</v>
      </c>
      <c r="J347" s="30" t="s">
        <v>21</v>
      </c>
      <c r="L347" t="s">
        <v>8</v>
      </c>
      <c r="M347">
        <v>2</v>
      </c>
      <c r="S347" t="str">
        <f t="shared" si="221"/>
        <v>Sand</v>
      </c>
      <c r="T347">
        <f t="shared" si="248"/>
        <v>1</v>
      </c>
      <c r="AA347">
        <v>80</v>
      </c>
      <c r="AB347" s="1">
        <f t="shared" si="255"/>
        <v>3</v>
      </c>
      <c r="AC347">
        <f t="shared" si="256"/>
        <v>1</v>
      </c>
      <c r="AD347" t="str">
        <f t="shared" si="249"/>
        <v/>
      </c>
      <c r="AG347" s="21" t="str">
        <f t="shared" si="227"/>
        <v/>
      </c>
      <c r="AI347" s="6" t="str">
        <f t="shared" si="228"/>
        <v/>
      </c>
      <c r="AM347" s="7" t="str">
        <f t="shared" si="229"/>
        <v/>
      </c>
      <c r="AQ347" s="8" t="str">
        <f t="shared" si="230"/>
        <v/>
      </c>
      <c r="AW347" s="25" t="str">
        <f t="shared" si="231"/>
        <v/>
      </c>
      <c r="AZ347" s="12" t="str">
        <f t="shared" si="232"/>
        <v/>
      </c>
      <c r="BI347" s="17" t="str">
        <f t="shared" si="233"/>
        <v/>
      </c>
      <c r="BM347" t="str">
        <f t="shared" si="234"/>
        <v>SPT Relationship</v>
      </c>
      <c r="BN347">
        <f t="shared" si="222"/>
        <v>101</v>
      </c>
      <c r="BO347" t="str">
        <f t="shared" si="235"/>
        <v>Wolff, 1989</v>
      </c>
      <c r="BP347">
        <f t="shared" si="219"/>
        <v>27</v>
      </c>
      <c r="BQ347" t="str">
        <f t="shared" si="236"/>
        <v/>
      </c>
      <c r="BR347" t="str">
        <f t="shared" si="250"/>
        <v/>
      </c>
      <c r="BS347" t="str">
        <f t="shared" si="237"/>
        <v/>
      </c>
      <c r="BT347" t="str">
        <f t="shared" si="220"/>
        <v/>
      </c>
      <c r="BU347" t="str">
        <f t="shared" si="238"/>
        <v/>
      </c>
      <c r="BV347" t="str">
        <f t="shared" si="251"/>
        <v/>
      </c>
      <c r="BW347" t="str">
        <f t="shared" si="239"/>
        <v/>
      </c>
      <c r="BX347" t="str">
        <f t="shared" si="252"/>
        <v/>
      </c>
      <c r="BY347" t="str">
        <f t="shared" si="240"/>
        <v/>
      </c>
      <c r="BZ347" t="str">
        <f t="shared" si="253"/>
        <v/>
      </c>
      <c r="CA347" t="str">
        <f t="shared" si="241"/>
        <v/>
      </c>
      <c r="CB347" t="str">
        <f t="shared" si="223"/>
        <v/>
      </c>
      <c r="CC347" t="str">
        <f t="shared" si="242"/>
        <v/>
      </c>
      <c r="CD347" t="str">
        <f t="shared" si="224"/>
        <v/>
      </c>
      <c r="CE347" t="str">
        <f t="shared" si="243"/>
        <v>Bowles 5th edition</v>
      </c>
      <c r="CF347">
        <f t="shared" si="225"/>
        <v>115</v>
      </c>
      <c r="CG347" t="str">
        <f t="shared" si="244"/>
        <v/>
      </c>
      <c r="CH347" t="str">
        <f t="shared" si="226"/>
        <v/>
      </c>
      <c r="CI347" t="str">
        <f t="shared" si="245"/>
        <v/>
      </c>
      <c r="CJ347" t="str">
        <f t="shared" si="254"/>
        <v/>
      </c>
    </row>
    <row r="348" spans="2:88" x14ac:dyDescent="0.3">
      <c r="B348" t="str">
        <f t="shared" si="246"/>
        <v>36.825454-76.07658</v>
      </c>
      <c r="C348" s="30" t="s">
        <v>122</v>
      </c>
      <c r="D348">
        <v>36.825454000000001</v>
      </c>
      <c r="E348">
        <v>-76.076580000000007</v>
      </c>
      <c r="F348">
        <v>5</v>
      </c>
      <c r="G348" t="str">
        <f t="shared" si="247"/>
        <v>-43-4536.825454-76.07658</v>
      </c>
      <c r="H348">
        <v>-43</v>
      </c>
      <c r="I348">
        <v>-45</v>
      </c>
      <c r="J348" s="30" t="s">
        <v>21</v>
      </c>
      <c r="L348" t="s">
        <v>17</v>
      </c>
      <c r="M348">
        <v>1</v>
      </c>
      <c r="S348" t="str">
        <f t="shared" si="221"/>
        <v>Sand</v>
      </c>
      <c r="T348">
        <f t="shared" si="248"/>
        <v>1</v>
      </c>
      <c r="AA348">
        <v>80</v>
      </c>
      <c r="AB348" s="1">
        <f t="shared" si="255"/>
        <v>1</v>
      </c>
      <c r="AC348">
        <f t="shared" si="256"/>
        <v>0</v>
      </c>
      <c r="AD348" t="str">
        <f t="shared" si="249"/>
        <v/>
      </c>
      <c r="AG348" s="21" t="str">
        <f t="shared" si="227"/>
        <v/>
      </c>
      <c r="AI348" s="6" t="str">
        <f t="shared" si="228"/>
        <v/>
      </c>
      <c r="AM348" s="7" t="str">
        <f t="shared" si="229"/>
        <v/>
      </c>
      <c r="AQ348" s="8" t="str">
        <f t="shared" si="230"/>
        <v/>
      </c>
      <c r="AW348" s="25" t="str">
        <f t="shared" si="231"/>
        <v/>
      </c>
      <c r="AZ348" s="12" t="str">
        <f t="shared" si="232"/>
        <v/>
      </c>
      <c r="BI348" s="17" t="str">
        <f t="shared" si="233"/>
        <v/>
      </c>
      <c r="BM348" t="str">
        <f t="shared" si="234"/>
        <v>SPT Relationship</v>
      </c>
      <c r="BN348">
        <f t="shared" si="222"/>
        <v>95</v>
      </c>
      <c r="BO348" t="str">
        <f t="shared" si="235"/>
        <v>Wolff, 1989</v>
      </c>
      <c r="BP348">
        <f t="shared" si="219"/>
        <v>27</v>
      </c>
      <c r="BQ348" t="str">
        <f t="shared" si="236"/>
        <v/>
      </c>
      <c r="BR348" t="str">
        <f t="shared" si="250"/>
        <v/>
      </c>
      <c r="BS348" t="str">
        <f t="shared" si="237"/>
        <v/>
      </c>
      <c r="BT348" t="str">
        <f t="shared" si="220"/>
        <v/>
      </c>
      <c r="BU348" t="str">
        <f t="shared" si="238"/>
        <v/>
      </c>
      <c r="BV348" t="str">
        <f t="shared" si="251"/>
        <v/>
      </c>
      <c r="BW348" t="str">
        <f t="shared" si="239"/>
        <v/>
      </c>
      <c r="BX348" t="str">
        <f t="shared" si="252"/>
        <v/>
      </c>
      <c r="BY348" t="str">
        <f t="shared" si="240"/>
        <v/>
      </c>
      <c r="BZ348" t="str">
        <f t="shared" si="253"/>
        <v/>
      </c>
      <c r="CA348" t="str">
        <f t="shared" si="241"/>
        <v/>
      </c>
      <c r="CB348" t="str">
        <f t="shared" si="223"/>
        <v/>
      </c>
      <c r="CC348" t="str">
        <f t="shared" si="242"/>
        <v/>
      </c>
      <c r="CD348" t="str">
        <f t="shared" si="224"/>
        <v/>
      </c>
      <c r="CE348" t="str">
        <f t="shared" si="243"/>
        <v>Bowles 5th edition</v>
      </c>
      <c r="CF348">
        <f t="shared" si="225"/>
        <v>102</v>
      </c>
      <c r="CG348" t="str">
        <f t="shared" si="244"/>
        <v/>
      </c>
      <c r="CH348" t="str">
        <f t="shared" si="226"/>
        <v/>
      </c>
      <c r="CI348" t="str">
        <f t="shared" si="245"/>
        <v/>
      </c>
      <c r="CJ348" t="str">
        <f t="shared" si="254"/>
        <v/>
      </c>
    </row>
    <row r="349" spans="2:88" x14ac:dyDescent="0.3">
      <c r="B349" t="str">
        <f t="shared" si="246"/>
        <v>36.824389-76.073558</v>
      </c>
      <c r="C349" s="30" t="s">
        <v>123</v>
      </c>
      <c r="D349">
        <v>36.824388999999996</v>
      </c>
      <c r="E349">
        <v>-76.073558000000006</v>
      </c>
      <c r="F349">
        <v>5</v>
      </c>
      <c r="G349" t="str">
        <f t="shared" si="247"/>
        <v>5336.824389-76.073558</v>
      </c>
      <c r="H349">
        <v>5</v>
      </c>
      <c r="I349">
        <v>3</v>
      </c>
      <c r="J349" s="30" t="s">
        <v>21</v>
      </c>
      <c r="L349" t="s">
        <v>11</v>
      </c>
      <c r="M349">
        <v>6</v>
      </c>
      <c r="S349" t="str">
        <f t="shared" si="221"/>
        <v>Clay</v>
      </c>
      <c r="T349">
        <f t="shared" si="248"/>
        <v>1</v>
      </c>
      <c r="AA349">
        <v>80</v>
      </c>
      <c r="AB349" s="1">
        <f t="shared" si="255"/>
        <v>8</v>
      </c>
      <c r="AC349">
        <f t="shared" si="256"/>
        <v>24</v>
      </c>
      <c r="AD349" t="str">
        <f t="shared" si="249"/>
        <v/>
      </c>
      <c r="AG349" s="21" t="str">
        <f t="shared" si="227"/>
        <v/>
      </c>
      <c r="AI349" s="6" t="str">
        <f t="shared" si="228"/>
        <v/>
      </c>
      <c r="AM349" s="7" t="str">
        <f t="shared" si="229"/>
        <v/>
      </c>
      <c r="AQ349" s="8" t="str">
        <f t="shared" si="230"/>
        <v/>
      </c>
      <c r="AW349" s="25" t="str">
        <f t="shared" si="231"/>
        <v/>
      </c>
      <c r="AZ349" s="12" t="str">
        <f t="shared" si="232"/>
        <v/>
      </c>
      <c r="BI349" s="17" t="str">
        <f t="shared" si="233"/>
        <v/>
      </c>
      <c r="BM349" t="str">
        <f t="shared" si="234"/>
        <v>SPT Relationship</v>
      </c>
      <c r="BN349">
        <f t="shared" si="222"/>
        <v>113</v>
      </c>
      <c r="BO349" t="str">
        <f t="shared" si="235"/>
        <v>Wolff, 1989</v>
      </c>
      <c r="BP349">
        <f t="shared" si="219"/>
        <v>33</v>
      </c>
      <c r="BQ349" t="str">
        <f t="shared" si="236"/>
        <v/>
      </c>
      <c r="BR349" t="str">
        <f t="shared" si="250"/>
        <v/>
      </c>
      <c r="BS349" t="str">
        <f t="shared" si="237"/>
        <v>Stroud 1974 (K=3.5)</v>
      </c>
      <c r="BT349">
        <f t="shared" si="220"/>
        <v>585</v>
      </c>
      <c r="BU349" t="str">
        <f t="shared" si="238"/>
        <v/>
      </c>
      <c r="BV349" t="str">
        <f t="shared" si="251"/>
        <v/>
      </c>
      <c r="BW349" t="str">
        <f t="shared" si="239"/>
        <v/>
      </c>
      <c r="BX349" t="str">
        <f t="shared" si="252"/>
        <v/>
      </c>
      <c r="BY349" t="str">
        <f t="shared" si="240"/>
        <v/>
      </c>
      <c r="BZ349" t="str">
        <f t="shared" si="253"/>
        <v/>
      </c>
      <c r="CA349" t="str">
        <f t="shared" si="241"/>
        <v/>
      </c>
      <c r="CB349" t="str">
        <f t="shared" si="223"/>
        <v/>
      </c>
      <c r="CC349" t="str">
        <f t="shared" si="242"/>
        <v/>
      </c>
      <c r="CD349" t="str">
        <f t="shared" si="224"/>
        <v/>
      </c>
      <c r="CE349" t="str">
        <f t="shared" si="243"/>
        <v/>
      </c>
      <c r="CF349" t="str">
        <f t="shared" si="225"/>
        <v/>
      </c>
      <c r="CG349" t="str">
        <f t="shared" si="244"/>
        <v/>
      </c>
      <c r="CH349" t="str">
        <f t="shared" si="226"/>
        <v/>
      </c>
      <c r="CI349" t="str">
        <f t="shared" si="245"/>
        <v/>
      </c>
      <c r="CJ349" t="str">
        <f t="shared" si="254"/>
        <v/>
      </c>
    </row>
    <row r="350" spans="2:88" x14ac:dyDescent="0.3">
      <c r="B350" t="str">
        <f t="shared" si="246"/>
        <v>36.824389-76.073558</v>
      </c>
      <c r="C350" s="30" t="s">
        <v>123</v>
      </c>
      <c r="D350">
        <v>36.824388999999996</v>
      </c>
      <c r="E350">
        <v>-76.073558000000006</v>
      </c>
      <c r="F350">
        <v>5</v>
      </c>
      <c r="G350" t="str">
        <f t="shared" si="247"/>
        <v>3136.824389-76.073558</v>
      </c>
      <c r="H350">
        <v>3</v>
      </c>
      <c r="I350">
        <v>1</v>
      </c>
      <c r="J350" s="30" t="s">
        <v>21</v>
      </c>
      <c r="L350" t="s">
        <v>17</v>
      </c>
      <c r="M350">
        <v>14</v>
      </c>
      <c r="S350" t="str">
        <f t="shared" si="221"/>
        <v>Sand</v>
      </c>
      <c r="T350">
        <f t="shared" si="248"/>
        <v>1</v>
      </c>
      <c r="AA350">
        <v>80</v>
      </c>
      <c r="AB350" s="1">
        <f t="shared" si="255"/>
        <v>19</v>
      </c>
      <c r="AC350">
        <f t="shared" si="256"/>
        <v>41</v>
      </c>
      <c r="AD350" t="str">
        <f t="shared" si="249"/>
        <v/>
      </c>
      <c r="AG350" s="21" t="str">
        <f t="shared" si="227"/>
        <v/>
      </c>
      <c r="AI350" s="6" t="str">
        <f t="shared" si="228"/>
        <v/>
      </c>
      <c r="AM350" s="7" t="str">
        <f t="shared" si="229"/>
        <v/>
      </c>
      <c r="AQ350" s="8" t="str">
        <f t="shared" si="230"/>
        <v/>
      </c>
      <c r="AW350" s="25" t="str">
        <f t="shared" si="231"/>
        <v/>
      </c>
      <c r="AZ350" s="12" t="str">
        <f t="shared" si="232"/>
        <v/>
      </c>
      <c r="BI350" s="17" t="str">
        <f t="shared" si="233"/>
        <v/>
      </c>
      <c r="BM350" t="str">
        <f t="shared" si="234"/>
        <v>SPT Relationship</v>
      </c>
      <c r="BN350">
        <f t="shared" si="222"/>
        <v>122</v>
      </c>
      <c r="BO350" t="str">
        <f t="shared" si="235"/>
        <v>Wolff, 1989</v>
      </c>
      <c r="BP350">
        <f t="shared" si="219"/>
        <v>38</v>
      </c>
      <c r="BQ350" t="str">
        <f t="shared" si="236"/>
        <v/>
      </c>
      <c r="BR350" t="str">
        <f t="shared" si="250"/>
        <v/>
      </c>
      <c r="BS350" t="str">
        <f t="shared" si="237"/>
        <v/>
      </c>
      <c r="BT350" t="str">
        <f t="shared" si="220"/>
        <v/>
      </c>
      <c r="BU350" t="str">
        <f t="shared" si="238"/>
        <v/>
      </c>
      <c r="BV350" t="str">
        <f t="shared" si="251"/>
        <v/>
      </c>
      <c r="BW350" t="str">
        <f t="shared" si="239"/>
        <v/>
      </c>
      <c r="BX350" t="str">
        <f t="shared" si="252"/>
        <v/>
      </c>
      <c r="BY350" t="str">
        <f t="shared" si="240"/>
        <v/>
      </c>
      <c r="BZ350" t="str">
        <f t="shared" si="253"/>
        <v/>
      </c>
      <c r="CA350" t="str">
        <f t="shared" si="241"/>
        <v/>
      </c>
      <c r="CB350" t="str">
        <f t="shared" si="223"/>
        <v/>
      </c>
      <c r="CC350" t="str">
        <f t="shared" si="242"/>
        <v/>
      </c>
      <c r="CD350" t="str">
        <f t="shared" si="224"/>
        <v/>
      </c>
      <c r="CE350" t="str">
        <f t="shared" si="243"/>
        <v>Bowles 5th edition</v>
      </c>
      <c r="CF350">
        <f t="shared" si="225"/>
        <v>218</v>
      </c>
      <c r="CG350" t="str">
        <f t="shared" si="244"/>
        <v/>
      </c>
      <c r="CH350" t="str">
        <f t="shared" si="226"/>
        <v/>
      </c>
      <c r="CI350" t="str">
        <f t="shared" si="245"/>
        <v/>
      </c>
      <c r="CJ350" t="str">
        <f t="shared" si="254"/>
        <v/>
      </c>
    </row>
    <row r="351" spans="2:88" x14ac:dyDescent="0.3">
      <c r="B351" t="str">
        <f t="shared" si="246"/>
        <v>36.824389-76.073558</v>
      </c>
      <c r="C351" s="30" t="s">
        <v>123</v>
      </c>
      <c r="D351">
        <v>36.824388999999996</v>
      </c>
      <c r="E351">
        <v>-76.073558000000006</v>
      </c>
      <c r="F351">
        <v>5</v>
      </c>
      <c r="G351" t="str">
        <f t="shared" si="247"/>
        <v>1-136.824389-76.073558</v>
      </c>
      <c r="H351">
        <v>1</v>
      </c>
      <c r="I351">
        <v>-1</v>
      </c>
      <c r="J351" s="30" t="s">
        <v>21</v>
      </c>
      <c r="L351" t="s">
        <v>17</v>
      </c>
      <c r="M351">
        <v>8</v>
      </c>
      <c r="S351" t="str">
        <f t="shared" si="221"/>
        <v>Sand</v>
      </c>
      <c r="T351">
        <f t="shared" si="248"/>
        <v>1</v>
      </c>
      <c r="AA351">
        <v>80</v>
      </c>
      <c r="AB351" s="1">
        <f t="shared" si="255"/>
        <v>11</v>
      </c>
      <c r="AC351">
        <f t="shared" si="256"/>
        <v>19</v>
      </c>
      <c r="AD351" t="str">
        <f t="shared" si="249"/>
        <v/>
      </c>
      <c r="AG351" s="21" t="str">
        <f t="shared" si="227"/>
        <v/>
      </c>
      <c r="AI351" s="6" t="str">
        <f t="shared" si="228"/>
        <v/>
      </c>
      <c r="AM351" s="7" t="str">
        <f t="shared" si="229"/>
        <v/>
      </c>
      <c r="AQ351" s="8" t="str">
        <f t="shared" si="230"/>
        <v/>
      </c>
      <c r="AW351" s="25" t="str">
        <f t="shared" si="231"/>
        <v/>
      </c>
      <c r="AZ351" s="12" t="str">
        <f t="shared" si="232"/>
        <v/>
      </c>
      <c r="BI351" s="17" t="str">
        <f t="shared" si="233"/>
        <v/>
      </c>
      <c r="BM351" t="str">
        <f t="shared" si="234"/>
        <v>SPT Relationship</v>
      </c>
      <c r="BN351">
        <f t="shared" si="222"/>
        <v>116</v>
      </c>
      <c r="BO351" t="str">
        <f t="shared" si="235"/>
        <v>Wolff, 1989</v>
      </c>
      <c r="BP351">
        <f t="shared" si="219"/>
        <v>32</v>
      </c>
      <c r="BQ351" t="str">
        <f t="shared" si="236"/>
        <v/>
      </c>
      <c r="BR351" t="str">
        <f t="shared" si="250"/>
        <v/>
      </c>
      <c r="BS351" t="str">
        <f t="shared" si="237"/>
        <v/>
      </c>
      <c r="BT351" t="str">
        <f t="shared" si="220"/>
        <v/>
      </c>
      <c r="BU351" t="str">
        <f t="shared" si="238"/>
        <v/>
      </c>
      <c r="BV351" t="str">
        <f t="shared" si="251"/>
        <v/>
      </c>
      <c r="BW351" t="str">
        <f t="shared" si="239"/>
        <v/>
      </c>
      <c r="BX351" t="str">
        <f t="shared" si="252"/>
        <v/>
      </c>
      <c r="BY351" t="str">
        <f t="shared" si="240"/>
        <v/>
      </c>
      <c r="BZ351" t="str">
        <f t="shared" si="253"/>
        <v/>
      </c>
      <c r="CA351" t="str">
        <f t="shared" si="241"/>
        <v/>
      </c>
      <c r="CB351" t="str">
        <f t="shared" si="223"/>
        <v/>
      </c>
      <c r="CC351" t="str">
        <f t="shared" si="242"/>
        <v/>
      </c>
      <c r="CD351" t="str">
        <f t="shared" si="224"/>
        <v/>
      </c>
      <c r="CE351" t="str">
        <f t="shared" si="243"/>
        <v>Bowles 5th edition</v>
      </c>
      <c r="CF351">
        <f t="shared" si="225"/>
        <v>166</v>
      </c>
      <c r="CG351" t="str">
        <f t="shared" si="244"/>
        <v/>
      </c>
      <c r="CH351" t="str">
        <f t="shared" si="226"/>
        <v/>
      </c>
      <c r="CI351" t="str">
        <f t="shared" si="245"/>
        <v/>
      </c>
      <c r="CJ351" t="str">
        <f t="shared" si="254"/>
        <v/>
      </c>
    </row>
    <row r="352" spans="2:88" x14ac:dyDescent="0.3">
      <c r="B352" t="str">
        <f t="shared" si="246"/>
        <v>36.824389-76.073558</v>
      </c>
      <c r="C352" s="30" t="s">
        <v>123</v>
      </c>
      <c r="D352">
        <v>36.824388999999996</v>
      </c>
      <c r="E352">
        <v>-76.073558000000006</v>
      </c>
      <c r="F352">
        <v>5</v>
      </c>
      <c r="G352" t="str">
        <f t="shared" si="247"/>
        <v>-1-336.824389-76.073558</v>
      </c>
      <c r="H352">
        <v>-1</v>
      </c>
      <c r="I352">
        <v>-3</v>
      </c>
      <c r="J352" s="30" t="s">
        <v>21</v>
      </c>
      <c r="L352" t="s">
        <v>8</v>
      </c>
      <c r="M352">
        <v>3</v>
      </c>
      <c r="S352" t="str">
        <f t="shared" si="221"/>
        <v>Sand</v>
      </c>
      <c r="T352">
        <f t="shared" si="248"/>
        <v>1</v>
      </c>
      <c r="AA352">
        <v>80</v>
      </c>
      <c r="AB352" s="1">
        <f t="shared" si="255"/>
        <v>4</v>
      </c>
      <c r="AC352">
        <f t="shared" si="256"/>
        <v>6</v>
      </c>
      <c r="AD352" t="str">
        <f t="shared" si="249"/>
        <v/>
      </c>
      <c r="AG352" s="21" t="str">
        <f t="shared" si="227"/>
        <v/>
      </c>
      <c r="AI352" s="6" t="str">
        <f t="shared" si="228"/>
        <v/>
      </c>
      <c r="AM352" s="7" t="str">
        <f t="shared" si="229"/>
        <v/>
      </c>
      <c r="AQ352" s="8" t="str">
        <f t="shared" si="230"/>
        <v/>
      </c>
      <c r="AW352" s="25" t="str">
        <f t="shared" si="231"/>
        <v/>
      </c>
      <c r="AZ352" s="12" t="str">
        <f t="shared" si="232"/>
        <v/>
      </c>
      <c r="BI352" s="17" t="str">
        <f t="shared" si="233"/>
        <v/>
      </c>
      <c r="BM352" t="str">
        <f t="shared" si="234"/>
        <v>SPT Relationship</v>
      </c>
      <c r="BN352">
        <f t="shared" si="222"/>
        <v>105</v>
      </c>
      <c r="BO352" t="str">
        <f t="shared" si="235"/>
        <v>Wolff, 1989</v>
      </c>
      <c r="BP352">
        <f t="shared" si="219"/>
        <v>28</v>
      </c>
      <c r="BQ352" t="str">
        <f t="shared" si="236"/>
        <v/>
      </c>
      <c r="BR352" t="str">
        <f t="shared" si="250"/>
        <v/>
      </c>
      <c r="BS352" t="str">
        <f t="shared" si="237"/>
        <v/>
      </c>
      <c r="BT352" t="str">
        <f t="shared" si="220"/>
        <v/>
      </c>
      <c r="BU352" t="str">
        <f t="shared" si="238"/>
        <v/>
      </c>
      <c r="BV352" t="str">
        <f t="shared" si="251"/>
        <v/>
      </c>
      <c r="BW352" t="str">
        <f t="shared" si="239"/>
        <v/>
      </c>
      <c r="BX352" t="str">
        <f t="shared" si="252"/>
        <v/>
      </c>
      <c r="BY352" t="str">
        <f t="shared" si="240"/>
        <v/>
      </c>
      <c r="BZ352" t="str">
        <f t="shared" si="253"/>
        <v/>
      </c>
      <c r="CA352" t="str">
        <f t="shared" si="241"/>
        <v/>
      </c>
      <c r="CB352" t="str">
        <f t="shared" si="223"/>
        <v/>
      </c>
      <c r="CC352" t="str">
        <f t="shared" si="242"/>
        <v/>
      </c>
      <c r="CD352" t="str">
        <f t="shared" si="224"/>
        <v/>
      </c>
      <c r="CE352" t="str">
        <f t="shared" si="243"/>
        <v>Bowles 5th edition</v>
      </c>
      <c r="CF352">
        <f t="shared" si="225"/>
        <v>122</v>
      </c>
      <c r="CG352" t="str">
        <f t="shared" si="244"/>
        <v/>
      </c>
      <c r="CH352" t="str">
        <f t="shared" si="226"/>
        <v/>
      </c>
      <c r="CI352" t="str">
        <f t="shared" si="245"/>
        <v/>
      </c>
      <c r="CJ352" t="str">
        <f t="shared" si="254"/>
        <v/>
      </c>
    </row>
    <row r="353" spans="2:88" x14ac:dyDescent="0.3">
      <c r="B353" t="str">
        <f t="shared" si="246"/>
        <v>36.824389-76.073558</v>
      </c>
      <c r="C353" s="30" t="s">
        <v>123</v>
      </c>
      <c r="D353">
        <v>36.824388999999996</v>
      </c>
      <c r="E353">
        <v>-76.073558000000006</v>
      </c>
      <c r="F353">
        <v>5</v>
      </c>
      <c r="G353" t="str">
        <f t="shared" si="247"/>
        <v>-3-536.824389-76.073558</v>
      </c>
      <c r="H353">
        <v>-3</v>
      </c>
      <c r="I353">
        <v>-5</v>
      </c>
      <c r="J353" s="30" t="s">
        <v>21</v>
      </c>
      <c r="L353" t="s">
        <v>113</v>
      </c>
      <c r="M353">
        <v>0</v>
      </c>
      <c r="S353" t="str">
        <f t="shared" si="221"/>
        <v>Clay</v>
      </c>
      <c r="T353">
        <f t="shared" si="248"/>
        <v>1</v>
      </c>
      <c r="AA353">
        <v>80</v>
      </c>
      <c r="AB353" s="1">
        <f t="shared" si="255"/>
        <v>0</v>
      </c>
      <c r="AC353">
        <f t="shared" si="256"/>
        <v>0</v>
      </c>
      <c r="AD353" t="str">
        <f t="shared" si="249"/>
        <v/>
      </c>
      <c r="AG353" s="21" t="str">
        <f t="shared" si="227"/>
        <v/>
      </c>
      <c r="AI353" s="6" t="str">
        <f t="shared" si="228"/>
        <v/>
      </c>
      <c r="AM353" s="7" t="str">
        <f t="shared" si="229"/>
        <v/>
      </c>
      <c r="AQ353" s="8" t="str">
        <f t="shared" si="230"/>
        <v/>
      </c>
      <c r="AW353" s="25" t="str">
        <f t="shared" si="231"/>
        <v/>
      </c>
      <c r="AZ353" s="12" t="str">
        <f t="shared" si="232"/>
        <v/>
      </c>
      <c r="BI353" s="17" t="str">
        <f t="shared" si="233"/>
        <v/>
      </c>
      <c r="BM353" t="str">
        <f t="shared" si="234"/>
        <v>SPT Relationship</v>
      </c>
      <c r="BN353">
        <f t="shared" si="222"/>
        <v>95</v>
      </c>
      <c r="BO353" t="str">
        <f t="shared" si="235"/>
        <v>Wolff, 1989</v>
      </c>
      <c r="BP353">
        <f t="shared" si="219"/>
        <v>27</v>
      </c>
      <c r="BQ353" t="str">
        <f t="shared" si="236"/>
        <v/>
      </c>
      <c r="BR353" t="str">
        <f t="shared" si="250"/>
        <v/>
      </c>
      <c r="BS353" t="str">
        <f t="shared" si="237"/>
        <v>Stroud 1974 (K=3.5)</v>
      </c>
      <c r="BT353">
        <f t="shared" si="220"/>
        <v>0</v>
      </c>
      <c r="BU353" t="str">
        <f t="shared" si="238"/>
        <v/>
      </c>
      <c r="BV353" t="str">
        <f t="shared" si="251"/>
        <v/>
      </c>
      <c r="BW353" t="str">
        <f t="shared" si="239"/>
        <v/>
      </c>
      <c r="BX353" t="str">
        <f t="shared" si="252"/>
        <v/>
      </c>
      <c r="BY353" t="str">
        <f t="shared" si="240"/>
        <v/>
      </c>
      <c r="BZ353" t="str">
        <f t="shared" si="253"/>
        <v/>
      </c>
      <c r="CA353" t="str">
        <f t="shared" si="241"/>
        <v/>
      </c>
      <c r="CB353" t="str">
        <f t="shared" si="223"/>
        <v/>
      </c>
      <c r="CC353" t="str">
        <f t="shared" si="242"/>
        <v/>
      </c>
      <c r="CD353" t="str">
        <f t="shared" si="224"/>
        <v/>
      </c>
      <c r="CE353" t="str">
        <f t="shared" si="243"/>
        <v/>
      </c>
      <c r="CF353" t="str">
        <f t="shared" si="225"/>
        <v/>
      </c>
      <c r="CG353" t="str">
        <f t="shared" si="244"/>
        <v/>
      </c>
      <c r="CH353" t="str">
        <f t="shared" si="226"/>
        <v/>
      </c>
      <c r="CI353" t="str">
        <f t="shared" si="245"/>
        <v/>
      </c>
      <c r="CJ353" t="str">
        <f t="shared" si="254"/>
        <v/>
      </c>
    </row>
    <row r="354" spans="2:88" x14ac:dyDescent="0.3">
      <c r="B354" t="str">
        <f t="shared" si="246"/>
        <v>36.824389-76.073558</v>
      </c>
      <c r="C354" s="30" t="s">
        <v>123</v>
      </c>
      <c r="D354">
        <v>36.824388999999996</v>
      </c>
      <c r="E354">
        <v>-76.073558000000006</v>
      </c>
      <c r="F354">
        <v>5</v>
      </c>
      <c r="G354" t="str">
        <f t="shared" si="247"/>
        <v>-5-736.824389-76.073558</v>
      </c>
      <c r="H354">
        <v>-5</v>
      </c>
      <c r="I354">
        <v>-7</v>
      </c>
      <c r="J354" s="30" t="s">
        <v>21</v>
      </c>
      <c r="L354" t="s">
        <v>113</v>
      </c>
      <c r="M354">
        <v>0</v>
      </c>
      <c r="S354" t="str">
        <f t="shared" si="221"/>
        <v>Clay</v>
      </c>
      <c r="T354">
        <f t="shared" si="248"/>
        <v>1</v>
      </c>
      <c r="AA354">
        <v>80</v>
      </c>
      <c r="AB354" s="1">
        <f t="shared" si="255"/>
        <v>0</v>
      </c>
      <c r="AC354">
        <f t="shared" si="256"/>
        <v>0</v>
      </c>
      <c r="AD354" t="str">
        <f t="shared" si="249"/>
        <v/>
      </c>
      <c r="AG354" s="21" t="str">
        <f t="shared" si="227"/>
        <v/>
      </c>
      <c r="AI354" s="6" t="str">
        <f t="shared" si="228"/>
        <v/>
      </c>
      <c r="AM354" s="7" t="str">
        <f t="shared" si="229"/>
        <v/>
      </c>
      <c r="AQ354" s="8" t="str">
        <f t="shared" si="230"/>
        <v/>
      </c>
      <c r="AW354" s="25" t="str">
        <f t="shared" si="231"/>
        <v/>
      </c>
      <c r="AZ354" s="12" t="str">
        <f t="shared" si="232"/>
        <v/>
      </c>
      <c r="BI354" s="17" t="str">
        <f t="shared" si="233"/>
        <v/>
      </c>
      <c r="BM354" t="str">
        <f t="shared" si="234"/>
        <v>SPT Relationship</v>
      </c>
      <c r="BN354">
        <f t="shared" si="222"/>
        <v>95</v>
      </c>
      <c r="BO354" t="str">
        <f t="shared" si="235"/>
        <v>Wolff, 1989</v>
      </c>
      <c r="BP354">
        <f t="shared" si="219"/>
        <v>27</v>
      </c>
      <c r="BQ354" t="str">
        <f t="shared" si="236"/>
        <v/>
      </c>
      <c r="BR354" t="str">
        <f t="shared" si="250"/>
        <v/>
      </c>
      <c r="BS354" t="str">
        <f t="shared" si="237"/>
        <v>Stroud 1974 (K=3.5)</v>
      </c>
      <c r="BT354">
        <f t="shared" si="220"/>
        <v>0</v>
      </c>
      <c r="BU354" t="str">
        <f t="shared" si="238"/>
        <v/>
      </c>
      <c r="BV354" t="str">
        <f t="shared" si="251"/>
        <v/>
      </c>
      <c r="BW354" t="str">
        <f t="shared" si="239"/>
        <v/>
      </c>
      <c r="BX354" t="str">
        <f t="shared" si="252"/>
        <v/>
      </c>
      <c r="BY354" t="str">
        <f t="shared" si="240"/>
        <v/>
      </c>
      <c r="BZ354" t="str">
        <f t="shared" si="253"/>
        <v/>
      </c>
      <c r="CA354" t="str">
        <f t="shared" si="241"/>
        <v/>
      </c>
      <c r="CB354" t="str">
        <f t="shared" si="223"/>
        <v/>
      </c>
      <c r="CC354" t="str">
        <f t="shared" si="242"/>
        <v/>
      </c>
      <c r="CD354" t="str">
        <f t="shared" si="224"/>
        <v/>
      </c>
      <c r="CE354" t="str">
        <f t="shared" si="243"/>
        <v/>
      </c>
      <c r="CF354" t="str">
        <f t="shared" si="225"/>
        <v/>
      </c>
      <c r="CG354" t="str">
        <f t="shared" si="244"/>
        <v/>
      </c>
      <c r="CH354" t="str">
        <f t="shared" si="226"/>
        <v/>
      </c>
      <c r="CI354" t="str">
        <f t="shared" si="245"/>
        <v/>
      </c>
      <c r="CJ354" t="str">
        <f t="shared" si="254"/>
        <v/>
      </c>
    </row>
    <row r="355" spans="2:88" x14ac:dyDescent="0.3">
      <c r="B355" t="str">
        <f t="shared" si="246"/>
        <v>36.824389-76.073558</v>
      </c>
      <c r="C355" s="30" t="s">
        <v>123</v>
      </c>
      <c r="D355">
        <v>36.824388999999996</v>
      </c>
      <c r="E355">
        <v>-76.073558000000006</v>
      </c>
      <c r="F355">
        <v>5</v>
      </c>
      <c r="G355" t="str">
        <f t="shared" si="247"/>
        <v>-8-1036.824389-76.073558</v>
      </c>
      <c r="H355">
        <v>-8</v>
      </c>
      <c r="I355">
        <v>-10</v>
      </c>
      <c r="J355" s="30" t="s">
        <v>21</v>
      </c>
      <c r="L355" t="s">
        <v>11</v>
      </c>
      <c r="M355">
        <v>2</v>
      </c>
      <c r="S355" t="str">
        <f t="shared" si="221"/>
        <v>Clay</v>
      </c>
      <c r="T355">
        <f t="shared" si="248"/>
        <v>1</v>
      </c>
      <c r="AA355">
        <v>80</v>
      </c>
      <c r="AB355" s="1">
        <f t="shared" si="255"/>
        <v>3</v>
      </c>
      <c r="AC355">
        <f t="shared" si="256"/>
        <v>3</v>
      </c>
      <c r="AD355" t="str">
        <f t="shared" si="249"/>
        <v/>
      </c>
      <c r="AG355" s="21" t="str">
        <f t="shared" si="227"/>
        <v/>
      </c>
      <c r="AI355" s="6" t="str">
        <f t="shared" si="228"/>
        <v/>
      </c>
      <c r="AM355" s="7" t="str">
        <f t="shared" si="229"/>
        <v/>
      </c>
      <c r="AQ355" s="8" t="str">
        <f t="shared" si="230"/>
        <v/>
      </c>
      <c r="AW355" s="25" t="str">
        <f t="shared" si="231"/>
        <v/>
      </c>
      <c r="AZ355" s="12" t="str">
        <f t="shared" si="232"/>
        <v/>
      </c>
      <c r="BI355" s="17" t="str">
        <f t="shared" si="233"/>
        <v/>
      </c>
      <c r="BM355" t="str">
        <f t="shared" si="234"/>
        <v>SPT Relationship</v>
      </c>
      <c r="BN355">
        <f t="shared" si="222"/>
        <v>101</v>
      </c>
      <c r="BO355" t="str">
        <f t="shared" si="235"/>
        <v>Wolff, 1989</v>
      </c>
      <c r="BP355">
        <f t="shared" si="219"/>
        <v>27</v>
      </c>
      <c r="BQ355" t="str">
        <f t="shared" si="236"/>
        <v/>
      </c>
      <c r="BR355" t="str">
        <f t="shared" si="250"/>
        <v/>
      </c>
      <c r="BS355" t="str">
        <f t="shared" si="237"/>
        <v>Stroud 1974 (K=3.5)</v>
      </c>
      <c r="BT355">
        <f t="shared" si="220"/>
        <v>219</v>
      </c>
      <c r="BU355" t="str">
        <f t="shared" si="238"/>
        <v/>
      </c>
      <c r="BV355" t="str">
        <f t="shared" si="251"/>
        <v/>
      </c>
      <c r="BW355" t="str">
        <f t="shared" si="239"/>
        <v/>
      </c>
      <c r="BX355" t="str">
        <f t="shared" si="252"/>
        <v/>
      </c>
      <c r="BY355" t="str">
        <f t="shared" si="240"/>
        <v/>
      </c>
      <c r="BZ355" t="str">
        <f t="shared" si="253"/>
        <v/>
      </c>
      <c r="CA355" t="str">
        <f t="shared" si="241"/>
        <v/>
      </c>
      <c r="CB355" t="str">
        <f t="shared" si="223"/>
        <v/>
      </c>
      <c r="CC355" t="str">
        <f t="shared" si="242"/>
        <v/>
      </c>
      <c r="CD355" t="str">
        <f t="shared" si="224"/>
        <v/>
      </c>
      <c r="CE355" t="str">
        <f t="shared" si="243"/>
        <v/>
      </c>
      <c r="CF355" t="str">
        <f t="shared" si="225"/>
        <v/>
      </c>
      <c r="CG355" t="str">
        <f t="shared" si="244"/>
        <v/>
      </c>
      <c r="CH355" t="str">
        <f t="shared" si="226"/>
        <v/>
      </c>
      <c r="CI355" t="str">
        <f t="shared" si="245"/>
        <v/>
      </c>
      <c r="CJ355" t="str">
        <f t="shared" si="254"/>
        <v/>
      </c>
    </row>
    <row r="356" spans="2:88" x14ac:dyDescent="0.3">
      <c r="B356" t="str">
        <f t="shared" si="246"/>
        <v>36.824389-76.073558</v>
      </c>
      <c r="C356" s="30" t="s">
        <v>123</v>
      </c>
      <c r="D356">
        <v>36.824388999999996</v>
      </c>
      <c r="E356">
        <v>-76.073558000000006</v>
      </c>
      <c r="F356">
        <v>5</v>
      </c>
      <c r="G356" t="str">
        <f t="shared" si="247"/>
        <v>-13-1536.824389-76.073558</v>
      </c>
      <c r="H356">
        <v>-13</v>
      </c>
      <c r="I356">
        <v>-15</v>
      </c>
      <c r="J356" s="30" t="s">
        <v>21</v>
      </c>
      <c r="L356" t="s">
        <v>11</v>
      </c>
      <c r="M356">
        <v>3</v>
      </c>
      <c r="S356" t="str">
        <f t="shared" si="221"/>
        <v>Clay</v>
      </c>
      <c r="T356">
        <f t="shared" si="248"/>
        <v>1</v>
      </c>
      <c r="AA356">
        <v>80</v>
      </c>
      <c r="AB356" s="1">
        <f t="shared" si="255"/>
        <v>4</v>
      </c>
      <c r="AC356">
        <f t="shared" si="256"/>
        <v>3</v>
      </c>
      <c r="AD356" t="str">
        <f t="shared" si="249"/>
        <v/>
      </c>
      <c r="AG356" s="21" t="str">
        <f t="shared" si="227"/>
        <v/>
      </c>
      <c r="AI356" s="6" t="str">
        <f t="shared" si="228"/>
        <v/>
      </c>
      <c r="AM356" s="7" t="str">
        <f t="shared" si="229"/>
        <v/>
      </c>
      <c r="AQ356" s="8" t="str">
        <f t="shared" si="230"/>
        <v/>
      </c>
      <c r="AW356" s="25" t="str">
        <f t="shared" si="231"/>
        <v/>
      </c>
      <c r="AZ356" s="12" t="str">
        <f t="shared" si="232"/>
        <v/>
      </c>
      <c r="BI356" s="17" t="str">
        <f t="shared" si="233"/>
        <v/>
      </c>
      <c r="BM356" t="str">
        <f t="shared" si="234"/>
        <v>SPT Relationship</v>
      </c>
      <c r="BN356">
        <f t="shared" si="222"/>
        <v>105</v>
      </c>
      <c r="BO356" t="str">
        <f t="shared" si="235"/>
        <v>Wolff, 1989</v>
      </c>
      <c r="BP356">
        <f t="shared" ref="BP356:BP419" si="257">IFERROR(ROUNDDOWN(27.1+0.3*AC356-0.00054*AC356^2,0),"")</f>
        <v>27</v>
      </c>
      <c r="BQ356" t="str">
        <f t="shared" si="236"/>
        <v/>
      </c>
      <c r="BR356" t="str">
        <f t="shared" si="250"/>
        <v/>
      </c>
      <c r="BS356" t="str">
        <f t="shared" si="237"/>
        <v>Stroud 1974 (K=3.5)</v>
      </c>
      <c r="BT356">
        <f t="shared" ref="BT356:BT419" si="258">IFERROR(IF(S356="Clay",ROUND((3.5*AB356)*20.885434273039,0),""),"")</f>
        <v>292</v>
      </c>
      <c r="BU356" t="str">
        <f t="shared" si="238"/>
        <v/>
      </c>
      <c r="BV356" t="str">
        <f t="shared" si="251"/>
        <v/>
      </c>
      <c r="BW356" t="str">
        <f t="shared" si="239"/>
        <v/>
      </c>
      <c r="BX356" t="str">
        <f t="shared" si="252"/>
        <v/>
      </c>
      <c r="BY356" t="str">
        <f t="shared" si="240"/>
        <v/>
      </c>
      <c r="BZ356" t="str">
        <f t="shared" si="253"/>
        <v/>
      </c>
      <c r="CA356" t="str">
        <f t="shared" si="241"/>
        <v/>
      </c>
      <c r="CB356" t="str">
        <f t="shared" si="223"/>
        <v/>
      </c>
      <c r="CC356" t="str">
        <f t="shared" si="242"/>
        <v/>
      </c>
      <c r="CD356" t="str">
        <f t="shared" si="224"/>
        <v/>
      </c>
      <c r="CE356" t="str">
        <f t="shared" si="243"/>
        <v/>
      </c>
      <c r="CF356" t="str">
        <f t="shared" si="225"/>
        <v/>
      </c>
      <c r="CG356" t="str">
        <f t="shared" si="244"/>
        <v/>
      </c>
      <c r="CH356" t="str">
        <f t="shared" si="226"/>
        <v/>
      </c>
      <c r="CI356" t="str">
        <f t="shared" si="245"/>
        <v/>
      </c>
      <c r="CJ356" t="str">
        <f t="shared" si="254"/>
        <v/>
      </c>
    </row>
    <row r="357" spans="2:88" x14ac:dyDescent="0.3">
      <c r="B357" t="str">
        <f t="shared" si="246"/>
        <v>36.824389-76.073558</v>
      </c>
      <c r="C357" s="30" t="s">
        <v>123</v>
      </c>
      <c r="D357">
        <v>36.824388999999996</v>
      </c>
      <c r="E357">
        <v>-76.073558000000006</v>
      </c>
      <c r="F357">
        <v>5</v>
      </c>
      <c r="G357" t="str">
        <f t="shared" si="247"/>
        <v>-18-2036.824389-76.073558</v>
      </c>
      <c r="H357">
        <v>-18</v>
      </c>
      <c r="I357">
        <v>-20</v>
      </c>
      <c r="J357" s="30" t="s">
        <v>21</v>
      </c>
      <c r="L357" t="s">
        <v>8</v>
      </c>
      <c r="M357">
        <v>12</v>
      </c>
      <c r="S357" t="str">
        <f t="shared" si="221"/>
        <v>Sand</v>
      </c>
      <c r="T357">
        <f t="shared" si="248"/>
        <v>1</v>
      </c>
      <c r="AA357">
        <v>80</v>
      </c>
      <c r="AB357" s="1">
        <f t="shared" si="255"/>
        <v>16</v>
      </c>
      <c r="AC357">
        <f t="shared" si="256"/>
        <v>13</v>
      </c>
      <c r="AD357" t="str">
        <f t="shared" si="249"/>
        <v/>
      </c>
      <c r="AG357" s="21" t="str">
        <f t="shared" si="227"/>
        <v/>
      </c>
      <c r="AI357" s="6" t="str">
        <f t="shared" si="228"/>
        <v/>
      </c>
      <c r="AM357" s="7" t="str">
        <f t="shared" si="229"/>
        <v/>
      </c>
      <c r="AQ357" s="8" t="str">
        <f t="shared" si="230"/>
        <v/>
      </c>
      <c r="AW357" s="25" t="str">
        <f t="shared" si="231"/>
        <v/>
      </c>
      <c r="AZ357" s="12" t="str">
        <f t="shared" si="232"/>
        <v/>
      </c>
      <c r="BI357" s="17" t="str">
        <f t="shared" si="233"/>
        <v/>
      </c>
      <c r="BM357" t="str">
        <f t="shared" si="234"/>
        <v>SPT Relationship</v>
      </c>
      <c r="BN357">
        <f t="shared" si="222"/>
        <v>120</v>
      </c>
      <c r="BO357" t="str">
        <f t="shared" si="235"/>
        <v>Wolff, 1989</v>
      </c>
      <c r="BP357">
        <f t="shared" si="257"/>
        <v>30</v>
      </c>
      <c r="BQ357" t="str">
        <f t="shared" si="236"/>
        <v/>
      </c>
      <c r="BR357" t="str">
        <f t="shared" si="250"/>
        <v/>
      </c>
      <c r="BS357" t="str">
        <f t="shared" si="237"/>
        <v/>
      </c>
      <c r="BT357" t="str">
        <f t="shared" si="258"/>
        <v/>
      </c>
      <c r="BU357" t="str">
        <f t="shared" si="238"/>
        <v/>
      </c>
      <c r="BV357" t="str">
        <f t="shared" si="251"/>
        <v/>
      </c>
      <c r="BW357" t="str">
        <f t="shared" si="239"/>
        <v/>
      </c>
      <c r="BX357" t="str">
        <f t="shared" si="252"/>
        <v/>
      </c>
      <c r="BY357" t="str">
        <f t="shared" si="240"/>
        <v/>
      </c>
      <c r="BZ357" t="str">
        <f t="shared" si="253"/>
        <v/>
      </c>
      <c r="CA357" t="str">
        <f t="shared" si="241"/>
        <v/>
      </c>
      <c r="CB357" t="str">
        <f t="shared" si="223"/>
        <v/>
      </c>
      <c r="CC357" t="str">
        <f t="shared" si="242"/>
        <v/>
      </c>
      <c r="CD357" t="str">
        <f t="shared" si="224"/>
        <v/>
      </c>
      <c r="CE357" t="str">
        <f t="shared" si="243"/>
        <v>Bowles 5th edition</v>
      </c>
      <c r="CF357">
        <f t="shared" si="225"/>
        <v>198</v>
      </c>
      <c r="CG357" t="str">
        <f t="shared" si="244"/>
        <v/>
      </c>
      <c r="CH357" t="str">
        <f t="shared" si="226"/>
        <v/>
      </c>
      <c r="CI357" t="str">
        <f t="shared" si="245"/>
        <v/>
      </c>
      <c r="CJ357" t="str">
        <f t="shared" si="254"/>
        <v/>
      </c>
    </row>
    <row r="358" spans="2:88" x14ac:dyDescent="0.3">
      <c r="B358" t="str">
        <f t="shared" si="246"/>
        <v>36.824389-76.073558</v>
      </c>
      <c r="C358" s="30" t="s">
        <v>123</v>
      </c>
      <c r="D358">
        <v>36.824388999999996</v>
      </c>
      <c r="E358">
        <v>-76.073558000000006</v>
      </c>
      <c r="F358">
        <v>5</v>
      </c>
      <c r="G358" t="str">
        <f t="shared" si="247"/>
        <v>-23-2536.824389-76.073558</v>
      </c>
      <c r="H358">
        <v>-23</v>
      </c>
      <c r="I358">
        <v>-25</v>
      </c>
      <c r="J358" s="30" t="s">
        <v>21</v>
      </c>
      <c r="L358" t="s">
        <v>17</v>
      </c>
      <c r="M358">
        <v>2</v>
      </c>
      <c r="S358" t="str">
        <f t="shared" si="221"/>
        <v>Sand</v>
      </c>
      <c r="T358">
        <f t="shared" si="248"/>
        <v>1</v>
      </c>
      <c r="AA358">
        <v>80</v>
      </c>
      <c r="AB358" s="1">
        <f t="shared" si="255"/>
        <v>3</v>
      </c>
      <c r="AC358">
        <f t="shared" si="256"/>
        <v>2</v>
      </c>
      <c r="AD358" t="str">
        <f t="shared" si="249"/>
        <v/>
      </c>
      <c r="AG358" s="21" t="str">
        <f t="shared" si="227"/>
        <v/>
      </c>
      <c r="AI358" s="6" t="str">
        <f t="shared" si="228"/>
        <v/>
      </c>
      <c r="AM358" s="7" t="str">
        <f t="shared" si="229"/>
        <v/>
      </c>
      <c r="AQ358" s="8" t="str">
        <f t="shared" si="230"/>
        <v/>
      </c>
      <c r="AW358" s="25" t="str">
        <f t="shared" si="231"/>
        <v/>
      </c>
      <c r="AZ358" s="12" t="str">
        <f t="shared" si="232"/>
        <v/>
      </c>
      <c r="BI358" s="17" t="str">
        <f t="shared" si="233"/>
        <v/>
      </c>
      <c r="BM358" t="str">
        <f t="shared" si="234"/>
        <v>SPT Relationship</v>
      </c>
      <c r="BN358">
        <f t="shared" si="222"/>
        <v>101</v>
      </c>
      <c r="BO358" t="str">
        <f t="shared" si="235"/>
        <v>Wolff, 1989</v>
      </c>
      <c r="BP358">
        <f t="shared" si="257"/>
        <v>27</v>
      </c>
      <c r="BQ358" t="str">
        <f t="shared" si="236"/>
        <v/>
      </c>
      <c r="BR358" t="str">
        <f t="shared" si="250"/>
        <v/>
      </c>
      <c r="BS358" t="str">
        <f t="shared" si="237"/>
        <v/>
      </c>
      <c r="BT358" t="str">
        <f t="shared" si="258"/>
        <v/>
      </c>
      <c r="BU358" t="str">
        <f t="shared" si="238"/>
        <v/>
      </c>
      <c r="BV358" t="str">
        <f t="shared" si="251"/>
        <v/>
      </c>
      <c r="BW358" t="str">
        <f t="shared" si="239"/>
        <v/>
      </c>
      <c r="BX358" t="str">
        <f t="shared" si="252"/>
        <v/>
      </c>
      <c r="BY358" t="str">
        <f t="shared" si="240"/>
        <v/>
      </c>
      <c r="BZ358" t="str">
        <f t="shared" si="253"/>
        <v/>
      </c>
      <c r="CA358" t="str">
        <f t="shared" si="241"/>
        <v/>
      </c>
      <c r="CB358" t="str">
        <f t="shared" si="223"/>
        <v/>
      </c>
      <c r="CC358" t="str">
        <f t="shared" si="242"/>
        <v/>
      </c>
      <c r="CD358" t="str">
        <f t="shared" si="224"/>
        <v/>
      </c>
      <c r="CE358" t="str">
        <f t="shared" si="243"/>
        <v>Bowles 5th edition</v>
      </c>
      <c r="CF358">
        <f t="shared" si="225"/>
        <v>115</v>
      </c>
      <c r="CG358" t="str">
        <f t="shared" si="244"/>
        <v/>
      </c>
      <c r="CH358" t="str">
        <f t="shared" si="226"/>
        <v/>
      </c>
      <c r="CI358" t="str">
        <f t="shared" si="245"/>
        <v/>
      </c>
      <c r="CJ358" t="str">
        <f t="shared" si="254"/>
        <v/>
      </c>
    </row>
    <row r="359" spans="2:88" x14ac:dyDescent="0.3">
      <c r="B359" t="str">
        <f t="shared" si="246"/>
        <v>36.824389-76.073558</v>
      </c>
      <c r="C359" s="30" t="s">
        <v>123</v>
      </c>
      <c r="D359">
        <v>36.824388999999996</v>
      </c>
      <c r="E359">
        <v>-76.073558000000006</v>
      </c>
      <c r="F359">
        <v>5</v>
      </c>
      <c r="G359" t="str">
        <f t="shared" si="247"/>
        <v>-28-3036.824389-76.073558</v>
      </c>
      <c r="H359">
        <v>-28</v>
      </c>
      <c r="I359">
        <v>-30</v>
      </c>
      <c r="J359" s="30" t="s">
        <v>21</v>
      </c>
      <c r="L359" t="s">
        <v>11</v>
      </c>
      <c r="M359">
        <v>0</v>
      </c>
      <c r="S359" t="str">
        <f t="shared" si="221"/>
        <v>Clay</v>
      </c>
      <c r="T359">
        <f t="shared" si="248"/>
        <v>1</v>
      </c>
      <c r="AA359">
        <v>80</v>
      </c>
      <c r="AB359" s="1">
        <f t="shared" si="255"/>
        <v>0</v>
      </c>
      <c r="AC359">
        <f t="shared" si="256"/>
        <v>0</v>
      </c>
      <c r="AD359" t="str">
        <f t="shared" si="249"/>
        <v/>
      </c>
      <c r="AG359" s="21" t="str">
        <f t="shared" si="227"/>
        <v/>
      </c>
      <c r="AI359" s="6" t="str">
        <f t="shared" si="228"/>
        <v/>
      </c>
      <c r="AM359" s="7" t="str">
        <f t="shared" si="229"/>
        <v/>
      </c>
      <c r="AQ359" s="8" t="str">
        <f t="shared" si="230"/>
        <v/>
      </c>
      <c r="AW359" s="25" t="str">
        <f t="shared" si="231"/>
        <v/>
      </c>
      <c r="AZ359" s="12" t="str">
        <f t="shared" si="232"/>
        <v/>
      </c>
      <c r="BI359" s="17" t="str">
        <f t="shared" si="233"/>
        <v/>
      </c>
      <c r="BM359" t="str">
        <f t="shared" si="234"/>
        <v>SPT Relationship</v>
      </c>
      <c r="BN359">
        <f t="shared" si="222"/>
        <v>95</v>
      </c>
      <c r="BO359" t="str">
        <f t="shared" si="235"/>
        <v>Wolff, 1989</v>
      </c>
      <c r="BP359">
        <f t="shared" si="257"/>
        <v>27</v>
      </c>
      <c r="BQ359" t="str">
        <f t="shared" si="236"/>
        <v/>
      </c>
      <c r="BR359" t="str">
        <f t="shared" si="250"/>
        <v/>
      </c>
      <c r="BS359" t="str">
        <f t="shared" si="237"/>
        <v>Stroud 1974 (K=3.5)</v>
      </c>
      <c r="BT359">
        <f t="shared" si="258"/>
        <v>0</v>
      </c>
      <c r="BU359" t="str">
        <f t="shared" si="238"/>
        <v/>
      </c>
      <c r="BV359" t="str">
        <f t="shared" si="251"/>
        <v/>
      </c>
      <c r="BW359" t="str">
        <f t="shared" si="239"/>
        <v/>
      </c>
      <c r="BX359" t="str">
        <f t="shared" si="252"/>
        <v/>
      </c>
      <c r="BY359" t="str">
        <f t="shared" si="240"/>
        <v/>
      </c>
      <c r="BZ359" t="str">
        <f t="shared" si="253"/>
        <v/>
      </c>
      <c r="CA359" t="str">
        <f t="shared" si="241"/>
        <v/>
      </c>
      <c r="CB359" t="str">
        <f t="shared" si="223"/>
        <v/>
      </c>
      <c r="CC359" t="str">
        <f t="shared" si="242"/>
        <v/>
      </c>
      <c r="CD359" t="str">
        <f t="shared" si="224"/>
        <v/>
      </c>
      <c r="CE359" t="str">
        <f t="shared" si="243"/>
        <v/>
      </c>
      <c r="CF359" t="str">
        <f t="shared" si="225"/>
        <v/>
      </c>
      <c r="CG359" t="str">
        <f t="shared" si="244"/>
        <v/>
      </c>
      <c r="CH359" t="str">
        <f t="shared" si="226"/>
        <v/>
      </c>
      <c r="CI359" t="str">
        <f t="shared" si="245"/>
        <v/>
      </c>
      <c r="CJ359" t="str">
        <f t="shared" si="254"/>
        <v/>
      </c>
    </row>
    <row r="360" spans="2:88" x14ac:dyDescent="0.3">
      <c r="B360" t="str">
        <f t="shared" si="246"/>
        <v>36.824389-76.073558</v>
      </c>
      <c r="C360" s="30" t="s">
        <v>123</v>
      </c>
      <c r="D360">
        <v>36.824388999999996</v>
      </c>
      <c r="E360">
        <v>-76.073558000000006</v>
      </c>
      <c r="F360">
        <v>5</v>
      </c>
      <c r="G360" t="str">
        <f t="shared" si="247"/>
        <v>-33-3536.824389-76.073558</v>
      </c>
      <c r="H360">
        <v>-33</v>
      </c>
      <c r="I360">
        <v>-35</v>
      </c>
      <c r="J360" s="30" t="s">
        <v>21</v>
      </c>
      <c r="L360" t="s">
        <v>11</v>
      </c>
      <c r="M360">
        <v>0</v>
      </c>
      <c r="S360" t="str">
        <f t="shared" ref="S360:S423" si="259">IF(OR(L360="CL",L360="CH",L360="CL_ML"),"Clay",IF(OR(L360="SM",L360="SC",L360="SP",L360="SP-SM",L360="SP-SC",L360="SC-SM",L360="SW",L360="SW-SM"),"Sand",IF(OR(L360="GP", L360="GM",L360="GC", L360="GP-GM",L360="GW"),"Gravel",IF(OR(L360="ML",L360="MH"),"Silt",IF(OR(L360="OL",L360="OH",L360="PT"),"Organic")))))</f>
        <v>Clay</v>
      </c>
      <c r="T360">
        <f t="shared" si="248"/>
        <v>1</v>
      </c>
      <c r="AA360">
        <v>80</v>
      </c>
      <c r="AB360" s="1">
        <f t="shared" si="255"/>
        <v>0</v>
      </c>
      <c r="AC360">
        <f t="shared" si="256"/>
        <v>0</v>
      </c>
      <c r="AD360" t="str">
        <f t="shared" si="249"/>
        <v/>
      </c>
      <c r="AG360" s="21" t="str">
        <f t="shared" si="227"/>
        <v/>
      </c>
      <c r="AI360" s="6" t="str">
        <f t="shared" si="228"/>
        <v/>
      </c>
      <c r="AM360" s="7" t="str">
        <f t="shared" si="229"/>
        <v/>
      </c>
      <c r="AQ360" s="8" t="str">
        <f t="shared" si="230"/>
        <v/>
      </c>
      <c r="AW360" s="25" t="str">
        <f t="shared" si="231"/>
        <v/>
      </c>
      <c r="AZ360" s="12" t="str">
        <f t="shared" si="232"/>
        <v/>
      </c>
      <c r="BI360" s="17" t="str">
        <f t="shared" si="233"/>
        <v/>
      </c>
      <c r="BM360" t="str">
        <f t="shared" si="234"/>
        <v>SPT Relationship</v>
      </c>
      <c r="BN360">
        <f t="shared" si="222"/>
        <v>95</v>
      </c>
      <c r="BO360" t="str">
        <f t="shared" si="235"/>
        <v>Wolff, 1989</v>
      </c>
      <c r="BP360">
        <f t="shared" si="257"/>
        <v>27</v>
      </c>
      <c r="BQ360" t="str">
        <f t="shared" si="236"/>
        <v/>
      </c>
      <c r="BR360" t="str">
        <f t="shared" si="250"/>
        <v/>
      </c>
      <c r="BS360" t="str">
        <f t="shared" si="237"/>
        <v>Stroud 1974 (K=3.5)</v>
      </c>
      <c r="BT360">
        <f t="shared" si="258"/>
        <v>0</v>
      </c>
      <c r="BU360" t="str">
        <f t="shared" si="238"/>
        <v/>
      </c>
      <c r="BV360" t="str">
        <f t="shared" si="251"/>
        <v/>
      </c>
      <c r="BW360" t="str">
        <f t="shared" si="239"/>
        <v/>
      </c>
      <c r="BX360" t="str">
        <f t="shared" si="252"/>
        <v/>
      </c>
      <c r="BY360" t="str">
        <f t="shared" si="240"/>
        <v/>
      </c>
      <c r="BZ360" t="str">
        <f t="shared" si="253"/>
        <v/>
      </c>
      <c r="CA360" t="str">
        <f t="shared" si="241"/>
        <v/>
      </c>
      <c r="CB360" t="str">
        <f t="shared" si="223"/>
        <v/>
      </c>
      <c r="CC360" t="str">
        <f t="shared" si="242"/>
        <v/>
      </c>
      <c r="CD360" t="str">
        <f t="shared" si="224"/>
        <v/>
      </c>
      <c r="CE360" t="str">
        <f t="shared" si="243"/>
        <v/>
      </c>
      <c r="CF360" t="str">
        <f t="shared" si="225"/>
        <v/>
      </c>
      <c r="CG360" t="str">
        <f t="shared" si="244"/>
        <v/>
      </c>
      <c r="CH360" t="str">
        <f t="shared" si="226"/>
        <v/>
      </c>
      <c r="CI360" t="str">
        <f t="shared" si="245"/>
        <v/>
      </c>
      <c r="CJ360" t="str">
        <f t="shared" si="254"/>
        <v/>
      </c>
    </row>
    <row r="361" spans="2:88" x14ac:dyDescent="0.3">
      <c r="B361" t="str">
        <f t="shared" si="246"/>
        <v>36.824389-76.073558</v>
      </c>
      <c r="C361" s="30" t="s">
        <v>123</v>
      </c>
      <c r="D361">
        <v>36.824388999999996</v>
      </c>
      <c r="E361">
        <v>-76.073558000000006</v>
      </c>
      <c r="F361">
        <v>5</v>
      </c>
      <c r="G361" t="str">
        <f t="shared" si="247"/>
        <v>-38-4036.824389-76.073558</v>
      </c>
      <c r="H361">
        <v>-38</v>
      </c>
      <c r="I361">
        <v>-40</v>
      </c>
      <c r="J361" s="30" t="s">
        <v>21</v>
      </c>
      <c r="L361" t="s">
        <v>17</v>
      </c>
      <c r="M361">
        <v>3</v>
      </c>
      <c r="S361" t="str">
        <f t="shared" si="259"/>
        <v>Sand</v>
      </c>
      <c r="T361">
        <f t="shared" si="248"/>
        <v>1</v>
      </c>
      <c r="AA361">
        <v>80</v>
      </c>
      <c r="AB361" s="1">
        <f t="shared" si="255"/>
        <v>4</v>
      </c>
      <c r="AC361">
        <f t="shared" si="256"/>
        <v>2</v>
      </c>
      <c r="AD361" t="str">
        <f t="shared" si="249"/>
        <v/>
      </c>
      <c r="AG361" s="21" t="str">
        <f t="shared" si="227"/>
        <v/>
      </c>
      <c r="AI361" s="6" t="str">
        <f t="shared" si="228"/>
        <v/>
      </c>
      <c r="AM361" s="7" t="str">
        <f t="shared" si="229"/>
        <v/>
      </c>
      <c r="AQ361" s="8" t="str">
        <f t="shared" si="230"/>
        <v/>
      </c>
      <c r="AW361" s="25" t="str">
        <f t="shared" si="231"/>
        <v/>
      </c>
      <c r="AZ361" s="12" t="str">
        <f t="shared" si="232"/>
        <v/>
      </c>
      <c r="BI361" s="17" t="str">
        <f t="shared" si="233"/>
        <v/>
      </c>
      <c r="BM361" t="str">
        <f t="shared" si="234"/>
        <v>SPT Relationship</v>
      </c>
      <c r="BN361">
        <f t="shared" si="222"/>
        <v>105</v>
      </c>
      <c r="BO361" t="str">
        <f t="shared" si="235"/>
        <v>Wolff, 1989</v>
      </c>
      <c r="BP361">
        <f t="shared" si="257"/>
        <v>27</v>
      </c>
      <c r="BQ361" t="str">
        <f t="shared" si="236"/>
        <v/>
      </c>
      <c r="BR361" t="str">
        <f t="shared" si="250"/>
        <v/>
      </c>
      <c r="BS361" t="str">
        <f t="shared" si="237"/>
        <v/>
      </c>
      <c r="BT361" t="str">
        <f t="shared" si="258"/>
        <v/>
      </c>
      <c r="BU361" t="str">
        <f t="shared" si="238"/>
        <v/>
      </c>
      <c r="BV361" t="str">
        <f t="shared" si="251"/>
        <v/>
      </c>
      <c r="BW361" t="str">
        <f t="shared" si="239"/>
        <v/>
      </c>
      <c r="BX361" t="str">
        <f t="shared" si="252"/>
        <v/>
      </c>
      <c r="BY361" t="str">
        <f t="shared" si="240"/>
        <v/>
      </c>
      <c r="BZ361" t="str">
        <f t="shared" si="253"/>
        <v/>
      </c>
      <c r="CA361" t="str">
        <f t="shared" si="241"/>
        <v/>
      </c>
      <c r="CB361" t="str">
        <f t="shared" si="223"/>
        <v/>
      </c>
      <c r="CC361" t="str">
        <f t="shared" si="242"/>
        <v/>
      </c>
      <c r="CD361" t="str">
        <f t="shared" si="224"/>
        <v/>
      </c>
      <c r="CE361" t="str">
        <f t="shared" si="243"/>
        <v>Bowles 5th edition</v>
      </c>
      <c r="CF361">
        <f t="shared" si="225"/>
        <v>122</v>
      </c>
      <c r="CG361" t="str">
        <f t="shared" si="244"/>
        <v/>
      </c>
      <c r="CH361" t="str">
        <f t="shared" si="226"/>
        <v/>
      </c>
      <c r="CI361" t="str">
        <f t="shared" si="245"/>
        <v/>
      </c>
      <c r="CJ361" t="str">
        <f t="shared" si="254"/>
        <v/>
      </c>
    </row>
    <row r="362" spans="2:88" x14ac:dyDescent="0.3">
      <c r="B362" t="str">
        <f t="shared" si="246"/>
        <v>36.824389-76.073558</v>
      </c>
      <c r="C362" s="30" t="s">
        <v>123</v>
      </c>
      <c r="D362">
        <v>36.824388999999996</v>
      </c>
      <c r="E362">
        <v>-76.073558000000006</v>
      </c>
      <c r="F362">
        <v>5</v>
      </c>
      <c r="G362" t="str">
        <f t="shared" si="247"/>
        <v>-43-4536.824389-76.073558</v>
      </c>
      <c r="H362">
        <v>-43</v>
      </c>
      <c r="I362">
        <v>-45</v>
      </c>
      <c r="J362" s="30" t="s">
        <v>21</v>
      </c>
      <c r="L362" t="s">
        <v>11</v>
      </c>
      <c r="M362">
        <v>2</v>
      </c>
      <c r="S362" t="str">
        <f t="shared" si="259"/>
        <v>Clay</v>
      </c>
      <c r="T362">
        <f t="shared" si="248"/>
        <v>1</v>
      </c>
      <c r="AA362">
        <v>80</v>
      </c>
      <c r="AB362" s="1">
        <f t="shared" si="255"/>
        <v>3</v>
      </c>
      <c r="AC362">
        <f t="shared" si="256"/>
        <v>1</v>
      </c>
      <c r="AD362" t="str">
        <f t="shared" si="249"/>
        <v/>
      </c>
      <c r="AG362" s="21" t="str">
        <f t="shared" si="227"/>
        <v/>
      </c>
      <c r="AI362" s="6" t="str">
        <f t="shared" si="228"/>
        <v/>
      </c>
      <c r="AM362" s="7" t="str">
        <f t="shared" si="229"/>
        <v/>
      </c>
      <c r="AQ362" s="8" t="str">
        <f t="shared" si="230"/>
        <v/>
      </c>
      <c r="AW362" s="25" t="str">
        <f t="shared" si="231"/>
        <v/>
      </c>
      <c r="AZ362" s="12" t="str">
        <f t="shared" si="232"/>
        <v/>
      </c>
      <c r="BI362" s="17" t="str">
        <f t="shared" si="233"/>
        <v/>
      </c>
      <c r="BM362" t="str">
        <f t="shared" si="234"/>
        <v>SPT Relationship</v>
      </c>
      <c r="BN362">
        <f t="shared" si="222"/>
        <v>101</v>
      </c>
      <c r="BO362" t="str">
        <f t="shared" si="235"/>
        <v>Wolff, 1989</v>
      </c>
      <c r="BP362">
        <f t="shared" si="257"/>
        <v>27</v>
      </c>
      <c r="BQ362" t="str">
        <f t="shared" si="236"/>
        <v/>
      </c>
      <c r="BR362" t="str">
        <f t="shared" si="250"/>
        <v/>
      </c>
      <c r="BS362" t="str">
        <f t="shared" si="237"/>
        <v>Stroud 1974 (K=3.5)</v>
      </c>
      <c r="BT362">
        <f t="shared" si="258"/>
        <v>219</v>
      </c>
      <c r="BU362" t="str">
        <f t="shared" si="238"/>
        <v/>
      </c>
      <c r="BV362" t="str">
        <f t="shared" si="251"/>
        <v/>
      </c>
      <c r="BW362" t="str">
        <f t="shared" si="239"/>
        <v/>
      </c>
      <c r="BX362" t="str">
        <f t="shared" si="252"/>
        <v/>
      </c>
      <c r="BY362" t="str">
        <f t="shared" si="240"/>
        <v/>
      </c>
      <c r="BZ362" t="str">
        <f t="shared" si="253"/>
        <v/>
      </c>
      <c r="CA362" t="str">
        <f t="shared" si="241"/>
        <v/>
      </c>
      <c r="CB362" t="str">
        <f t="shared" si="223"/>
        <v/>
      </c>
      <c r="CC362" t="str">
        <f t="shared" si="242"/>
        <v/>
      </c>
      <c r="CD362" t="str">
        <f t="shared" si="224"/>
        <v/>
      </c>
      <c r="CE362" t="str">
        <f t="shared" si="243"/>
        <v/>
      </c>
      <c r="CF362" t="str">
        <f t="shared" si="225"/>
        <v/>
      </c>
      <c r="CG362" t="str">
        <f t="shared" si="244"/>
        <v/>
      </c>
      <c r="CH362" t="str">
        <f t="shared" si="226"/>
        <v/>
      </c>
      <c r="CI362" t="str">
        <f t="shared" si="245"/>
        <v/>
      </c>
      <c r="CJ362" t="str">
        <f t="shared" si="254"/>
        <v/>
      </c>
    </row>
    <row r="363" spans="2:88" x14ac:dyDescent="0.3">
      <c r="B363" t="str">
        <f t="shared" si="246"/>
        <v>36.824389-76.073558</v>
      </c>
      <c r="C363" s="30" t="s">
        <v>123</v>
      </c>
      <c r="D363">
        <v>36.824388999999996</v>
      </c>
      <c r="E363">
        <v>-76.073558000000006</v>
      </c>
      <c r="F363">
        <v>5</v>
      </c>
      <c r="G363" t="str">
        <f t="shared" si="247"/>
        <v>-48-5036.824389-76.073558</v>
      </c>
      <c r="H363">
        <v>-48</v>
      </c>
      <c r="I363">
        <v>-50</v>
      </c>
      <c r="J363" s="30" t="s">
        <v>21</v>
      </c>
      <c r="L363" t="s">
        <v>113</v>
      </c>
      <c r="M363">
        <v>2</v>
      </c>
      <c r="S363" t="str">
        <f t="shared" si="259"/>
        <v>Clay</v>
      </c>
      <c r="T363">
        <f t="shared" si="248"/>
        <v>1</v>
      </c>
      <c r="AA363">
        <v>80</v>
      </c>
      <c r="AB363" s="1">
        <f t="shared" si="255"/>
        <v>3</v>
      </c>
      <c r="AC363">
        <f t="shared" si="256"/>
        <v>1</v>
      </c>
      <c r="AD363" t="str">
        <f t="shared" si="249"/>
        <v/>
      </c>
      <c r="AG363" s="21" t="str">
        <f t="shared" si="227"/>
        <v/>
      </c>
      <c r="AI363" s="6" t="str">
        <f t="shared" si="228"/>
        <v/>
      </c>
      <c r="AM363" s="7" t="str">
        <f t="shared" si="229"/>
        <v/>
      </c>
      <c r="AQ363" s="8" t="str">
        <f t="shared" si="230"/>
        <v/>
      </c>
      <c r="AW363" s="25" t="str">
        <f t="shared" si="231"/>
        <v/>
      </c>
      <c r="AZ363" s="12" t="str">
        <f t="shared" si="232"/>
        <v/>
      </c>
      <c r="BI363" s="17" t="str">
        <f t="shared" si="233"/>
        <v/>
      </c>
      <c r="BM363" t="str">
        <f t="shared" si="234"/>
        <v>SPT Relationship</v>
      </c>
      <c r="BN363">
        <f t="shared" si="222"/>
        <v>101</v>
      </c>
      <c r="BO363" t="str">
        <f t="shared" si="235"/>
        <v>Wolff, 1989</v>
      </c>
      <c r="BP363">
        <f t="shared" si="257"/>
        <v>27</v>
      </c>
      <c r="BQ363" t="str">
        <f t="shared" si="236"/>
        <v/>
      </c>
      <c r="BR363" t="str">
        <f t="shared" si="250"/>
        <v/>
      </c>
      <c r="BS363" t="str">
        <f t="shared" si="237"/>
        <v>Stroud 1974 (K=3.5)</v>
      </c>
      <c r="BT363">
        <f t="shared" si="258"/>
        <v>219</v>
      </c>
      <c r="BU363" t="str">
        <f t="shared" si="238"/>
        <v/>
      </c>
      <c r="BV363" t="str">
        <f t="shared" si="251"/>
        <v/>
      </c>
      <c r="BW363" t="str">
        <f t="shared" si="239"/>
        <v/>
      </c>
      <c r="BX363" t="str">
        <f t="shared" si="252"/>
        <v/>
      </c>
      <c r="BY363" t="str">
        <f t="shared" si="240"/>
        <v/>
      </c>
      <c r="BZ363" t="str">
        <f t="shared" si="253"/>
        <v/>
      </c>
      <c r="CA363" t="str">
        <f t="shared" si="241"/>
        <v/>
      </c>
      <c r="CB363" t="str">
        <f t="shared" si="223"/>
        <v/>
      </c>
      <c r="CC363" t="str">
        <f t="shared" si="242"/>
        <v/>
      </c>
      <c r="CD363" t="str">
        <f t="shared" si="224"/>
        <v/>
      </c>
      <c r="CE363" t="str">
        <f t="shared" si="243"/>
        <v/>
      </c>
      <c r="CF363" t="str">
        <f t="shared" si="225"/>
        <v/>
      </c>
      <c r="CG363" t="str">
        <f t="shared" si="244"/>
        <v/>
      </c>
      <c r="CH363" t="str">
        <f t="shared" si="226"/>
        <v/>
      </c>
      <c r="CI363" t="str">
        <f t="shared" si="245"/>
        <v/>
      </c>
      <c r="CJ363" t="str">
        <f t="shared" si="254"/>
        <v/>
      </c>
    </row>
    <row r="364" spans="2:88" x14ac:dyDescent="0.3">
      <c r="B364" t="str">
        <f t="shared" si="246"/>
        <v>36.824389-76.073558</v>
      </c>
      <c r="C364" s="30" t="s">
        <v>123</v>
      </c>
      <c r="D364">
        <v>36.824388999999996</v>
      </c>
      <c r="E364">
        <v>-76.073558000000006</v>
      </c>
      <c r="F364">
        <v>5</v>
      </c>
      <c r="G364" t="str">
        <f t="shared" si="247"/>
        <v>-53-5536.824389-76.073558</v>
      </c>
      <c r="H364">
        <v>-53</v>
      </c>
      <c r="I364">
        <v>-55</v>
      </c>
      <c r="J364" s="30" t="s">
        <v>21</v>
      </c>
      <c r="L364" t="s">
        <v>113</v>
      </c>
      <c r="M364">
        <v>1</v>
      </c>
      <c r="S364" t="str">
        <f t="shared" si="259"/>
        <v>Clay</v>
      </c>
      <c r="T364">
        <f t="shared" si="248"/>
        <v>1</v>
      </c>
      <c r="AA364">
        <v>80</v>
      </c>
      <c r="AB364" s="1">
        <f t="shared" si="255"/>
        <v>1</v>
      </c>
      <c r="AC364">
        <f t="shared" si="256"/>
        <v>0</v>
      </c>
      <c r="AD364" t="str">
        <f t="shared" si="249"/>
        <v/>
      </c>
      <c r="AG364" s="21" t="str">
        <f t="shared" si="227"/>
        <v/>
      </c>
      <c r="AI364" s="6" t="str">
        <f t="shared" si="228"/>
        <v/>
      </c>
      <c r="AM364" s="7" t="str">
        <f t="shared" si="229"/>
        <v/>
      </c>
      <c r="AQ364" s="8" t="str">
        <f t="shared" si="230"/>
        <v/>
      </c>
      <c r="AW364" s="25" t="str">
        <f t="shared" si="231"/>
        <v/>
      </c>
      <c r="AZ364" s="12" t="str">
        <f t="shared" si="232"/>
        <v/>
      </c>
      <c r="BI364" s="17" t="str">
        <f t="shared" si="233"/>
        <v/>
      </c>
      <c r="BM364" t="str">
        <f t="shared" si="234"/>
        <v>SPT Relationship</v>
      </c>
      <c r="BN364">
        <f t="shared" si="222"/>
        <v>95</v>
      </c>
      <c r="BO364" t="str">
        <f t="shared" si="235"/>
        <v>Wolff, 1989</v>
      </c>
      <c r="BP364">
        <f t="shared" si="257"/>
        <v>27</v>
      </c>
      <c r="BQ364" t="str">
        <f t="shared" si="236"/>
        <v/>
      </c>
      <c r="BR364" t="str">
        <f t="shared" si="250"/>
        <v/>
      </c>
      <c r="BS364" t="str">
        <f t="shared" si="237"/>
        <v>Stroud 1974 (K=3.5)</v>
      </c>
      <c r="BT364">
        <f t="shared" si="258"/>
        <v>73</v>
      </c>
      <c r="BU364" t="str">
        <f t="shared" si="238"/>
        <v/>
      </c>
      <c r="BV364" t="str">
        <f t="shared" si="251"/>
        <v/>
      </c>
      <c r="BW364" t="str">
        <f t="shared" si="239"/>
        <v/>
      </c>
      <c r="BX364" t="str">
        <f t="shared" si="252"/>
        <v/>
      </c>
      <c r="BY364" t="str">
        <f t="shared" si="240"/>
        <v/>
      </c>
      <c r="BZ364" t="str">
        <f t="shared" si="253"/>
        <v/>
      </c>
      <c r="CA364" t="str">
        <f t="shared" si="241"/>
        <v/>
      </c>
      <c r="CB364" t="str">
        <f t="shared" si="223"/>
        <v/>
      </c>
      <c r="CC364" t="str">
        <f t="shared" si="242"/>
        <v/>
      </c>
      <c r="CD364" t="str">
        <f t="shared" si="224"/>
        <v/>
      </c>
      <c r="CE364" t="str">
        <f t="shared" si="243"/>
        <v/>
      </c>
      <c r="CF364" t="str">
        <f t="shared" si="225"/>
        <v/>
      </c>
      <c r="CG364" t="str">
        <f t="shared" si="244"/>
        <v/>
      </c>
      <c r="CH364" t="str">
        <f t="shared" si="226"/>
        <v/>
      </c>
      <c r="CI364" t="str">
        <f t="shared" si="245"/>
        <v/>
      </c>
      <c r="CJ364" t="str">
        <f t="shared" si="254"/>
        <v/>
      </c>
    </row>
    <row r="365" spans="2:88" x14ac:dyDescent="0.3">
      <c r="B365" t="str">
        <f t="shared" si="246"/>
        <v>36.824389-76.073558</v>
      </c>
      <c r="C365" s="30" t="s">
        <v>123</v>
      </c>
      <c r="D365">
        <v>36.824388999999996</v>
      </c>
      <c r="E365">
        <v>-76.073558000000006</v>
      </c>
      <c r="F365">
        <v>5</v>
      </c>
      <c r="G365" t="str">
        <f t="shared" si="247"/>
        <v>-58-6036.824389-76.073558</v>
      </c>
      <c r="H365">
        <v>-58</v>
      </c>
      <c r="I365">
        <v>-60</v>
      </c>
      <c r="J365" s="30" t="s">
        <v>21</v>
      </c>
      <c r="L365" t="s">
        <v>113</v>
      </c>
      <c r="M365">
        <v>1</v>
      </c>
      <c r="S365" t="str">
        <f t="shared" si="259"/>
        <v>Clay</v>
      </c>
      <c r="T365">
        <f t="shared" si="248"/>
        <v>1</v>
      </c>
      <c r="AA365">
        <v>80</v>
      </c>
      <c r="AB365" s="1">
        <f t="shared" si="255"/>
        <v>1</v>
      </c>
      <c r="AC365">
        <f t="shared" si="256"/>
        <v>0</v>
      </c>
      <c r="AD365" t="str">
        <f t="shared" si="249"/>
        <v/>
      </c>
      <c r="AG365" s="21" t="str">
        <f t="shared" si="227"/>
        <v/>
      </c>
      <c r="AI365" s="6" t="str">
        <f t="shared" si="228"/>
        <v/>
      </c>
      <c r="AM365" s="7" t="str">
        <f t="shared" si="229"/>
        <v/>
      </c>
      <c r="AQ365" s="8" t="str">
        <f t="shared" si="230"/>
        <v/>
      </c>
      <c r="AW365" s="25" t="str">
        <f t="shared" si="231"/>
        <v/>
      </c>
      <c r="AZ365" s="12" t="str">
        <f t="shared" si="232"/>
        <v/>
      </c>
      <c r="BI365" s="17" t="str">
        <f t="shared" si="233"/>
        <v/>
      </c>
      <c r="BM365" t="str">
        <f t="shared" si="234"/>
        <v>SPT Relationship</v>
      </c>
      <c r="BN365">
        <f t="shared" si="222"/>
        <v>95</v>
      </c>
      <c r="BO365" t="str">
        <f t="shared" si="235"/>
        <v>Wolff, 1989</v>
      </c>
      <c r="BP365">
        <f t="shared" si="257"/>
        <v>27</v>
      </c>
      <c r="BQ365" t="str">
        <f t="shared" si="236"/>
        <v/>
      </c>
      <c r="BR365" t="str">
        <f t="shared" si="250"/>
        <v/>
      </c>
      <c r="BS365" t="str">
        <f t="shared" si="237"/>
        <v>Stroud 1974 (K=3.5)</v>
      </c>
      <c r="BT365">
        <f t="shared" si="258"/>
        <v>73</v>
      </c>
      <c r="BU365" t="str">
        <f t="shared" si="238"/>
        <v/>
      </c>
      <c r="BV365" t="str">
        <f t="shared" si="251"/>
        <v/>
      </c>
      <c r="BW365" t="str">
        <f t="shared" si="239"/>
        <v/>
      </c>
      <c r="BX365" t="str">
        <f t="shared" si="252"/>
        <v/>
      </c>
      <c r="BY365" t="str">
        <f t="shared" si="240"/>
        <v/>
      </c>
      <c r="BZ365" t="str">
        <f t="shared" si="253"/>
        <v/>
      </c>
      <c r="CA365" t="str">
        <f t="shared" si="241"/>
        <v/>
      </c>
      <c r="CB365" t="str">
        <f t="shared" si="223"/>
        <v/>
      </c>
      <c r="CC365" t="str">
        <f t="shared" si="242"/>
        <v/>
      </c>
      <c r="CD365" t="str">
        <f t="shared" si="224"/>
        <v/>
      </c>
      <c r="CE365" t="str">
        <f t="shared" si="243"/>
        <v/>
      </c>
      <c r="CF365" t="str">
        <f t="shared" si="225"/>
        <v/>
      </c>
      <c r="CG365" t="str">
        <f t="shared" si="244"/>
        <v/>
      </c>
      <c r="CH365" t="str">
        <f t="shared" si="226"/>
        <v/>
      </c>
      <c r="CI365" t="str">
        <f t="shared" si="245"/>
        <v/>
      </c>
      <c r="CJ365" t="str">
        <f t="shared" si="254"/>
        <v/>
      </c>
    </row>
    <row r="366" spans="2:88" x14ac:dyDescent="0.3">
      <c r="B366" t="str">
        <f t="shared" si="246"/>
        <v>36.824389-76.073558</v>
      </c>
      <c r="C366" s="30" t="s">
        <v>123</v>
      </c>
      <c r="D366">
        <v>36.824388999999996</v>
      </c>
      <c r="E366">
        <v>-76.073558000000006</v>
      </c>
      <c r="F366">
        <v>5</v>
      </c>
      <c r="G366" t="str">
        <f t="shared" si="247"/>
        <v>-63-6536.824389-76.073558</v>
      </c>
      <c r="H366">
        <v>-63</v>
      </c>
      <c r="I366">
        <v>-65</v>
      </c>
      <c r="J366" s="30" t="s">
        <v>21</v>
      </c>
      <c r="L366" t="s">
        <v>113</v>
      </c>
      <c r="M366">
        <v>1</v>
      </c>
      <c r="S366" t="str">
        <f t="shared" si="259"/>
        <v>Clay</v>
      </c>
      <c r="T366">
        <f t="shared" si="248"/>
        <v>1</v>
      </c>
      <c r="AA366">
        <v>80</v>
      </c>
      <c r="AB366" s="1">
        <f t="shared" si="255"/>
        <v>1</v>
      </c>
      <c r="AC366">
        <f t="shared" si="256"/>
        <v>0</v>
      </c>
      <c r="AD366" t="str">
        <f t="shared" si="249"/>
        <v/>
      </c>
      <c r="AG366" s="21" t="str">
        <f t="shared" si="227"/>
        <v/>
      </c>
      <c r="AI366" s="6" t="str">
        <f t="shared" si="228"/>
        <v/>
      </c>
      <c r="AM366" s="7" t="str">
        <f t="shared" si="229"/>
        <v/>
      </c>
      <c r="AQ366" s="8" t="str">
        <f t="shared" si="230"/>
        <v/>
      </c>
      <c r="AW366" s="25" t="str">
        <f t="shared" si="231"/>
        <v/>
      </c>
      <c r="AZ366" s="12" t="str">
        <f t="shared" si="232"/>
        <v/>
      </c>
      <c r="BI366" s="17" t="str">
        <f t="shared" si="233"/>
        <v/>
      </c>
      <c r="BM366" t="str">
        <f t="shared" si="234"/>
        <v>SPT Relationship</v>
      </c>
      <c r="BN366">
        <f t="shared" si="222"/>
        <v>95</v>
      </c>
      <c r="BO366" t="str">
        <f t="shared" si="235"/>
        <v>Wolff, 1989</v>
      </c>
      <c r="BP366">
        <f t="shared" si="257"/>
        <v>27</v>
      </c>
      <c r="BQ366" t="str">
        <f t="shared" si="236"/>
        <v/>
      </c>
      <c r="BR366" t="str">
        <f t="shared" si="250"/>
        <v/>
      </c>
      <c r="BS366" t="str">
        <f t="shared" si="237"/>
        <v>Stroud 1974 (K=3.5)</v>
      </c>
      <c r="BT366">
        <f t="shared" si="258"/>
        <v>73</v>
      </c>
      <c r="BU366" t="str">
        <f t="shared" si="238"/>
        <v/>
      </c>
      <c r="BV366" t="str">
        <f t="shared" si="251"/>
        <v/>
      </c>
      <c r="BW366" t="str">
        <f t="shared" si="239"/>
        <v/>
      </c>
      <c r="BX366" t="str">
        <f t="shared" si="252"/>
        <v/>
      </c>
      <c r="BY366" t="str">
        <f t="shared" si="240"/>
        <v/>
      </c>
      <c r="BZ366" t="str">
        <f t="shared" si="253"/>
        <v/>
      </c>
      <c r="CA366" t="str">
        <f t="shared" si="241"/>
        <v/>
      </c>
      <c r="CB366" t="str">
        <f t="shared" si="223"/>
        <v/>
      </c>
      <c r="CC366" t="str">
        <f t="shared" si="242"/>
        <v/>
      </c>
      <c r="CD366" t="str">
        <f t="shared" si="224"/>
        <v/>
      </c>
      <c r="CE366" t="str">
        <f t="shared" si="243"/>
        <v/>
      </c>
      <c r="CF366" t="str">
        <f t="shared" si="225"/>
        <v/>
      </c>
      <c r="CG366" t="str">
        <f t="shared" si="244"/>
        <v/>
      </c>
      <c r="CH366" t="str">
        <f t="shared" si="226"/>
        <v/>
      </c>
      <c r="CI366" t="str">
        <f t="shared" si="245"/>
        <v/>
      </c>
      <c r="CJ366" t="str">
        <f t="shared" si="254"/>
        <v/>
      </c>
    </row>
    <row r="367" spans="2:88" x14ac:dyDescent="0.3">
      <c r="B367" t="str">
        <f t="shared" si="246"/>
        <v>36.824389-76.073558</v>
      </c>
      <c r="C367" s="30" t="s">
        <v>123</v>
      </c>
      <c r="D367">
        <v>36.824388999999996</v>
      </c>
      <c r="E367">
        <v>-76.073558000000006</v>
      </c>
      <c r="F367">
        <v>5</v>
      </c>
      <c r="G367" t="str">
        <f t="shared" si="247"/>
        <v>-68-7036.824389-76.073558</v>
      </c>
      <c r="H367">
        <v>-68</v>
      </c>
      <c r="I367">
        <v>-70</v>
      </c>
      <c r="J367" s="30" t="s">
        <v>21</v>
      </c>
      <c r="L367" t="s">
        <v>113</v>
      </c>
      <c r="M367">
        <v>2</v>
      </c>
      <c r="S367" t="str">
        <f t="shared" si="259"/>
        <v>Clay</v>
      </c>
      <c r="T367">
        <f t="shared" si="248"/>
        <v>1</v>
      </c>
      <c r="AA367">
        <v>80</v>
      </c>
      <c r="AB367" s="1">
        <f t="shared" si="255"/>
        <v>3</v>
      </c>
      <c r="AC367">
        <f t="shared" si="256"/>
        <v>1</v>
      </c>
      <c r="AD367" t="str">
        <f t="shared" si="249"/>
        <v/>
      </c>
      <c r="AG367" s="21" t="str">
        <f t="shared" si="227"/>
        <v/>
      </c>
      <c r="AI367" s="6" t="str">
        <f t="shared" si="228"/>
        <v/>
      </c>
      <c r="AM367" s="7" t="str">
        <f t="shared" si="229"/>
        <v/>
      </c>
      <c r="AQ367" s="8" t="str">
        <f t="shared" si="230"/>
        <v/>
      </c>
      <c r="AW367" s="25" t="str">
        <f t="shared" si="231"/>
        <v/>
      </c>
      <c r="AZ367" s="12" t="str">
        <f t="shared" si="232"/>
        <v/>
      </c>
      <c r="BI367" s="17" t="str">
        <f t="shared" si="233"/>
        <v/>
      </c>
      <c r="BM367" t="str">
        <f t="shared" si="234"/>
        <v>SPT Relationship</v>
      </c>
      <c r="BN367">
        <f t="shared" si="222"/>
        <v>101</v>
      </c>
      <c r="BO367" t="str">
        <f t="shared" si="235"/>
        <v>Wolff, 1989</v>
      </c>
      <c r="BP367">
        <f t="shared" si="257"/>
        <v>27</v>
      </c>
      <c r="BQ367" t="str">
        <f t="shared" si="236"/>
        <v/>
      </c>
      <c r="BR367" t="str">
        <f t="shared" si="250"/>
        <v/>
      </c>
      <c r="BS367" t="str">
        <f t="shared" si="237"/>
        <v>Stroud 1974 (K=3.5)</v>
      </c>
      <c r="BT367">
        <f t="shared" si="258"/>
        <v>219</v>
      </c>
      <c r="BU367" t="str">
        <f t="shared" si="238"/>
        <v/>
      </c>
      <c r="BV367" t="str">
        <f t="shared" si="251"/>
        <v/>
      </c>
      <c r="BW367" t="str">
        <f t="shared" si="239"/>
        <v/>
      </c>
      <c r="BX367" t="str">
        <f t="shared" si="252"/>
        <v/>
      </c>
      <c r="BY367" t="str">
        <f t="shared" si="240"/>
        <v/>
      </c>
      <c r="BZ367" t="str">
        <f t="shared" si="253"/>
        <v/>
      </c>
      <c r="CA367" t="str">
        <f t="shared" si="241"/>
        <v/>
      </c>
      <c r="CB367" t="str">
        <f t="shared" si="223"/>
        <v/>
      </c>
      <c r="CC367" t="str">
        <f t="shared" si="242"/>
        <v/>
      </c>
      <c r="CD367" t="str">
        <f t="shared" si="224"/>
        <v/>
      </c>
      <c r="CE367" t="str">
        <f t="shared" si="243"/>
        <v/>
      </c>
      <c r="CF367" t="str">
        <f t="shared" si="225"/>
        <v/>
      </c>
      <c r="CG367" t="str">
        <f t="shared" si="244"/>
        <v/>
      </c>
      <c r="CH367" t="str">
        <f t="shared" si="226"/>
        <v/>
      </c>
      <c r="CI367" t="str">
        <f t="shared" si="245"/>
        <v/>
      </c>
      <c r="CJ367" t="str">
        <f t="shared" si="254"/>
        <v/>
      </c>
    </row>
    <row r="368" spans="2:88" x14ac:dyDescent="0.3">
      <c r="B368" t="str">
        <f t="shared" si="246"/>
        <v>36.824389-76.073558</v>
      </c>
      <c r="C368" s="30" t="s">
        <v>123</v>
      </c>
      <c r="D368">
        <v>36.824388999999996</v>
      </c>
      <c r="E368">
        <v>-76.073558000000006</v>
      </c>
      <c r="F368">
        <v>5</v>
      </c>
      <c r="G368" t="str">
        <f t="shared" si="247"/>
        <v>-73-7536.824389-76.073558</v>
      </c>
      <c r="H368">
        <v>-73</v>
      </c>
      <c r="I368">
        <v>-75</v>
      </c>
      <c r="J368" s="30" t="s">
        <v>21</v>
      </c>
      <c r="L368" t="s">
        <v>11</v>
      </c>
      <c r="M368">
        <v>0</v>
      </c>
      <c r="S368" t="str">
        <f t="shared" si="259"/>
        <v>Clay</v>
      </c>
      <c r="T368">
        <f t="shared" si="248"/>
        <v>1</v>
      </c>
      <c r="AA368">
        <v>80</v>
      </c>
      <c r="AB368" s="1">
        <f t="shared" si="255"/>
        <v>0</v>
      </c>
      <c r="AC368">
        <f t="shared" si="256"/>
        <v>0</v>
      </c>
      <c r="AD368" t="str">
        <f t="shared" si="249"/>
        <v/>
      </c>
      <c r="AG368" s="21" t="str">
        <f t="shared" si="227"/>
        <v/>
      </c>
      <c r="AI368" s="6" t="str">
        <f t="shared" si="228"/>
        <v/>
      </c>
      <c r="AM368" s="7" t="str">
        <f t="shared" si="229"/>
        <v/>
      </c>
      <c r="AQ368" s="8" t="str">
        <f t="shared" si="230"/>
        <v/>
      </c>
      <c r="AW368" s="25" t="str">
        <f t="shared" si="231"/>
        <v/>
      </c>
      <c r="AZ368" s="12" t="str">
        <f t="shared" si="232"/>
        <v/>
      </c>
      <c r="BI368" s="17" t="str">
        <f t="shared" si="233"/>
        <v/>
      </c>
      <c r="BM368" t="str">
        <f t="shared" si="234"/>
        <v>SPT Relationship</v>
      </c>
      <c r="BN368">
        <f t="shared" si="222"/>
        <v>95</v>
      </c>
      <c r="BO368" t="str">
        <f t="shared" si="235"/>
        <v>Wolff, 1989</v>
      </c>
      <c r="BP368">
        <f t="shared" si="257"/>
        <v>27</v>
      </c>
      <c r="BQ368" t="str">
        <f t="shared" si="236"/>
        <v/>
      </c>
      <c r="BR368" t="str">
        <f t="shared" si="250"/>
        <v/>
      </c>
      <c r="BS368" t="str">
        <f t="shared" si="237"/>
        <v>Stroud 1974 (K=3.5)</v>
      </c>
      <c r="BT368">
        <f t="shared" si="258"/>
        <v>0</v>
      </c>
      <c r="BU368" t="str">
        <f t="shared" si="238"/>
        <v/>
      </c>
      <c r="BV368" t="str">
        <f t="shared" si="251"/>
        <v/>
      </c>
      <c r="BW368" t="str">
        <f t="shared" si="239"/>
        <v/>
      </c>
      <c r="BX368" t="str">
        <f t="shared" si="252"/>
        <v/>
      </c>
      <c r="BY368" t="str">
        <f t="shared" si="240"/>
        <v/>
      </c>
      <c r="BZ368" t="str">
        <f t="shared" si="253"/>
        <v/>
      </c>
      <c r="CA368" t="str">
        <f t="shared" si="241"/>
        <v/>
      </c>
      <c r="CB368" t="str">
        <f t="shared" si="223"/>
        <v/>
      </c>
      <c r="CC368" t="str">
        <f t="shared" si="242"/>
        <v/>
      </c>
      <c r="CD368" t="str">
        <f t="shared" si="224"/>
        <v/>
      </c>
      <c r="CE368" t="str">
        <f t="shared" si="243"/>
        <v/>
      </c>
      <c r="CF368" t="str">
        <f t="shared" si="225"/>
        <v/>
      </c>
      <c r="CG368" t="str">
        <f t="shared" si="244"/>
        <v/>
      </c>
      <c r="CH368" t="str">
        <f t="shared" si="226"/>
        <v/>
      </c>
      <c r="CI368" t="str">
        <f t="shared" si="245"/>
        <v/>
      </c>
      <c r="CJ368" t="str">
        <f t="shared" si="254"/>
        <v/>
      </c>
    </row>
    <row r="369" spans="2:88" x14ac:dyDescent="0.3">
      <c r="B369" t="str">
        <f t="shared" si="246"/>
        <v>36.824389-76.073558</v>
      </c>
      <c r="C369" s="30" t="s">
        <v>123</v>
      </c>
      <c r="D369">
        <v>36.824388999999996</v>
      </c>
      <c r="E369">
        <v>-76.073558000000006</v>
      </c>
      <c r="F369">
        <v>5</v>
      </c>
      <c r="G369" t="str">
        <f t="shared" si="247"/>
        <v>-78-8036.824389-76.073558</v>
      </c>
      <c r="H369">
        <v>-78</v>
      </c>
      <c r="I369">
        <v>-80</v>
      </c>
      <c r="J369" s="30" t="s">
        <v>21</v>
      </c>
      <c r="L369" t="s">
        <v>11</v>
      </c>
      <c r="M369">
        <v>0</v>
      </c>
      <c r="S369" t="str">
        <f t="shared" si="259"/>
        <v>Clay</v>
      </c>
      <c r="T369">
        <f t="shared" si="248"/>
        <v>1</v>
      </c>
      <c r="AA369">
        <v>80</v>
      </c>
      <c r="AB369" s="1">
        <f t="shared" si="255"/>
        <v>0</v>
      </c>
      <c r="AC369">
        <f t="shared" si="256"/>
        <v>0</v>
      </c>
      <c r="AD369" t="str">
        <f t="shared" si="249"/>
        <v/>
      </c>
      <c r="AG369" s="21" t="str">
        <f t="shared" si="227"/>
        <v/>
      </c>
      <c r="AI369" s="6" t="str">
        <f t="shared" si="228"/>
        <v/>
      </c>
      <c r="AM369" s="7" t="str">
        <f t="shared" si="229"/>
        <v/>
      </c>
      <c r="AQ369" s="8" t="str">
        <f t="shared" si="230"/>
        <v/>
      </c>
      <c r="AW369" s="25" t="str">
        <f t="shared" si="231"/>
        <v/>
      </c>
      <c r="AZ369" s="12" t="str">
        <f t="shared" si="232"/>
        <v/>
      </c>
      <c r="BI369" s="17" t="str">
        <f t="shared" si="233"/>
        <v/>
      </c>
      <c r="BM369" t="str">
        <f t="shared" si="234"/>
        <v>SPT Relationship</v>
      </c>
      <c r="BN369">
        <f t="shared" si="222"/>
        <v>95</v>
      </c>
      <c r="BO369" t="str">
        <f t="shared" si="235"/>
        <v>Wolff, 1989</v>
      </c>
      <c r="BP369">
        <f t="shared" si="257"/>
        <v>27</v>
      </c>
      <c r="BQ369" t="str">
        <f t="shared" si="236"/>
        <v/>
      </c>
      <c r="BR369" t="str">
        <f t="shared" si="250"/>
        <v/>
      </c>
      <c r="BS369" t="str">
        <f t="shared" si="237"/>
        <v>Stroud 1974 (K=3.5)</v>
      </c>
      <c r="BT369">
        <f t="shared" si="258"/>
        <v>0</v>
      </c>
      <c r="BU369" t="str">
        <f t="shared" si="238"/>
        <v/>
      </c>
      <c r="BV369" t="str">
        <f t="shared" si="251"/>
        <v/>
      </c>
      <c r="BW369" t="str">
        <f t="shared" si="239"/>
        <v/>
      </c>
      <c r="BX369" t="str">
        <f t="shared" si="252"/>
        <v/>
      </c>
      <c r="BY369" t="str">
        <f t="shared" si="240"/>
        <v/>
      </c>
      <c r="BZ369" t="str">
        <f t="shared" si="253"/>
        <v/>
      </c>
      <c r="CA369" t="str">
        <f t="shared" si="241"/>
        <v/>
      </c>
      <c r="CB369" t="str">
        <f t="shared" si="223"/>
        <v/>
      </c>
      <c r="CC369" t="str">
        <f t="shared" si="242"/>
        <v/>
      </c>
      <c r="CD369" t="str">
        <f t="shared" si="224"/>
        <v/>
      </c>
      <c r="CE369" t="str">
        <f t="shared" si="243"/>
        <v/>
      </c>
      <c r="CF369" t="str">
        <f t="shared" si="225"/>
        <v/>
      </c>
      <c r="CG369" t="str">
        <f t="shared" si="244"/>
        <v/>
      </c>
      <c r="CH369" t="str">
        <f t="shared" si="226"/>
        <v/>
      </c>
      <c r="CI369" t="str">
        <f t="shared" si="245"/>
        <v/>
      </c>
      <c r="CJ369" t="str">
        <f t="shared" si="254"/>
        <v/>
      </c>
    </row>
    <row r="370" spans="2:88" x14ac:dyDescent="0.3">
      <c r="B370" t="str">
        <f t="shared" si="246"/>
        <v>36.824442-76.07256</v>
      </c>
      <c r="C370" s="30" t="s">
        <v>124</v>
      </c>
      <c r="D370">
        <v>36.824441999999998</v>
      </c>
      <c r="E370">
        <v>-76.072559999999996</v>
      </c>
      <c r="F370">
        <v>5</v>
      </c>
      <c r="G370" t="str">
        <f t="shared" si="247"/>
        <v>5336.824442-76.07256</v>
      </c>
      <c r="H370">
        <v>5</v>
      </c>
      <c r="I370">
        <v>3</v>
      </c>
      <c r="J370" s="30" t="s">
        <v>21</v>
      </c>
      <c r="L370" t="s">
        <v>11</v>
      </c>
      <c r="M370">
        <v>9</v>
      </c>
      <c r="S370" t="str">
        <f t="shared" si="259"/>
        <v>Clay</v>
      </c>
      <c r="T370">
        <f t="shared" si="248"/>
        <v>1</v>
      </c>
      <c r="AA370">
        <v>80</v>
      </c>
      <c r="AB370" s="1">
        <f t="shared" si="255"/>
        <v>12</v>
      </c>
      <c r="AC370">
        <f t="shared" si="256"/>
        <v>36</v>
      </c>
      <c r="AD370" t="str">
        <f t="shared" si="249"/>
        <v/>
      </c>
      <c r="AG370" s="21" t="str">
        <f t="shared" si="227"/>
        <v/>
      </c>
      <c r="AI370" s="6" t="str">
        <f t="shared" si="228"/>
        <v/>
      </c>
      <c r="AM370" s="7" t="str">
        <f t="shared" si="229"/>
        <v/>
      </c>
      <c r="AQ370" s="8" t="str">
        <f t="shared" si="230"/>
        <v/>
      </c>
      <c r="AW370" s="25" t="str">
        <f t="shared" si="231"/>
        <v/>
      </c>
      <c r="AZ370" s="12" t="str">
        <f t="shared" si="232"/>
        <v/>
      </c>
      <c r="BI370" s="17" t="str">
        <f t="shared" si="233"/>
        <v/>
      </c>
      <c r="BM370" t="str">
        <f t="shared" si="234"/>
        <v>SPT Relationship</v>
      </c>
      <c r="BN370">
        <f t="shared" si="222"/>
        <v>117</v>
      </c>
      <c r="BO370" t="str">
        <f t="shared" si="235"/>
        <v>Wolff, 1989</v>
      </c>
      <c r="BP370">
        <f t="shared" si="257"/>
        <v>37</v>
      </c>
      <c r="BQ370" t="str">
        <f t="shared" si="236"/>
        <v/>
      </c>
      <c r="BR370" t="str">
        <f t="shared" si="250"/>
        <v/>
      </c>
      <c r="BS370" t="str">
        <f t="shared" si="237"/>
        <v>Stroud 1974 (K=3.5)</v>
      </c>
      <c r="BT370">
        <f t="shared" si="258"/>
        <v>877</v>
      </c>
      <c r="BU370" t="str">
        <f t="shared" si="238"/>
        <v/>
      </c>
      <c r="BV370" t="str">
        <f t="shared" si="251"/>
        <v/>
      </c>
      <c r="BW370" t="str">
        <f t="shared" si="239"/>
        <v/>
      </c>
      <c r="BX370" t="str">
        <f t="shared" si="252"/>
        <v/>
      </c>
      <c r="BY370" t="str">
        <f t="shared" si="240"/>
        <v/>
      </c>
      <c r="BZ370" t="str">
        <f t="shared" si="253"/>
        <v/>
      </c>
      <c r="CA370" t="str">
        <f t="shared" si="241"/>
        <v/>
      </c>
      <c r="CB370" t="str">
        <f t="shared" si="223"/>
        <v/>
      </c>
      <c r="CC370" t="str">
        <f t="shared" si="242"/>
        <v/>
      </c>
      <c r="CD370" t="str">
        <f t="shared" si="224"/>
        <v/>
      </c>
      <c r="CE370" t="str">
        <f t="shared" si="243"/>
        <v/>
      </c>
      <c r="CF370" t="str">
        <f t="shared" si="225"/>
        <v/>
      </c>
      <c r="CG370" t="str">
        <f t="shared" si="244"/>
        <v/>
      </c>
      <c r="CH370" t="str">
        <f t="shared" si="226"/>
        <v/>
      </c>
      <c r="CI370" t="str">
        <f t="shared" si="245"/>
        <v/>
      </c>
      <c r="CJ370" t="str">
        <f t="shared" si="254"/>
        <v/>
      </c>
    </row>
    <row r="371" spans="2:88" x14ac:dyDescent="0.3">
      <c r="B371" t="str">
        <f t="shared" si="246"/>
        <v>36.824442-76.07256</v>
      </c>
      <c r="C371" s="30" t="s">
        <v>124</v>
      </c>
      <c r="D371">
        <v>36.824441999999998</v>
      </c>
      <c r="E371">
        <v>-76.072559999999996</v>
      </c>
      <c r="F371">
        <v>5</v>
      </c>
      <c r="G371" t="str">
        <f t="shared" si="247"/>
        <v>3136.824442-76.07256</v>
      </c>
      <c r="H371">
        <v>3</v>
      </c>
      <c r="I371">
        <v>1</v>
      </c>
      <c r="J371" s="30" t="s">
        <v>21</v>
      </c>
      <c r="L371" t="s">
        <v>11</v>
      </c>
      <c r="M371">
        <v>11</v>
      </c>
      <c r="S371" t="str">
        <f t="shared" si="259"/>
        <v>Clay</v>
      </c>
      <c r="T371">
        <f t="shared" si="248"/>
        <v>1</v>
      </c>
      <c r="AA371">
        <v>80</v>
      </c>
      <c r="AB371" s="1">
        <f t="shared" si="255"/>
        <v>15</v>
      </c>
      <c r="AC371">
        <f t="shared" si="256"/>
        <v>32</v>
      </c>
      <c r="AD371" t="str">
        <f t="shared" si="249"/>
        <v/>
      </c>
      <c r="AG371" s="21" t="str">
        <f t="shared" si="227"/>
        <v/>
      </c>
      <c r="AI371" s="6" t="str">
        <f t="shared" si="228"/>
        <v/>
      </c>
      <c r="AM371" s="7" t="str">
        <f t="shared" si="229"/>
        <v/>
      </c>
      <c r="AQ371" s="8" t="str">
        <f t="shared" si="230"/>
        <v/>
      </c>
      <c r="AW371" s="25" t="str">
        <f t="shared" si="231"/>
        <v/>
      </c>
      <c r="AZ371" s="12" t="str">
        <f t="shared" si="232"/>
        <v/>
      </c>
      <c r="BI371" s="17" t="str">
        <f t="shared" si="233"/>
        <v/>
      </c>
      <c r="BM371" t="str">
        <f t="shared" si="234"/>
        <v>SPT Relationship</v>
      </c>
      <c r="BN371">
        <f t="shared" si="222"/>
        <v>119</v>
      </c>
      <c r="BO371" t="str">
        <f t="shared" si="235"/>
        <v>Wolff, 1989</v>
      </c>
      <c r="BP371">
        <f t="shared" si="257"/>
        <v>36</v>
      </c>
      <c r="BQ371" t="str">
        <f t="shared" si="236"/>
        <v/>
      </c>
      <c r="BR371" t="str">
        <f t="shared" si="250"/>
        <v/>
      </c>
      <c r="BS371" t="str">
        <f t="shared" si="237"/>
        <v>Stroud 1974 (K=3.5)</v>
      </c>
      <c r="BT371">
        <f t="shared" si="258"/>
        <v>1096</v>
      </c>
      <c r="BU371" t="str">
        <f t="shared" si="238"/>
        <v/>
      </c>
      <c r="BV371" t="str">
        <f t="shared" si="251"/>
        <v/>
      </c>
      <c r="BW371" t="str">
        <f t="shared" si="239"/>
        <v/>
      </c>
      <c r="BX371" t="str">
        <f t="shared" si="252"/>
        <v/>
      </c>
      <c r="BY371" t="str">
        <f t="shared" si="240"/>
        <v/>
      </c>
      <c r="BZ371" t="str">
        <f t="shared" si="253"/>
        <v/>
      </c>
      <c r="CA371" t="str">
        <f t="shared" si="241"/>
        <v/>
      </c>
      <c r="CB371" t="str">
        <f t="shared" si="223"/>
        <v/>
      </c>
      <c r="CC371" t="str">
        <f t="shared" si="242"/>
        <v/>
      </c>
      <c r="CD371" t="str">
        <f t="shared" si="224"/>
        <v/>
      </c>
      <c r="CE371" t="str">
        <f t="shared" si="243"/>
        <v/>
      </c>
      <c r="CF371" t="str">
        <f t="shared" si="225"/>
        <v/>
      </c>
      <c r="CG371" t="str">
        <f t="shared" si="244"/>
        <v/>
      </c>
      <c r="CH371" t="str">
        <f t="shared" si="226"/>
        <v/>
      </c>
      <c r="CI371" t="str">
        <f t="shared" si="245"/>
        <v/>
      </c>
      <c r="CJ371" t="str">
        <f t="shared" si="254"/>
        <v/>
      </c>
    </row>
    <row r="372" spans="2:88" x14ac:dyDescent="0.3">
      <c r="B372" t="str">
        <f t="shared" si="246"/>
        <v>36.824442-76.07256</v>
      </c>
      <c r="C372" s="30" t="s">
        <v>124</v>
      </c>
      <c r="D372">
        <v>36.824441999999998</v>
      </c>
      <c r="E372">
        <v>-76.072559999999996</v>
      </c>
      <c r="F372">
        <v>5</v>
      </c>
      <c r="G372" t="str">
        <f t="shared" si="247"/>
        <v>1-136.824442-76.07256</v>
      </c>
      <c r="H372">
        <v>1</v>
      </c>
      <c r="I372">
        <v>-1</v>
      </c>
      <c r="J372" s="30" t="s">
        <v>21</v>
      </c>
      <c r="L372" t="s">
        <v>17</v>
      </c>
      <c r="M372">
        <v>14</v>
      </c>
      <c r="S372" t="str">
        <f t="shared" si="259"/>
        <v>Sand</v>
      </c>
      <c r="T372">
        <f t="shared" si="248"/>
        <v>1</v>
      </c>
      <c r="AA372">
        <v>80</v>
      </c>
      <c r="AB372" s="1">
        <f t="shared" si="255"/>
        <v>19</v>
      </c>
      <c r="AC372">
        <f t="shared" si="256"/>
        <v>33</v>
      </c>
      <c r="AD372" t="str">
        <f t="shared" si="249"/>
        <v/>
      </c>
      <c r="AG372" s="21" t="str">
        <f t="shared" si="227"/>
        <v/>
      </c>
      <c r="AI372" s="6" t="str">
        <f t="shared" si="228"/>
        <v/>
      </c>
      <c r="AM372" s="7" t="str">
        <f t="shared" si="229"/>
        <v/>
      </c>
      <c r="AQ372" s="8" t="str">
        <f t="shared" si="230"/>
        <v/>
      </c>
      <c r="AW372" s="25" t="str">
        <f t="shared" si="231"/>
        <v/>
      </c>
      <c r="AZ372" s="12" t="str">
        <f t="shared" si="232"/>
        <v/>
      </c>
      <c r="BI372" s="17" t="str">
        <f t="shared" si="233"/>
        <v/>
      </c>
      <c r="BM372" t="str">
        <f t="shared" si="234"/>
        <v>SPT Relationship</v>
      </c>
      <c r="BN372">
        <f t="shared" si="222"/>
        <v>122</v>
      </c>
      <c r="BO372" t="str">
        <f t="shared" si="235"/>
        <v>Wolff, 1989</v>
      </c>
      <c r="BP372">
        <f t="shared" si="257"/>
        <v>36</v>
      </c>
      <c r="BQ372" t="str">
        <f t="shared" si="236"/>
        <v/>
      </c>
      <c r="BR372" t="str">
        <f t="shared" si="250"/>
        <v/>
      </c>
      <c r="BS372" t="str">
        <f t="shared" si="237"/>
        <v/>
      </c>
      <c r="BT372" t="str">
        <f t="shared" si="258"/>
        <v/>
      </c>
      <c r="BU372" t="str">
        <f t="shared" si="238"/>
        <v/>
      </c>
      <c r="BV372" t="str">
        <f t="shared" si="251"/>
        <v/>
      </c>
      <c r="BW372" t="str">
        <f t="shared" si="239"/>
        <v/>
      </c>
      <c r="BX372" t="str">
        <f t="shared" si="252"/>
        <v/>
      </c>
      <c r="BY372" t="str">
        <f t="shared" si="240"/>
        <v/>
      </c>
      <c r="BZ372" t="str">
        <f t="shared" si="253"/>
        <v/>
      </c>
      <c r="CA372" t="str">
        <f t="shared" si="241"/>
        <v/>
      </c>
      <c r="CB372" t="str">
        <f t="shared" si="223"/>
        <v/>
      </c>
      <c r="CC372" t="str">
        <f t="shared" si="242"/>
        <v/>
      </c>
      <c r="CD372" t="str">
        <f t="shared" si="224"/>
        <v/>
      </c>
      <c r="CE372" t="str">
        <f t="shared" si="243"/>
        <v>Bowles 5th edition</v>
      </c>
      <c r="CF372">
        <f t="shared" si="225"/>
        <v>218</v>
      </c>
      <c r="CG372" t="str">
        <f t="shared" si="244"/>
        <v/>
      </c>
      <c r="CH372" t="str">
        <f t="shared" si="226"/>
        <v/>
      </c>
      <c r="CI372" t="str">
        <f t="shared" si="245"/>
        <v/>
      </c>
      <c r="CJ372" t="str">
        <f t="shared" si="254"/>
        <v/>
      </c>
    </row>
    <row r="373" spans="2:88" x14ac:dyDescent="0.3">
      <c r="B373" t="str">
        <f t="shared" si="246"/>
        <v>36.824442-76.07256</v>
      </c>
      <c r="C373" s="30" t="s">
        <v>124</v>
      </c>
      <c r="D373">
        <v>36.824441999999998</v>
      </c>
      <c r="E373">
        <v>-76.072559999999996</v>
      </c>
      <c r="F373">
        <v>5</v>
      </c>
      <c r="G373" t="str">
        <f t="shared" si="247"/>
        <v>-1-336.824442-76.07256</v>
      </c>
      <c r="H373">
        <v>-1</v>
      </c>
      <c r="I373">
        <v>-3</v>
      </c>
      <c r="J373" s="30" t="s">
        <v>21</v>
      </c>
      <c r="L373" t="s">
        <v>17</v>
      </c>
      <c r="M373">
        <v>7</v>
      </c>
      <c r="S373" t="str">
        <f t="shared" si="259"/>
        <v>Sand</v>
      </c>
      <c r="T373">
        <f t="shared" si="248"/>
        <v>1</v>
      </c>
      <c r="AA373">
        <v>80</v>
      </c>
      <c r="AB373" s="1">
        <f t="shared" si="255"/>
        <v>9</v>
      </c>
      <c r="AC373">
        <f t="shared" si="256"/>
        <v>13</v>
      </c>
      <c r="AD373" t="str">
        <f t="shared" si="249"/>
        <v/>
      </c>
      <c r="AG373" s="21" t="str">
        <f t="shared" si="227"/>
        <v/>
      </c>
      <c r="AI373" s="6" t="str">
        <f t="shared" si="228"/>
        <v/>
      </c>
      <c r="AM373" s="7" t="str">
        <f t="shared" si="229"/>
        <v/>
      </c>
      <c r="AQ373" s="8" t="str">
        <f t="shared" si="230"/>
        <v/>
      </c>
      <c r="AW373" s="25" t="str">
        <f t="shared" si="231"/>
        <v/>
      </c>
      <c r="AZ373" s="12" t="str">
        <f t="shared" si="232"/>
        <v/>
      </c>
      <c r="BI373" s="17" t="str">
        <f t="shared" si="233"/>
        <v/>
      </c>
      <c r="BM373" t="str">
        <f t="shared" si="234"/>
        <v>SPT Relationship</v>
      </c>
      <c r="BN373">
        <f t="shared" si="222"/>
        <v>114</v>
      </c>
      <c r="BO373" t="str">
        <f t="shared" si="235"/>
        <v>Wolff, 1989</v>
      </c>
      <c r="BP373">
        <f t="shared" si="257"/>
        <v>30</v>
      </c>
      <c r="BQ373" t="str">
        <f t="shared" si="236"/>
        <v/>
      </c>
      <c r="BR373" t="str">
        <f t="shared" si="250"/>
        <v/>
      </c>
      <c r="BS373" t="str">
        <f t="shared" si="237"/>
        <v/>
      </c>
      <c r="BT373" t="str">
        <f t="shared" si="258"/>
        <v/>
      </c>
      <c r="BU373" t="str">
        <f t="shared" si="238"/>
        <v/>
      </c>
      <c r="BV373" t="str">
        <f t="shared" si="251"/>
        <v/>
      </c>
      <c r="BW373" t="str">
        <f t="shared" si="239"/>
        <v/>
      </c>
      <c r="BX373" t="str">
        <f t="shared" si="252"/>
        <v/>
      </c>
      <c r="BY373" t="str">
        <f t="shared" si="240"/>
        <v/>
      </c>
      <c r="BZ373" t="str">
        <f t="shared" si="253"/>
        <v/>
      </c>
      <c r="CA373" t="str">
        <f t="shared" si="241"/>
        <v/>
      </c>
      <c r="CB373" t="str">
        <f t="shared" si="223"/>
        <v/>
      </c>
      <c r="CC373" t="str">
        <f t="shared" si="242"/>
        <v/>
      </c>
      <c r="CD373" t="str">
        <f t="shared" si="224"/>
        <v/>
      </c>
      <c r="CE373" t="str">
        <f t="shared" si="243"/>
        <v>Bowles 5th edition</v>
      </c>
      <c r="CF373">
        <f t="shared" si="225"/>
        <v>154</v>
      </c>
      <c r="CG373" t="str">
        <f t="shared" si="244"/>
        <v/>
      </c>
      <c r="CH373" t="str">
        <f t="shared" si="226"/>
        <v/>
      </c>
      <c r="CI373" t="str">
        <f t="shared" si="245"/>
        <v/>
      </c>
      <c r="CJ373" t="str">
        <f t="shared" si="254"/>
        <v/>
      </c>
    </row>
    <row r="374" spans="2:88" x14ac:dyDescent="0.3">
      <c r="B374" t="str">
        <f t="shared" si="246"/>
        <v>36.824442-76.07256</v>
      </c>
      <c r="C374" s="30" t="s">
        <v>124</v>
      </c>
      <c r="D374">
        <v>36.824441999999998</v>
      </c>
      <c r="E374">
        <v>-76.072559999999996</v>
      </c>
      <c r="F374">
        <v>5</v>
      </c>
      <c r="G374" t="str">
        <f t="shared" si="247"/>
        <v>-3-536.824442-76.07256</v>
      </c>
      <c r="H374">
        <v>-3</v>
      </c>
      <c r="I374">
        <v>-5</v>
      </c>
      <c r="J374" s="30" t="s">
        <v>21</v>
      </c>
      <c r="L374" t="s">
        <v>17</v>
      </c>
      <c r="M374">
        <v>0</v>
      </c>
      <c r="S374" t="str">
        <f t="shared" si="259"/>
        <v>Sand</v>
      </c>
      <c r="T374">
        <f t="shared" si="248"/>
        <v>1</v>
      </c>
      <c r="AA374">
        <v>80</v>
      </c>
      <c r="AB374" s="1">
        <f t="shared" si="255"/>
        <v>0</v>
      </c>
      <c r="AC374">
        <f t="shared" si="256"/>
        <v>0</v>
      </c>
      <c r="AD374" t="str">
        <f t="shared" si="249"/>
        <v/>
      </c>
      <c r="AG374" s="21" t="str">
        <f t="shared" si="227"/>
        <v/>
      </c>
      <c r="AI374" s="6" t="str">
        <f t="shared" si="228"/>
        <v/>
      </c>
      <c r="AM374" s="7" t="str">
        <f t="shared" si="229"/>
        <v/>
      </c>
      <c r="AQ374" s="8" t="str">
        <f t="shared" si="230"/>
        <v/>
      </c>
      <c r="AW374" s="25" t="str">
        <f t="shared" si="231"/>
        <v/>
      </c>
      <c r="AZ374" s="12" t="str">
        <f t="shared" si="232"/>
        <v/>
      </c>
      <c r="BI374" s="17" t="str">
        <f t="shared" si="233"/>
        <v/>
      </c>
      <c r="BM374" t="str">
        <f t="shared" si="234"/>
        <v>SPT Relationship</v>
      </c>
      <c r="BN374">
        <f t="shared" si="222"/>
        <v>95</v>
      </c>
      <c r="BO374" t="str">
        <f t="shared" si="235"/>
        <v>Wolff, 1989</v>
      </c>
      <c r="BP374">
        <f t="shared" si="257"/>
        <v>27</v>
      </c>
      <c r="BQ374" t="str">
        <f t="shared" si="236"/>
        <v/>
      </c>
      <c r="BR374" t="str">
        <f t="shared" si="250"/>
        <v/>
      </c>
      <c r="BS374" t="str">
        <f t="shared" si="237"/>
        <v/>
      </c>
      <c r="BT374" t="str">
        <f t="shared" si="258"/>
        <v/>
      </c>
      <c r="BU374" t="str">
        <f t="shared" si="238"/>
        <v/>
      </c>
      <c r="BV374" t="str">
        <f t="shared" si="251"/>
        <v/>
      </c>
      <c r="BW374" t="str">
        <f t="shared" si="239"/>
        <v/>
      </c>
      <c r="BX374" t="str">
        <f t="shared" si="252"/>
        <v/>
      </c>
      <c r="BY374" t="str">
        <f t="shared" si="240"/>
        <v/>
      </c>
      <c r="BZ374" t="str">
        <f t="shared" si="253"/>
        <v/>
      </c>
      <c r="CA374" t="str">
        <f t="shared" si="241"/>
        <v/>
      </c>
      <c r="CB374" t="str">
        <f t="shared" si="223"/>
        <v/>
      </c>
      <c r="CC374" t="str">
        <f t="shared" si="242"/>
        <v/>
      </c>
      <c r="CD374" t="str">
        <f t="shared" si="224"/>
        <v/>
      </c>
      <c r="CE374" t="str">
        <f t="shared" si="243"/>
        <v>Bowles 5th edition</v>
      </c>
      <c r="CF374">
        <f t="shared" si="225"/>
        <v>96</v>
      </c>
      <c r="CG374" t="str">
        <f t="shared" si="244"/>
        <v/>
      </c>
      <c r="CH374" t="str">
        <f t="shared" si="226"/>
        <v/>
      </c>
      <c r="CI374" t="str">
        <f t="shared" si="245"/>
        <v/>
      </c>
      <c r="CJ374" t="str">
        <f t="shared" si="254"/>
        <v/>
      </c>
    </row>
    <row r="375" spans="2:88" x14ac:dyDescent="0.3">
      <c r="B375" t="str">
        <f t="shared" si="246"/>
        <v>36.824442-76.07256</v>
      </c>
      <c r="C375" s="30" t="s">
        <v>124</v>
      </c>
      <c r="D375">
        <v>36.824441999999998</v>
      </c>
      <c r="E375">
        <v>-76.072559999999996</v>
      </c>
      <c r="F375">
        <v>5</v>
      </c>
      <c r="G375" t="str">
        <f t="shared" si="247"/>
        <v>-5-736.824442-76.07256</v>
      </c>
      <c r="H375">
        <v>-5</v>
      </c>
      <c r="I375">
        <v>-7</v>
      </c>
      <c r="J375" s="30" t="s">
        <v>21</v>
      </c>
      <c r="L375" t="s">
        <v>113</v>
      </c>
      <c r="M375">
        <v>0</v>
      </c>
      <c r="S375" t="str">
        <f t="shared" si="259"/>
        <v>Clay</v>
      </c>
      <c r="T375">
        <f t="shared" si="248"/>
        <v>1</v>
      </c>
      <c r="AA375">
        <v>80</v>
      </c>
      <c r="AB375" s="1">
        <f t="shared" si="255"/>
        <v>0</v>
      </c>
      <c r="AC375">
        <f t="shared" si="256"/>
        <v>0</v>
      </c>
      <c r="AD375" t="str">
        <f t="shared" si="249"/>
        <v/>
      </c>
      <c r="AG375" s="21" t="str">
        <f t="shared" si="227"/>
        <v/>
      </c>
      <c r="AI375" s="6" t="str">
        <f t="shared" si="228"/>
        <v/>
      </c>
      <c r="AM375" s="7" t="str">
        <f t="shared" si="229"/>
        <v/>
      </c>
      <c r="AQ375" s="8" t="str">
        <f t="shared" si="230"/>
        <v/>
      </c>
      <c r="AW375" s="25" t="str">
        <f t="shared" si="231"/>
        <v/>
      </c>
      <c r="AZ375" s="12" t="str">
        <f t="shared" si="232"/>
        <v/>
      </c>
      <c r="BI375" s="17" t="str">
        <f t="shared" si="233"/>
        <v/>
      </c>
      <c r="BM375" t="str">
        <f t="shared" si="234"/>
        <v>SPT Relationship</v>
      </c>
      <c r="BN375">
        <f t="shared" si="222"/>
        <v>95</v>
      </c>
      <c r="BO375" t="str">
        <f t="shared" si="235"/>
        <v>Wolff, 1989</v>
      </c>
      <c r="BP375">
        <f t="shared" si="257"/>
        <v>27</v>
      </c>
      <c r="BQ375" t="str">
        <f t="shared" si="236"/>
        <v/>
      </c>
      <c r="BR375" t="str">
        <f t="shared" si="250"/>
        <v/>
      </c>
      <c r="BS375" t="str">
        <f t="shared" si="237"/>
        <v>Stroud 1974 (K=3.5)</v>
      </c>
      <c r="BT375">
        <f t="shared" si="258"/>
        <v>0</v>
      </c>
      <c r="BU375" t="str">
        <f t="shared" si="238"/>
        <v/>
      </c>
      <c r="BV375" t="str">
        <f t="shared" si="251"/>
        <v/>
      </c>
      <c r="BW375" t="str">
        <f t="shared" si="239"/>
        <v/>
      </c>
      <c r="BX375" t="str">
        <f t="shared" si="252"/>
        <v/>
      </c>
      <c r="BY375" t="str">
        <f t="shared" si="240"/>
        <v/>
      </c>
      <c r="BZ375" t="str">
        <f t="shared" si="253"/>
        <v/>
      </c>
      <c r="CA375" t="str">
        <f t="shared" si="241"/>
        <v/>
      </c>
      <c r="CB375" t="str">
        <f t="shared" si="223"/>
        <v/>
      </c>
      <c r="CC375" t="str">
        <f t="shared" si="242"/>
        <v/>
      </c>
      <c r="CD375" t="str">
        <f t="shared" si="224"/>
        <v/>
      </c>
      <c r="CE375" t="str">
        <f t="shared" si="243"/>
        <v/>
      </c>
      <c r="CF375" t="str">
        <f t="shared" si="225"/>
        <v/>
      </c>
      <c r="CG375" t="str">
        <f t="shared" si="244"/>
        <v/>
      </c>
      <c r="CH375" t="str">
        <f t="shared" si="226"/>
        <v/>
      </c>
      <c r="CI375" t="str">
        <f t="shared" si="245"/>
        <v/>
      </c>
      <c r="CJ375" t="str">
        <f t="shared" si="254"/>
        <v/>
      </c>
    </row>
    <row r="376" spans="2:88" x14ac:dyDescent="0.3">
      <c r="B376" t="str">
        <f t="shared" si="246"/>
        <v>36.824442-76.07256</v>
      </c>
      <c r="C376" s="30" t="s">
        <v>124</v>
      </c>
      <c r="D376">
        <v>36.824441999999998</v>
      </c>
      <c r="E376">
        <v>-76.072559999999996</v>
      </c>
      <c r="F376">
        <v>5</v>
      </c>
      <c r="G376" t="str">
        <f t="shared" si="247"/>
        <v>-8-1036.824442-76.07256</v>
      </c>
      <c r="H376">
        <v>-8</v>
      </c>
      <c r="I376">
        <v>-10</v>
      </c>
      <c r="J376" s="30" t="s">
        <v>21</v>
      </c>
      <c r="L376" t="s">
        <v>17</v>
      </c>
      <c r="M376">
        <v>0</v>
      </c>
      <c r="S376" t="str">
        <f t="shared" si="259"/>
        <v>Sand</v>
      </c>
      <c r="T376">
        <f t="shared" si="248"/>
        <v>1</v>
      </c>
      <c r="AA376">
        <v>80</v>
      </c>
      <c r="AB376" s="1">
        <f t="shared" si="255"/>
        <v>0</v>
      </c>
      <c r="AC376">
        <f t="shared" si="256"/>
        <v>0</v>
      </c>
      <c r="AD376" t="str">
        <f t="shared" si="249"/>
        <v/>
      </c>
      <c r="AG376" s="21" t="str">
        <f t="shared" si="227"/>
        <v/>
      </c>
      <c r="AI376" s="6" t="str">
        <f t="shared" si="228"/>
        <v/>
      </c>
      <c r="AM376" s="7" t="str">
        <f t="shared" si="229"/>
        <v/>
      </c>
      <c r="AQ376" s="8" t="str">
        <f t="shared" si="230"/>
        <v/>
      </c>
      <c r="AW376" s="25" t="str">
        <f t="shared" si="231"/>
        <v/>
      </c>
      <c r="AZ376" s="12" t="str">
        <f t="shared" si="232"/>
        <v/>
      </c>
      <c r="BI376" s="17" t="str">
        <f t="shared" si="233"/>
        <v/>
      </c>
      <c r="BM376" t="str">
        <f t="shared" si="234"/>
        <v>SPT Relationship</v>
      </c>
      <c r="BN376">
        <f t="shared" si="222"/>
        <v>95</v>
      </c>
      <c r="BO376" t="str">
        <f t="shared" si="235"/>
        <v>Wolff, 1989</v>
      </c>
      <c r="BP376">
        <f t="shared" si="257"/>
        <v>27</v>
      </c>
      <c r="BQ376" t="str">
        <f t="shared" si="236"/>
        <v/>
      </c>
      <c r="BR376" t="str">
        <f t="shared" si="250"/>
        <v/>
      </c>
      <c r="BS376" t="str">
        <f t="shared" si="237"/>
        <v/>
      </c>
      <c r="BT376" t="str">
        <f t="shared" si="258"/>
        <v/>
      </c>
      <c r="BU376" t="str">
        <f t="shared" si="238"/>
        <v/>
      </c>
      <c r="BV376" t="str">
        <f t="shared" si="251"/>
        <v/>
      </c>
      <c r="BW376" t="str">
        <f t="shared" si="239"/>
        <v/>
      </c>
      <c r="BX376" t="str">
        <f t="shared" si="252"/>
        <v/>
      </c>
      <c r="BY376" t="str">
        <f t="shared" si="240"/>
        <v/>
      </c>
      <c r="BZ376" t="str">
        <f t="shared" si="253"/>
        <v/>
      </c>
      <c r="CA376" t="str">
        <f t="shared" si="241"/>
        <v/>
      </c>
      <c r="CB376" t="str">
        <f t="shared" si="223"/>
        <v/>
      </c>
      <c r="CC376" t="str">
        <f t="shared" si="242"/>
        <v/>
      </c>
      <c r="CD376" t="str">
        <f t="shared" si="224"/>
        <v/>
      </c>
      <c r="CE376" t="str">
        <f t="shared" si="243"/>
        <v>Bowles 5th edition</v>
      </c>
      <c r="CF376">
        <f t="shared" si="225"/>
        <v>96</v>
      </c>
      <c r="CG376" t="str">
        <f t="shared" si="244"/>
        <v/>
      </c>
      <c r="CH376" t="str">
        <f t="shared" si="226"/>
        <v/>
      </c>
      <c r="CI376" t="str">
        <f t="shared" si="245"/>
        <v/>
      </c>
      <c r="CJ376" t="str">
        <f t="shared" si="254"/>
        <v/>
      </c>
    </row>
    <row r="377" spans="2:88" x14ac:dyDescent="0.3">
      <c r="B377" t="str">
        <f t="shared" si="246"/>
        <v>36.824442-76.07256</v>
      </c>
      <c r="C377" s="30" t="s">
        <v>124</v>
      </c>
      <c r="D377">
        <v>36.824441999999998</v>
      </c>
      <c r="E377">
        <v>-76.072559999999996</v>
      </c>
      <c r="F377">
        <v>5</v>
      </c>
      <c r="G377" t="str">
        <f t="shared" si="247"/>
        <v>-13-1536.824442-76.07256</v>
      </c>
      <c r="H377">
        <v>-13</v>
      </c>
      <c r="I377">
        <v>-15</v>
      </c>
      <c r="J377" s="30" t="s">
        <v>21</v>
      </c>
      <c r="L377" t="s">
        <v>17</v>
      </c>
      <c r="M377">
        <v>5</v>
      </c>
      <c r="S377" t="str">
        <f t="shared" si="259"/>
        <v>Sand</v>
      </c>
      <c r="T377">
        <f t="shared" si="248"/>
        <v>1</v>
      </c>
      <c r="AA377">
        <v>80</v>
      </c>
      <c r="AB377" s="1">
        <f t="shared" si="255"/>
        <v>7</v>
      </c>
      <c r="AC377">
        <f t="shared" si="256"/>
        <v>6</v>
      </c>
      <c r="AD377" t="str">
        <f t="shared" si="249"/>
        <v/>
      </c>
      <c r="AG377" s="21" t="str">
        <f t="shared" si="227"/>
        <v/>
      </c>
      <c r="AI377" s="6" t="str">
        <f t="shared" si="228"/>
        <v/>
      </c>
      <c r="AM377" s="7" t="str">
        <f t="shared" si="229"/>
        <v/>
      </c>
      <c r="AQ377" s="8" t="str">
        <f t="shared" si="230"/>
        <v/>
      </c>
      <c r="AW377" s="25" t="str">
        <f t="shared" si="231"/>
        <v/>
      </c>
      <c r="AZ377" s="12" t="str">
        <f t="shared" si="232"/>
        <v/>
      </c>
      <c r="BI377" s="17" t="str">
        <f t="shared" si="233"/>
        <v/>
      </c>
      <c r="BM377" t="str">
        <f t="shared" si="234"/>
        <v>SPT Relationship</v>
      </c>
      <c r="BN377">
        <f t="shared" si="222"/>
        <v>111</v>
      </c>
      <c r="BO377" t="str">
        <f t="shared" si="235"/>
        <v>Wolff, 1989</v>
      </c>
      <c r="BP377">
        <f t="shared" si="257"/>
        <v>28</v>
      </c>
      <c r="BQ377" t="str">
        <f t="shared" si="236"/>
        <v/>
      </c>
      <c r="BR377" t="str">
        <f t="shared" si="250"/>
        <v/>
      </c>
      <c r="BS377" t="str">
        <f t="shared" si="237"/>
        <v/>
      </c>
      <c r="BT377" t="str">
        <f t="shared" si="258"/>
        <v/>
      </c>
      <c r="BU377" t="str">
        <f t="shared" si="238"/>
        <v/>
      </c>
      <c r="BV377" t="str">
        <f t="shared" si="251"/>
        <v/>
      </c>
      <c r="BW377" t="str">
        <f t="shared" si="239"/>
        <v/>
      </c>
      <c r="BX377" t="str">
        <f t="shared" si="252"/>
        <v/>
      </c>
      <c r="BY377" t="str">
        <f t="shared" si="240"/>
        <v/>
      </c>
      <c r="BZ377" t="str">
        <f t="shared" si="253"/>
        <v/>
      </c>
      <c r="CA377" t="str">
        <f t="shared" si="241"/>
        <v/>
      </c>
      <c r="CB377" t="str">
        <f t="shared" si="223"/>
        <v/>
      </c>
      <c r="CC377" t="str">
        <f t="shared" si="242"/>
        <v/>
      </c>
      <c r="CD377" t="str">
        <f t="shared" si="224"/>
        <v/>
      </c>
      <c r="CE377" t="str">
        <f t="shared" si="243"/>
        <v>Bowles 5th edition</v>
      </c>
      <c r="CF377">
        <f t="shared" si="225"/>
        <v>141</v>
      </c>
      <c r="CG377" t="str">
        <f t="shared" si="244"/>
        <v/>
      </c>
      <c r="CH377" t="str">
        <f t="shared" si="226"/>
        <v/>
      </c>
      <c r="CI377" t="str">
        <f t="shared" si="245"/>
        <v/>
      </c>
      <c r="CJ377" t="str">
        <f t="shared" si="254"/>
        <v/>
      </c>
    </row>
    <row r="378" spans="2:88" x14ac:dyDescent="0.3">
      <c r="B378" t="str">
        <f t="shared" si="246"/>
        <v>36.824442-76.07256</v>
      </c>
      <c r="C378" s="30" t="s">
        <v>124</v>
      </c>
      <c r="D378">
        <v>36.824441999999998</v>
      </c>
      <c r="E378">
        <v>-76.072559999999996</v>
      </c>
      <c r="F378">
        <v>5</v>
      </c>
      <c r="G378" t="str">
        <f t="shared" si="247"/>
        <v>-18-2036.824442-76.07256</v>
      </c>
      <c r="H378">
        <v>-18</v>
      </c>
      <c r="I378">
        <v>-20</v>
      </c>
      <c r="J378" s="30" t="s">
        <v>21</v>
      </c>
      <c r="L378" t="s">
        <v>8</v>
      </c>
      <c r="M378">
        <v>3</v>
      </c>
      <c r="S378" t="str">
        <f t="shared" si="259"/>
        <v>Sand</v>
      </c>
      <c r="T378">
        <f t="shared" si="248"/>
        <v>1</v>
      </c>
      <c r="AA378">
        <v>80</v>
      </c>
      <c r="AB378" s="1">
        <f t="shared" si="255"/>
        <v>4</v>
      </c>
      <c r="AC378">
        <f t="shared" si="256"/>
        <v>3</v>
      </c>
      <c r="AD378" t="str">
        <f t="shared" si="249"/>
        <v/>
      </c>
      <c r="AG378" s="21" t="str">
        <f t="shared" si="227"/>
        <v/>
      </c>
      <c r="AI378" s="6" t="str">
        <f t="shared" si="228"/>
        <v/>
      </c>
      <c r="AM378" s="7" t="str">
        <f t="shared" si="229"/>
        <v/>
      </c>
      <c r="AQ378" s="8" t="str">
        <f t="shared" si="230"/>
        <v/>
      </c>
      <c r="AW378" s="25" t="str">
        <f t="shared" si="231"/>
        <v/>
      </c>
      <c r="AZ378" s="12" t="str">
        <f t="shared" si="232"/>
        <v/>
      </c>
      <c r="BI378" s="17" t="str">
        <f t="shared" si="233"/>
        <v/>
      </c>
      <c r="BM378" t="str">
        <f t="shared" si="234"/>
        <v>SPT Relationship</v>
      </c>
      <c r="BN378">
        <f t="shared" si="222"/>
        <v>105</v>
      </c>
      <c r="BO378" t="str">
        <f t="shared" si="235"/>
        <v>Wolff, 1989</v>
      </c>
      <c r="BP378">
        <f t="shared" si="257"/>
        <v>27</v>
      </c>
      <c r="BQ378" t="str">
        <f t="shared" si="236"/>
        <v/>
      </c>
      <c r="BR378" t="str">
        <f t="shared" si="250"/>
        <v/>
      </c>
      <c r="BS378" t="str">
        <f t="shared" si="237"/>
        <v/>
      </c>
      <c r="BT378" t="str">
        <f t="shared" si="258"/>
        <v/>
      </c>
      <c r="BU378" t="str">
        <f t="shared" si="238"/>
        <v/>
      </c>
      <c r="BV378" t="str">
        <f t="shared" si="251"/>
        <v/>
      </c>
      <c r="BW378" t="str">
        <f t="shared" si="239"/>
        <v/>
      </c>
      <c r="BX378" t="str">
        <f t="shared" si="252"/>
        <v/>
      </c>
      <c r="BY378" t="str">
        <f t="shared" si="240"/>
        <v/>
      </c>
      <c r="BZ378" t="str">
        <f t="shared" si="253"/>
        <v/>
      </c>
      <c r="CA378" t="str">
        <f t="shared" si="241"/>
        <v/>
      </c>
      <c r="CB378" t="str">
        <f t="shared" si="223"/>
        <v/>
      </c>
      <c r="CC378" t="str">
        <f t="shared" si="242"/>
        <v/>
      </c>
      <c r="CD378" t="str">
        <f t="shared" si="224"/>
        <v/>
      </c>
      <c r="CE378" t="str">
        <f t="shared" si="243"/>
        <v>Bowles 5th edition</v>
      </c>
      <c r="CF378">
        <f t="shared" si="225"/>
        <v>122</v>
      </c>
      <c r="CG378" t="str">
        <f t="shared" si="244"/>
        <v/>
      </c>
      <c r="CH378" t="str">
        <f t="shared" si="226"/>
        <v/>
      </c>
      <c r="CI378" t="str">
        <f t="shared" si="245"/>
        <v/>
      </c>
      <c r="CJ378" t="str">
        <f t="shared" si="254"/>
        <v/>
      </c>
    </row>
    <row r="379" spans="2:88" x14ac:dyDescent="0.3">
      <c r="B379" t="str">
        <f t="shared" si="246"/>
        <v>36.824442-76.07256</v>
      </c>
      <c r="C379" s="30" t="s">
        <v>124</v>
      </c>
      <c r="D379">
        <v>36.824441999999998</v>
      </c>
      <c r="E379">
        <v>-76.072559999999996</v>
      </c>
      <c r="F379">
        <v>5</v>
      </c>
      <c r="G379" t="str">
        <f t="shared" si="247"/>
        <v>-23-2536.824442-76.07256</v>
      </c>
      <c r="H379">
        <v>-23</v>
      </c>
      <c r="I379">
        <v>-25</v>
      </c>
      <c r="J379" s="30" t="s">
        <v>21</v>
      </c>
      <c r="L379" t="s">
        <v>17</v>
      </c>
      <c r="M379">
        <v>3</v>
      </c>
      <c r="S379" t="str">
        <f t="shared" si="259"/>
        <v>Sand</v>
      </c>
      <c r="T379">
        <f t="shared" si="248"/>
        <v>1</v>
      </c>
      <c r="AA379">
        <v>80</v>
      </c>
      <c r="AB379" s="1">
        <f t="shared" si="255"/>
        <v>4</v>
      </c>
      <c r="AC379">
        <f t="shared" si="256"/>
        <v>3</v>
      </c>
      <c r="AD379" t="str">
        <f t="shared" si="249"/>
        <v/>
      </c>
      <c r="AG379" s="21" t="str">
        <f t="shared" si="227"/>
        <v/>
      </c>
      <c r="AI379" s="6" t="str">
        <f t="shared" si="228"/>
        <v/>
      </c>
      <c r="AM379" s="7" t="str">
        <f t="shared" si="229"/>
        <v/>
      </c>
      <c r="AQ379" s="8" t="str">
        <f t="shared" si="230"/>
        <v/>
      </c>
      <c r="AW379" s="25" t="str">
        <f t="shared" si="231"/>
        <v/>
      </c>
      <c r="AZ379" s="12" t="str">
        <f t="shared" si="232"/>
        <v/>
      </c>
      <c r="BI379" s="17" t="str">
        <f t="shared" si="233"/>
        <v/>
      </c>
      <c r="BM379" t="str">
        <f t="shared" si="234"/>
        <v>SPT Relationship</v>
      </c>
      <c r="BN379">
        <f t="shared" si="222"/>
        <v>105</v>
      </c>
      <c r="BO379" t="str">
        <f t="shared" si="235"/>
        <v>Wolff, 1989</v>
      </c>
      <c r="BP379">
        <f t="shared" si="257"/>
        <v>27</v>
      </c>
      <c r="BQ379" t="str">
        <f t="shared" si="236"/>
        <v/>
      </c>
      <c r="BR379" t="str">
        <f t="shared" si="250"/>
        <v/>
      </c>
      <c r="BS379" t="str">
        <f t="shared" si="237"/>
        <v/>
      </c>
      <c r="BT379" t="str">
        <f t="shared" si="258"/>
        <v/>
      </c>
      <c r="BU379" t="str">
        <f t="shared" si="238"/>
        <v/>
      </c>
      <c r="BV379" t="str">
        <f t="shared" si="251"/>
        <v/>
      </c>
      <c r="BW379" t="str">
        <f t="shared" si="239"/>
        <v/>
      </c>
      <c r="BX379" t="str">
        <f t="shared" si="252"/>
        <v/>
      </c>
      <c r="BY379" t="str">
        <f t="shared" si="240"/>
        <v/>
      </c>
      <c r="BZ379" t="str">
        <f t="shared" si="253"/>
        <v/>
      </c>
      <c r="CA379" t="str">
        <f t="shared" si="241"/>
        <v/>
      </c>
      <c r="CB379" t="str">
        <f t="shared" si="223"/>
        <v/>
      </c>
      <c r="CC379" t="str">
        <f t="shared" si="242"/>
        <v/>
      </c>
      <c r="CD379" t="str">
        <f t="shared" si="224"/>
        <v/>
      </c>
      <c r="CE379" t="str">
        <f t="shared" si="243"/>
        <v>Bowles 5th edition</v>
      </c>
      <c r="CF379">
        <f t="shared" si="225"/>
        <v>122</v>
      </c>
      <c r="CG379" t="str">
        <f t="shared" si="244"/>
        <v/>
      </c>
      <c r="CH379" t="str">
        <f t="shared" si="226"/>
        <v/>
      </c>
      <c r="CI379" t="str">
        <f t="shared" si="245"/>
        <v/>
      </c>
      <c r="CJ379" t="str">
        <f t="shared" si="254"/>
        <v/>
      </c>
    </row>
    <row r="380" spans="2:88" x14ac:dyDescent="0.3">
      <c r="B380" t="str">
        <f t="shared" si="246"/>
        <v>36.824442-76.07256</v>
      </c>
      <c r="C380" s="30" t="s">
        <v>124</v>
      </c>
      <c r="D380">
        <v>36.824441999999998</v>
      </c>
      <c r="E380">
        <v>-76.072559999999996</v>
      </c>
      <c r="F380">
        <v>5</v>
      </c>
      <c r="G380" t="str">
        <f t="shared" si="247"/>
        <v>-28-3036.824442-76.07256</v>
      </c>
      <c r="H380">
        <v>-28</v>
      </c>
      <c r="I380">
        <v>-30</v>
      </c>
      <c r="J380" s="30" t="s">
        <v>21</v>
      </c>
      <c r="L380" t="s">
        <v>113</v>
      </c>
      <c r="M380">
        <v>0</v>
      </c>
      <c r="S380" t="str">
        <f t="shared" si="259"/>
        <v>Clay</v>
      </c>
      <c r="T380">
        <f t="shared" si="248"/>
        <v>1</v>
      </c>
      <c r="AA380">
        <v>80</v>
      </c>
      <c r="AB380" s="1">
        <f t="shared" si="255"/>
        <v>0</v>
      </c>
      <c r="AC380">
        <f t="shared" si="256"/>
        <v>0</v>
      </c>
      <c r="AD380" t="str">
        <f t="shared" si="249"/>
        <v/>
      </c>
      <c r="AG380" s="21" t="str">
        <f t="shared" si="227"/>
        <v/>
      </c>
      <c r="AI380" s="6" t="str">
        <f t="shared" si="228"/>
        <v/>
      </c>
      <c r="AM380" s="7" t="str">
        <f t="shared" si="229"/>
        <v/>
      </c>
      <c r="AQ380" s="8" t="str">
        <f t="shared" si="230"/>
        <v/>
      </c>
      <c r="AW380" s="25" t="str">
        <f t="shared" si="231"/>
        <v/>
      </c>
      <c r="AZ380" s="12" t="str">
        <f t="shared" si="232"/>
        <v/>
      </c>
      <c r="BI380" s="17" t="str">
        <f t="shared" si="233"/>
        <v/>
      </c>
      <c r="BM380" t="str">
        <f t="shared" si="234"/>
        <v>SPT Relationship</v>
      </c>
      <c r="BN380">
        <f t="shared" si="222"/>
        <v>95</v>
      </c>
      <c r="BO380" t="str">
        <f t="shared" si="235"/>
        <v>Wolff, 1989</v>
      </c>
      <c r="BP380">
        <f t="shared" si="257"/>
        <v>27</v>
      </c>
      <c r="BQ380" t="str">
        <f t="shared" si="236"/>
        <v/>
      </c>
      <c r="BR380" t="str">
        <f t="shared" si="250"/>
        <v/>
      </c>
      <c r="BS380" t="str">
        <f t="shared" si="237"/>
        <v>Stroud 1974 (K=3.5)</v>
      </c>
      <c r="BT380">
        <f t="shared" si="258"/>
        <v>0</v>
      </c>
      <c r="BU380" t="str">
        <f t="shared" si="238"/>
        <v/>
      </c>
      <c r="BV380" t="str">
        <f t="shared" si="251"/>
        <v/>
      </c>
      <c r="BW380" t="str">
        <f t="shared" si="239"/>
        <v/>
      </c>
      <c r="BX380" t="str">
        <f t="shared" si="252"/>
        <v/>
      </c>
      <c r="BY380" t="str">
        <f t="shared" si="240"/>
        <v/>
      </c>
      <c r="BZ380" t="str">
        <f t="shared" si="253"/>
        <v/>
      </c>
      <c r="CA380" t="str">
        <f t="shared" si="241"/>
        <v/>
      </c>
      <c r="CB380" t="str">
        <f t="shared" si="223"/>
        <v/>
      </c>
      <c r="CC380" t="str">
        <f t="shared" si="242"/>
        <v/>
      </c>
      <c r="CD380" t="str">
        <f t="shared" si="224"/>
        <v/>
      </c>
      <c r="CE380" t="str">
        <f t="shared" si="243"/>
        <v/>
      </c>
      <c r="CF380" t="str">
        <f t="shared" si="225"/>
        <v/>
      </c>
      <c r="CG380" t="str">
        <f t="shared" si="244"/>
        <v/>
      </c>
      <c r="CH380" t="str">
        <f t="shared" si="226"/>
        <v/>
      </c>
      <c r="CI380" t="str">
        <f t="shared" si="245"/>
        <v/>
      </c>
      <c r="CJ380" t="str">
        <f t="shared" si="254"/>
        <v/>
      </c>
    </row>
    <row r="381" spans="2:88" x14ac:dyDescent="0.3">
      <c r="B381" t="str">
        <f t="shared" si="246"/>
        <v>36.824442-76.07256</v>
      </c>
      <c r="C381" s="30" t="s">
        <v>124</v>
      </c>
      <c r="D381">
        <v>36.824441999999998</v>
      </c>
      <c r="E381">
        <v>-76.072559999999996</v>
      </c>
      <c r="F381">
        <v>5</v>
      </c>
      <c r="G381" t="str">
        <f t="shared" si="247"/>
        <v>-33-3536.824442-76.07256</v>
      </c>
      <c r="H381">
        <v>-33</v>
      </c>
      <c r="I381">
        <v>-35</v>
      </c>
      <c r="J381" s="30" t="s">
        <v>21</v>
      </c>
      <c r="L381" t="s">
        <v>113</v>
      </c>
      <c r="M381">
        <v>0</v>
      </c>
      <c r="S381" t="str">
        <f t="shared" si="259"/>
        <v>Clay</v>
      </c>
      <c r="T381">
        <f t="shared" si="248"/>
        <v>1</v>
      </c>
      <c r="AA381">
        <v>80</v>
      </c>
      <c r="AB381" s="1">
        <f t="shared" si="255"/>
        <v>0</v>
      </c>
      <c r="AC381">
        <f t="shared" si="256"/>
        <v>0</v>
      </c>
      <c r="AD381" t="str">
        <f t="shared" si="249"/>
        <v/>
      </c>
      <c r="AG381" s="21" t="str">
        <f t="shared" si="227"/>
        <v/>
      </c>
      <c r="AI381" s="6" t="str">
        <f t="shared" si="228"/>
        <v/>
      </c>
      <c r="AM381" s="7" t="str">
        <f t="shared" si="229"/>
        <v/>
      </c>
      <c r="AQ381" s="8" t="str">
        <f t="shared" si="230"/>
        <v/>
      </c>
      <c r="AW381" s="25" t="str">
        <f t="shared" si="231"/>
        <v/>
      </c>
      <c r="AZ381" s="12" t="str">
        <f t="shared" si="232"/>
        <v/>
      </c>
      <c r="BI381" s="17" t="str">
        <f t="shared" si="233"/>
        <v/>
      </c>
      <c r="BM381" t="str">
        <f t="shared" si="234"/>
        <v>SPT Relationship</v>
      </c>
      <c r="BN381">
        <f t="shared" si="222"/>
        <v>95</v>
      </c>
      <c r="BO381" t="str">
        <f t="shared" si="235"/>
        <v>Wolff, 1989</v>
      </c>
      <c r="BP381">
        <f t="shared" si="257"/>
        <v>27</v>
      </c>
      <c r="BQ381" t="str">
        <f t="shared" si="236"/>
        <v/>
      </c>
      <c r="BR381" t="str">
        <f t="shared" si="250"/>
        <v/>
      </c>
      <c r="BS381" t="str">
        <f t="shared" si="237"/>
        <v>Stroud 1974 (K=3.5)</v>
      </c>
      <c r="BT381">
        <f t="shared" si="258"/>
        <v>0</v>
      </c>
      <c r="BU381" t="str">
        <f t="shared" si="238"/>
        <v/>
      </c>
      <c r="BV381" t="str">
        <f t="shared" si="251"/>
        <v/>
      </c>
      <c r="BW381" t="str">
        <f t="shared" si="239"/>
        <v/>
      </c>
      <c r="BX381" t="str">
        <f t="shared" si="252"/>
        <v/>
      </c>
      <c r="BY381" t="str">
        <f t="shared" si="240"/>
        <v/>
      </c>
      <c r="BZ381" t="str">
        <f t="shared" si="253"/>
        <v/>
      </c>
      <c r="CA381" t="str">
        <f t="shared" si="241"/>
        <v/>
      </c>
      <c r="CB381" t="str">
        <f t="shared" si="223"/>
        <v/>
      </c>
      <c r="CC381" t="str">
        <f t="shared" si="242"/>
        <v/>
      </c>
      <c r="CD381" t="str">
        <f t="shared" si="224"/>
        <v/>
      </c>
      <c r="CE381" t="str">
        <f t="shared" si="243"/>
        <v/>
      </c>
      <c r="CF381" t="str">
        <f t="shared" si="225"/>
        <v/>
      </c>
      <c r="CG381" t="str">
        <f t="shared" si="244"/>
        <v/>
      </c>
      <c r="CH381" t="str">
        <f t="shared" si="226"/>
        <v/>
      </c>
      <c r="CI381" t="str">
        <f t="shared" si="245"/>
        <v/>
      </c>
      <c r="CJ381" t="str">
        <f t="shared" si="254"/>
        <v/>
      </c>
    </row>
    <row r="382" spans="2:88" x14ac:dyDescent="0.3">
      <c r="B382" t="str">
        <f t="shared" si="246"/>
        <v>36.824442-76.07256</v>
      </c>
      <c r="C382" s="30" t="s">
        <v>124</v>
      </c>
      <c r="D382">
        <v>36.824441999999998</v>
      </c>
      <c r="E382">
        <v>-76.072559999999996</v>
      </c>
      <c r="F382">
        <v>5</v>
      </c>
      <c r="G382" t="str">
        <f t="shared" si="247"/>
        <v>-35-3736.824442-76.07256</v>
      </c>
      <c r="H382">
        <v>-35</v>
      </c>
      <c r="I382">
        <v>-37</v>
      </c>
      <c r="J382" s="30" t="s">
        <v>49</v>
      </c>
      <c r="L382" t="s">
        <v>113</v>
      </c>
      <c r="M382" t="s">
        <v>148</v>
      </c>
      <c r="S382" t="str">
        <f t="shared" si="259"/>
        <v>Clay</v>
      </c>
      <c r="T382">
        <f t="shared" si="248"/>
        <v>1</v>
      </c>
      <c r="AA382">
        <v>80</v>
      </c>
      <c r="AB382" s="1" t="str">
        <f t="shared" si="255"/>
        <v/>
      </c>
      <c r="AC382" t="str">
        <f t="shared" si="256"/>
        <v/>
      </c>
      <c r="AD382" t="str">
        <f t="shared" si="249"/>
        <v/>
      </c>
      <c r="AG382" s="21" t="str">
        <f t="shared" si="227"/>
        <v/>
      </c>
      <c r="AI382" s="6" t="str">
        <f t="shared" si="228"/>
        <v/>
      </c>
      <c r="AM382" s="7" t="str">
        <f t="shared" si="229"/>
        <v/>
      </c>
      <c r="AQ382" s="8" t="str">
        <f t="shared" si="230"/>
        <v/>
      </c>
      <c r="AW382" s="25" t="str">
        <f t="shared" si="231"/>
        <v/>
      </c>
      <c r="AZ382" s="12" t="str">
        <f t="shared" si="232"/>
        <v/>
      </c>
      <c r="BI382" s="17" t="str">
        <f t="shared" si="233"/>
        <v/>
      </c>
      <c r="BM382" t="str">
        <f t="shared" si="234"/>
        <v/>
      </c>
      <c r="BN382" t="str">
        <f t="shared" si="222"/>
        <v/>
      </c>
      <c r="BO382" t="str">
        <f t="shared" si="235"/>
        <v/>
      </c>
      <c r="BP382" t="str">
        <f t="shared" si="257"/>
        <v/>
      </c>
      <c r="BQ382" t="str">
        <f t="shared" si="236"/>
        <v/>
      </c>
      <c r="BR382" t="str">
        <f t="shared" si="250"/>
        <v/>
      </c>
      <c r="BS382" t="str">
        <f t="shared" si="237"/>
        <v/>
      </c>
      <c r="BT382" t="str">
        <f t="shared" si="258"/>
        <v/>
      </c>
      <c r="BU382" t="str">
        <f t="shared" si="238"/>
        <v/>
      </c>
      <c r="BV382" t="str">
        <f t="shared" si="251"/>
        <v/>
      </c>
      <c r="BW382" t="str">
        <f t="shared" si="239"/>
        <v/>
      </c>
      <c r="BX382" t="str">
        <f t="shared" si="252"/>
        <v/>
      </c>
      <c r="BY382" t="str">
        <f t="shared" si="240"/>
        <v/>
      </c>
      <c r="BZ382" t="str">
        <f t="shared" si="253"/>
        <v/>
      </c>
      <c r="CA382" t="str">
        <f t="shared" si="241"/>
        <v/>
      </c>
      <c r="CB382" t="str">
        <f t="shared" si="223"/>
        <v/>
      </c>
      <c r="CC382" t="str">
        <f t="shared" si="242"/>
        <v/>
      </c>
      <c r="CD382" t="str">
        <f t="shared" si="224"/>
        <v/>
      </c>
      <c r="CE382" t="str">
        <f t="shared" si="243"/>
        <v/>
      </c>
      <c r="CF382" t="str">
        <f t="shared" si="225"/>
        <v/>
      </c>
      <c r="CG382" t="str">
        <f t="shared" si="244"/>
        <v/>
      </c>
      <c r="CH382" t="str">
        <f t="shared" si="226"/>
        <v/>
      </c>
      <c r="CI382" t="str">
        <f t="shared" si="245"/>
        <v/>
      </c>
      <c r="CJ382" t="str">
        <f t="shared" si="254"/>
        <v/>
      </c>
    </row>
    <row r="383" spans="2:88" x14ac:dyDescent="0.3">
      <c r="B383" t="str">
        <f t="shared" si="246"/>
        <v>36.824442-76.07256</v>
      </c>
      <c r="C383" s="30" t="s">
        <v>124</v>
      </c>
      <c r="D383">
        <v>36.824441999999998</v>
      </c>
      <c r="E383">
        <v>-76.072559999999996</v>
      </c>
      <c r="F383">
        <v>5</v>
      </c>
      <c r="G383" t="str">
        <f t="shared" si="247"/>
        <v>-37-3936.824442-76.07256</v>
      </c>
      <c r="H383">
        <v>-37</v>
      </c>
      <c r="I383">
        <v>-39</v>
      </c>
      <c r="J383" s="30" t="s">
        <v>21</v>
      </c>
      <c r="L383" t="s">
        <v>17</v>
      </c>
      <c r="M383">
        <v>2</v>
      </c>
      <c r="S383" t="str">
        <f t="shared" si="259"/>
        <v>Sand</v>
      </c>
      <c r="T383">
        <f t="shared" si="248"/>
        <v>1</v>
      </c>
      <c r="AA383">
        <v>80</v>
      </c>
      <c r="AB383" s="1">
        <f t="shared" si="255"/>
        <v>3</v>
      </c>
      <c r="AC383">
        <f t="shared" si="256"/>
        <v>1</v>
      </c>
      <c r="AD383" t="str">
        <f t="shared" si="249"/>
        <v/>
      </c>
      <c r="AG383" s="21" t="str">
        <f t="shared" si="227"/>
        <v/>
      </c>
      <c r="AI383" s="6" t="str">
        <f t="shared" si="228"/>
        <v/>
      </c>
      <c r="AM383" s="7" t="str">
        <f t="shared" si="229"/>
        <v/>
      </c>
      <c r="AQ383" s="8" t="str">
        <f t="shared" si="230"/>
        <v/>
      </c>
      <c r="AW383" s="25" t="str">
        <f t="shared" si="231"/>
        <v/>
      </c>
      <c r="AZ383" s="12" t="str">
        <f t="shared" si="232"/>
        <v/>
      </c>
      <c r="BI383" s="17" t="str">
        <f t="shared" si="233"/>
        <v/>
      </c>
      <c r="BM383" t="str">
        <f t="shared" si="234"/>
        <v>SPT Relationship</v>
      </c>
      <c r="BN383">
        <f t="shared" si="222"/>
        <v>101</v>
      </c>
      <c r="BO383" t="str">
        <f t="shared" si="235"/>
        <v>Wolff, 1989</v>
      </c>
      <c r="BP383">
        <f t="shared" si="257"/>
        <v>27</v>
      </c>
      <c r="BQ383" t="str">
        <f t="shared" si="236"/>
        <v/>
      </c>
      <c r="BR383" t="str">
        <f t="shared" si="250"/>
        <v/>
      </c>
      <c r="BS383" t="str">
        <f t="shared" si="237"/>
        <v/>
      </c>
      <c r="BT383" t="str">
        <f t="shared" si="258"/>
        <v/>
      </c>
      <c r="BU383" t="str">
        <f t="shared" si="238"/>
        <v/>
      </c>
      <c r="BV383" t="str">
        <f t="shared" si="251"/>
        <v/>
      </c>
      <c r="BW383" t="str">
        <f t="shared" si="239"/>
        <v/>
      </c>
      <c r="BX383" t="str">
        <f t="shared" si="252"/>
        <v/>
      </c>
      <c r="BY383" t="str">
        <f t="shared" si="240"/>
        <v/>
      </c>
      <c r="BZ383" t="str">
        <f t="shared" si="253"/>
        <v/>
      </c>
      <c r="CA383" t="str">
        <f t="shared" si="241"/>
        <v/>
      </c>
      <c r="CB383" t="str">
        <f t="shared" si="223"/>
        <v/>
      </c>
      <c r="CC383" t="str">
        <f t="shared" si="242"/>
        <v/>
      </c>
      <c r="CD383" t="str">
        <f t="shared" si="224"/>
        <v/>
      </c>
      <c r="CE383" t="str">
        <f t="shared" si="243"/>
        <v>Bowles 5th edition</v>
      </c>
      <c r="CF383">
        <f t="shared" si="225"/>
        <v>115</v>
      </c>
      <c r="CG383" t="str">
        <f t="shared" si="244"/>
        <v/>
      </c>
      <c r="CH383" t="str">
        <f t="shared" si="226"/>
        <v/>
      </c>
      <c r="CI383" t="str">
        <f t="shared" si="245"/>
        <v/>
      </c>
      <c r="CJ383" t="str">
        <f t="shared" si="254"/>
        <v/>
      </c>
    </row>
    <row r="384" spans="2:88" x14ac:dyDescent="0.3">
      <c r="B384" t="str">
        <f t="shared" si="246"/>
        <v>36.824442-76.07256</v>
      </c>
      <c r="C384" s="30" t="s">
        <v>124</v>
      </c>
      <c r="D384">
        <v>36.824441999999998</v>
      </c>
      <c r="E384">
        <v>-76.072559999999996</v>
      </c>
      <c r="F384">
        <v>5</v>
      </c>
      <c r="G384" t="str">
        <f t="shared" si="247"/>
        <v>-43-4536.824442-76.07256</v>
      </c>
      <c r="H384">
        <v>-43</v>
      </c>
      <c r="I384">
        <v>-45</v>
      </c>
      <c r="J384" s="30" t="s">
        <v>21</v>
      </c>
      <c r="L384" t="s">
        <v>17</v>
      </c>
      <c r="M384">
        <v>2</v>
      </c>
      <c r="S384" t="str">
        <f t="shared" si="259"/>
        <v>Sand</v>
      </c>
      <c r="T384">
        <f t="shared" si="248"/>
        <v>1</v>
      </c>
      <c r="AA384">
        <v>80</v>
      </c>
      <c r="AB384" s="1">
        <f t="shared" si="255"/>
        <v>3</v>
      </c>
      <c r="AC384">
        <f t="shared" si="256"/>
        <v>1</v>
      </c>
      <c r="AD384" t="str">
        <f t="shared" si="249"/>
        <v/>
      </c>
      <c r="AG384" s="21" t="str">
        <f t="shared" si="227"/>
        <v/>
      </c>
      <c r="AI384" s="6" t="str">
        <f t="shared" si="228"/>
        <v/>
      </c>
      <c r="AM384" s="7" t="str">
        <f t="shared" si="229"/>
        <v/>
      </c>
      <c r="AQ384" s="8" t="str">
        <f t="shared" si="230"/>
        <v/>
      </c>
      <c r="AW384" s="25" t="str">
        <f t="shared" si="231"/>
        <v/>
      </c>
      <c r="AZ384" s="12" t="str">
        <f t="shared" si="232"/>
        <v/>
      </c>
      <c r="BI384" s="17" t="str">
        <f t="shared" si="233"/>
        <v/>
      </c>
      <c r="BM384" t="str">
        <f t="shared" si="234"/>
        <v>SPT Relationship</v>
      </c>
      <c r="BN384">
        <f t="shared" ref="BN384:BN447" si="260">IFERROR(IF(M384=0,95,ROUND(95*M384^0.095,0)),"")</f>
        <v>101</v>
      </c>
      <c r="BO384" t="str">
        <f t="shared" si="235"/>
        <v>Wolff, 1989</v>
      </c>
      <c r="BP384">
        <f t="shared" si="257"/>
        <v>27</v>
      </c>
      <c r="BQ384" t="str">
        <f t="shared" si="236"/>
        <v/>
      </c>
      <c r="BR384" t="str">
        <f t="shared" si="250"/>
        <v/>
      </c>
      <c r="BS384" t="str">
        <f t="shared" si="237"/>
        <v/>
      </c>
      <c r="BT384" t="str">
        <f t="shared" si="258"/>
        <v/>
      </c>
      <c r="BU384" t="str">
        <f t="shared" si="238"/>
        <v/>
      </c>
      <c r="BV384" t="str">
        <f t="shared" si="251"/>
        <v/>
      </c>
      <c r="BW384" t="str">
        <f t="shared" si="239"/>
        <v/>
      </c>
      <c r="BX384" t="str">
        <f t="shared" si="252"/>
        <v/>
      </c>
      <c r="BY384" t="str">
        <f t="shared" si="240"/>
        <v/>
      </c>
      <c r="BZ384" t="str">
        <f t="shared" si="253"/>
        <v/>
      </c>
      <c r="CA384" t="str">
        <f t="shared" si="241"/>
        <v/>
      </c>
      <c r="CB384" t="str">
        <f t="shared" ref="CB384:CB447" si="261">IF(P384="","",-0.0000000002*P384^5+0.00000009*P384^4-0.00002*P384^3+0.0019*P384^2-0.0999*P384+2.2178)</f>
        <v/>
      </c>
      <c r="CC384" t="str">
        <f t="shared" si="242"/>
        <v/>
      </c>
      <c r="CD384" t="str">
        <f t="shared" ref="CD384:CD447" si="262">IF(AD384="","",(10^(1.11-1.62*AD384)*100)*20.885434273039)</f>
        <v/>
      </c>
      <c r="CE384" t="str">
        <f t="shared" si="243"/>
        <v>Bowles 5th edition</v>
      </c>
      <c r="CF384">
        <f t="shared" ref="CF384:CF447" si="263">IF(S384="Clay","",IF(AB384="","",ROUND((AB384+15)*6.4,0)))</f>
        <v>115</v>
      </c>
      <c r="CG384" t="str">
        <f t="shared" si="244"/>
        <v/>
      </c>
      <c r="CH384" t="str">
        <f t="shared" ref="CH384:CH447" si="264">IF(N384="","",ROUND(N384/100*2.67,2))</f>
        <v/>
      </c>
      <c r="CI384" t="str">
        <f t="shared" si="245"/>
        <v/>
      </c>
      <c r="CJ384" t="str">
        <f t="shared" si="254"/>
        <v/>
      </c>
    </row>
    <row r="385" spans="2:88" x14ac:dyDescent="0.3">
      <c r="B385" t="str">
        <f t="shared" si="246"/>
        <v>36.824442-76.07256</v>
      </c>
      <c r="C385" s="30" t="s">
        <v>124</v>
      </c>
      <c r="D385">
        <v>36.824441999999998</v>
      </c>
      <c r="E385">
        <v>-76.072559999999996</v>
      </c>
      <c r="F385">
        <v>5</v>
      </c>
      <c r="G385" t="str">
        <f t="shared" si="247"/>
        <v>-48-5036.824442-76.07256</v>
      </c>
      <c r="H385">
        <v>-48</v>
      </c>
      <c r="I385">
        <v>-50</v>
      </c>
      <c r="J385" s="30" t="s">
        <v>21</v>
      </c>
      <c r="L385" t="s">
        <v>113</v>
      </c>
      <c r="M385">
        <v>1</v>
      </c>
      <c r="S385" t="str">
        <f t="shared" si="259"/>
        <v>Clay</v>
      </c>
      <c r="T385">
        <f t="shared" si="248"/>
        <v>1</v>
      </c>
      <c r="AA385">
        <v>80</v>
      </c>
      <c r="AB385" s="1">
        <f t="shared" si="255"/>
        <v>1</v>
      </c>
      <c r="AC385">
        <f t="shared" si="256"/>
        <v>0</v>
      </c>
      <c r="AD385" t="str">
        <f t="shared" si="249"/>
        <v/>
      </c>
      <c r="AG385" s="21" t="str">
        <f t="shared" si="227"/>
        <v/>
      </c>
      <c r="AI385" s="6" t="str">
        <f t="shared" si="228"/>
        <v/>
      </c>
      <c r="AM385" s="7" t="str">
        <f t="shared" si="229"/>
        <v/>
      </c>
      <c r="AQ385" s="8" t="str">
        <f t="shared" si="230"/>
        <v/>
      </c>
      <c r="AW385" s="25" t="str">
        <f t="shared" si="231"/>
        <v/>
      </c>
      <c r="AZ385" s="12" t="str">
        <f t="shared" si="232"/>
        <v/>
      </c>
      <c r="BI385" s="17" t="str">
        <f t="shared" si="233"/>
        <v/>
      </c>
      <c r="BM385" t="str">
        <f t="shared" si="234"/>
        <v>SPT Relationship</v>
      </c>
      <c r="BN385">
        <f t="shared" si="260"/>
        <v>95</v>
      </c>
      <c r="BO385" t="str">
        <f t="shared" si="235"/>
        <v>Wolff, 1989</v>
      </c>
      <c r="BP385">
        <f t="shared" si="257"/>
        <v>27</v>
      </c>
      <c r="BQ385" t="str">
        <f t="shared" si="236"/>
        <v/>
      </c>
      <c r="BR385" t="str">
        <f t="shared" si="250"/>
        <v/>
      </c>
      <c r="BS385" t="str">
        <f t="shared" si="237"/>
        <v>Stroud 1974 (K=3.5)</v>
      </c>
      <c r="BT385">
        <f t="shared" si="258"/>
        <v>73</v>
      </c>
      <c r="BU385" t="str">
        <f t="shared" si="238"/>
        <v/>
      </c>
      <c r="BV385" t="str">
        <f t="shared" si="251"/>
        <v/>
      </c>
      <c r="BW385" t="str">
        <f t="shared" si="239"/>
        <v/>
      </c>
      <c r="BX385" t="str">
        <f t="shared" si="252"/>
        <v/>
      </c>
      <c r="BY385" t="str">
        <f t="shared" si="240"/>
        <v/>
      </c>
      <c r="BZ385" t="str">
        <f t="shared" si="253"/>
        <v/>
      </c>
      <c r="CA385" t="str">
        <f t="shared" si="241"/>
        <v/>
      </c>
      <c r="CB385" t="str">
        <f t="shared" si="261"/>
        <v/>
      </c>
      <c r="CC385" t="str">
        <f t="shared" si="242"/>
        <v/>
      </c>
      <c r="CD385" t="str">
        <f t="shared" si="262"/>
        <v/>
      </c>
      <c r="CE385" t="str">
        <f t="shared" si="243"/>
        <v/>
      </c>
      <c r="CF385" t="str">
        <f t="shared" si="263"/>
        <v/>
      </c>
      <c r="CG385" t="str">
        <f t="shared" si="244"/>
        <v/>
      </c>
      <c r="CH385" t="str">
        <f t="shared" si="264"/>
        <v/>
      </c>
      <c r="CI385" t="str">
        <f t="shared" si="245"/>
        <v/>
      </c>
      <c r="CJ385" t="str">
        <f t="shared" si="254"/>
        <v/>
      </c>
    </row>
    <row r="386" spans="2:88" x14ac:dyDescent="0.3">
      <c r="B386" t="str">
        <f t="shared" si="246"/>
        <v>36.824442-76.07256</v>
      </c>
      <c r="C386" s="30" t="s">
        <v>124</v>
      </c>
      <c r="D386">
        <v>36.824441999999998</v>
      </c>
      <c r="E386">
        <v>-76.072559999999996</v>
      </c>
      <c r="F386">
        <v>5</v>
      </c>
      <c r="G386" t="str">
        <f t="shared" si="247"/>
        <v>-53-5536.824442-76.07256</v>
      </c>
      <c r="H386">
        <v>-53</v>
      </c>
      <c r="I386">
        <v>-55</v>
      </c>
      <c r="J386" s="30" t="s">
        <v>21</v>
      </c>
      <c r="L386" t="s">
        <v>113</v>
      </c>
      <c r="M386">
        <v>3</v>
      </c>
      <c r="S386" t="str">
        <f t="shared" si="259"/>
        <v>Clay</v>
      </c>
      <c r="T386">
        <f t="shared" si="248"/>
        <v>1</v>
      </c>
      <c r="AA386">
        <v>80</v>
      </c>
      <c r="AB386" s="1">
        <f t="shared" si="255"/>
        <v>4</v>
      </c>
      <c r="AC386">
        <f t="shared" si="256"/>
        <v>2</v>
      </c>
      <c r="AD386" t="str">
        <f t="shared" si="249"/>
        <v/>
      </c>
      <c r="AG386" s="21" t="str">
        <f t="shared" si="227"/>
        <v/>
      </c>
      <c r="AI386" s="6" t="str">
        <f t="shared" si="228"/>
        <v/>
      </c>
      <c r="AM386" s="7" t="str">
        <f t="shared" si="229"/>
        <v/>
      </c>
      <c r="AQ386" s="8" t="str">
        <f t="shared" si="230"/>
        <v/>
      </c>
      <c r="AW386" s="25" t="str">
        <f t="shared" si="231"/>
        <v/>
      </c>
      <c r="AZ386" s="12" t="str">
        <f t="shared" si="232"/>
        <v/>
      </c>
      <c r="BI386" s="17" t="str">
        <f t="shared" si="233"/>
        <v/>
      </c>
      <c r="BM386" t="str">
        <f t="shared" si="234"/>
        <v>SPT Relationship</v>
      </c>
      <c r="BN386">
        <f t="shared" si="260"/>
        <v>105</v>
      </c>
      <c r="BO386" t="str">
        <f t="shared" si="235"/>
        <v>Wolff, 1989</v>
      </c>
      <c r="BP386">
        <f t="shared" si="257"/>
        <v>27</v>
      </c>
      <c r="BQ386" t="str">
        <f t="shared" si="236"/>
        <v/>
      </c>
      <c r="BR386" t="str">
        <f t="shared" si="250"/>
        <v/>
      </c>
      <c r="BS386" t="str">
        <f t="shared" si="237"/>
        <v>Stroud 1974 (K=3.5)</v>
      </c>
      <c r="BT386">
        <f t="shared" si="258"/>
        <v>292</v>
      </c>
      <c r="BU386" t="str">
        <f t="shared" si="238"/>
        <v/>
      </c>
      <c r="BV386" t="str">
        <f t="shared" si="251"/>
        <v/>
      </c>
      <c r="BW386" t="str">
        <f t="shared" si="239"/>
        <v/>
      </c>
      <c r="BX386" t="str">
        <f t="shared" si="252"/>
        <v/>
      </c>
      <c r="BY386" t="str">
        <f t="shared" si="240"/>
        <v/>
      </c>
      <c r="BZ386" t="str">
        <f t="shared" si="253"/>
        <v/>
      </c>
      <c r="CA386" t="str">
        <f t="shared" si="241"/>
        <v/>
      </c>
      <c r="CB386" t="str">
        <f t="shared" si="261"/>
        <v/>
      </c>
      <c r="CC386" t="str">
        <f t="shared" si="242"/>
        <v/>
      </c>
      <c r="CD386" t="str">
        <f t="shared" si="262"/>
        <v/>
      </c>
      <c r="CE386" t="str">
        <f t="shared" si="243"/>
        <v/>
      </c>
      <c r="CF386" t="str">
        <f t="shared" si="263"/>
        <v/>
      </c>
      <c r="CG386" t="str">
        <f t="shared" si="244"/>
        <v/>
      </c>
      <c r="CH386" t="str">
        <f t="shared" si="264"/>
        <v/>
      </c>
      <c r="CI386" t="str">
        <f t="shared" si="245"/>
        <v/>
      </c>
      <c r="CJ386" t="str">
        <f t="shared" si="254"/>
        <v/>
      </c>
    </row>
    <row r="387" spans="2:88" x14ac:dyDescent="0.3">
      <c r="B387" t="str">
        <f t="shared" si="246"/>
        <v>36.824442-76.07256</v>
      </c>
      <c r="C387" s="30" t="s">
        <v>124</v>
      </c>
      <c r="D387">
        <v>36.824441999999998</v>
      </c>
      <c r="E387">
        <v>-76.072559999999996</v>
      </c>
      <c r="F387">
        <v>5</v>
      </c>
      <c r="G387" t="str">
        <f t="shared" si="247"/>
        <v>-58-6036.824442-76.07256</v>
      </c>
      <c r="H387">
        <v>-58</v>
      </c>
      <c r="I387">
        <v>-60</v>
      </c>
      <c r="J387" s="30" t="s">
        <v>21</v>
      </c>
      <c r="L387" t="s">
        <v>113</v>
      </c>
      <c r="M387">
        <v>1</v>
      </c>
      <c r="S387" t="str">
        <f t="shared" si="259"/>
        <v>Clay</v>
      </c>
      <c r="T387">
        <f t="shared" si="248"/>
        <v>1</v>
      </c>
      <c r="AA387">
        <v>80</v>
      </c>
      <c r="AB387" s="1">
        <f t="shared" si="255"/>
        <v>1</v>
      </c>
      <c r="AC387">
        <f t="shared" si="256"/>
        <v>0</v>
      </c>
      <c r="AD387" t="str">
        <f t="shared" si="249"/>
        <v/>
      </c>
      <c r="AG387" s="21" t="str">
        <f t="shared" ref="AG387:AG450" si="265">IF(AH387="","","Pocket Pentrometer")</f>
        <v/>
      </c>
      <c r="AI387" s="6" t="str">
        <f t="shared" ref="AI387:AI450" si="266">IF(AJ387="","","Unconfined Compression")</f>
        <v/>
      </c>
      <c r="AM387" s="7" t="str">
        <f t="shared" ref="AM387:AM450" si="267">IF(AN387="","","Undrained Unconsolidated Triaxial")</f>
        <v/>
      </c>
      <c r="AQ387" s="8" t="str">
        <f t="shared" ref="AQ387:AQ450" si="268">IF(AR387="","","Consolidated Undrained Triaxial")</f>
        <v/>
      </c>
      <c r="AW387" s="25" t="str">
        <f t="shared" ref="AW387:AW450" si="269">IF(AX387="","","Direct Shear")</f>
        <v/>
      </c>
      <c r="AZ387" s="12" t="str">
        <f t="shared" ref="AZ387:AZ450" si="270">IF(BA387="","","Consolidation Test")</f>
        <v/>
      </c>
      <c r="BI387" s="17" t="str">
        <f t="shared" ref="BI387:BI450" si="271">IF(BJ387="","","Permeability Test")</f>
        <v/>
      </c>
      <c r="BM387" t="str">
        <f t="shared" ref="BM387:BM450" si="272">IF(BN387="","","SPT Relationship")</f>
        <v>SPT Relationship</v>
      </c>
      <c r="BN387">
        <f t="shared" si="260"/>
        <v>95</v>
      </c>
      <c r="BO387" t="str">
        <f t="shared" ref="BO387:BO450" si="273">IF(BP387="","","Wolff, 1989")</f>
        <v>Wolff, 1989</v>
      </c>
      <c r="BP387">
        <f t="shared" si="257"/>
        <v>27</v>
      </c>
      <c r="BQ387" t="str">
        <f t="shared" ref="BQ387:BQ450" si="274">IF(BR387="","","GTENG-2476")</f>
        <v/>
      </c>
      <c r="BR387" t="str">
        <f t="shared" si="250"/>
        <v/>
      </c>
      <c r="BS387" t="str">
        <f t="shared" ref="BS387:BS450" si="275">IF(BT387="","", "Stroud 1974 (K=3.5)")</f>
        <v>Stroud 1974 (K=3.5)</v>
      </c>
      <c r="BT387">
        <f t="shared" si="258"/>
        <v>73</v>
      </c>
      <c r="BU387" t="str">
        <f t="shared" ref="BU387:BU450" si="276">IF(BV387="","","Kulhawy and Mayne 1990")</f>
        <v/>
      </c>
      <c r="BV387" t="str">
        <f t="shared" si="251"/>
        <v/>
      </c>
      <c r="BW387" t="str">
        <f t="shared" ref="BW387:BW450" si="277">IF(BX387="","","Kulhawy and Mayne 1990")</f>
        <v/>
      </c>
      <c r="BX387" t="str">
        <f t="shared" si="252"/>
        <v/>
      </c>
      <c r="BY387" t="str">
        <f t="shared" ref="BY387:BY450" si="278">IF(BZ387="","","Mesri 1990")</f>
        <v/>
      </c>
      <c r="BZ387" t="str">
        <f t="shared" si="253"/>
        <v/>
      </c>
      <c r="CA387" t="str">
        <f t="shared" ref="CA387:CA450" si="279">IF(CB387="","","NAVFAC Vol. 7.1 Figure 4")</f>
        <v/>
      </c>
      <c r="CB387" t="str">
        <f t="shared" si="261"/>
        <v/>
      </c>
      <c r="CC387" t="str">
        <f t="shared" ref="CC387:CC450" si="280">IF(CD387="","","Stas and Kulhawy 1984")</f>
        <v/>
      </c>
      <c r="CD387" t="str">
        <f t="shared" si="262"/>
        <v/>
      </c>
      <c r="CE387" t="str">
        <f t="shared" ref="CE387:CE450" si="281">IF(CF387="","","Bowles 5th edition")</f>
        <v/>
      </c>
      <c r="CF387" t="str">
        <f t="shared" si="263"/>
        <v/>
      </c>
      <c r="CG387" t="str">
        <f t="shared" ref="CG387:CG450" si="282">IF(CH387="","","Relationship (Gs=2.67)")</f>
        <v/>
      </c>
      <c r="CH387" t="str">
        <f t="shared" si="264"/>
        <v/>
      </c>
      <c r="CI387" t="str">
        <f t="shared" ref="CI387:CI450" si="283">IF(CJ387="","","Hazen, 1911 (c=1.5)")</f>
        <v/>
      </c>
      <c r="CJ387" t="str">
        <f t="shared" si="254"/>
        <v/>
      </c>
    </row>
    <row r="388" spans="2:88" x14ac:dyDescent="0.3">
      <c r="B388" t="str">
        <f t="shared" si="246"/>
        <v>36.824442-76.07256</v>
      </c>
      <c r="C388" s="30" t="s">
        <v>124</v>
      </c>
      <c r="D388">
        <v>36.824441999999998</v>
      </c>
      <c r="E388">
        <v>-76.072559999999996</v>
      </c>
      <c r="F388">
        <v>5</v>
      </c>
      <c r="G388" t="str">
        <f t="shared" si="247"/>
        <v>-63-6536.824442-76.07256</v>
      </c>
      <c r="H388">
        <v>-63</v>
      </c>
      <c r="I388">
        <v>-65</v>
      </c>
      <c r="J388" s="30" t="s">
        <v>21</v>
      </c>
      <c r="L388" t="s">
        <v>17</v>
      </c>
      <c r="M388">
        <v>0</v>
      </c>
      <c r="S388" t="str">
        <f t="shared" si="259"/>
        <v>Sand</v>
      </c>
      <c r="T388">
        <f t="shared" si="248"/>
        <v>1</v>
      </c>
      <c r="AA388">
        <v>80</v>
      </c>
      <c r="AB388" s="1">
        <f t="shared" si="255"/>
        <v>0</v>
      </c>
      <c r="AC388">
        <f t="shared" si="256"/>
        <v>0</v>
      </c>
      <c r="AD388" t="str">
        <f t="shared" si="249"/>
        <v/>
      </c>
      <c r="AG388" s="21" t="str">
        <f t="shared" si="265"/>
        <v/>
      </c>
      <c r="AI388" s="6" t="str">
        <f t="shared" si="266"/>
        <v/>
      </c>
      <c r="AM388" s="7" t="str">
        <f t="shared" si="267"/>
        <v/>
      </c>
      <c r="AQ388" s="8" t="str">
        <f t="shared" si="268"/>
        <v/>
      </c>
      <c r="AW388" s="25" t="str">
        <f t="shared" si="269"/>
        <v/>
      </c>
      <c r="AZ388" s="12" t="str">
        <f t="shared" si="270"/>
        <v/>
      </c>
      <c r="BI388" s="17" t="str">
        <f t="shared" si="271"/>
        <v/>
      </c>
      <c r="BM388" t="str">
        <f t="shared" si="272"/>
        <v>SPT Relationship</v>
      </c>
      <c r="BN388">
        <f t="shared" si="260"/>
        <v>95</v>
      </c>
      <c r="BO388" t="str">
        <f t="shared" si="273"/>
        <v>Wolff, 1989</v>
      </c>
      <c r="BP388">
        <f t="shared" si="257"/>
        <v>27</v>
      </c>
      <c r="BQ388" t="str">
        <f t="shared" si="274"/>
        <v/>
      </c>
      <c r="BR388" t="str">
        <f t="shared" si="250"/>
        <v/>
      </c>
      <c r="BS388" t="str">
        <f t="shared" si="275"/>
        <v/>
      </c>
      <c r="BT388" t="str">
        <f t="shared" si="258"/>
        <v/>
      </c>
      <c r="BU388" t="str">
        <f t="shared" si="276"/>
        <v/>
      </c>
      <c r="BV388" t="str">
        <f t="shared" si="251"/>
        <v/>
      </c>
      <c r="BW388" t="str">
        <f t="shared" si="277"/>
        <v/>
      </c>
      <c r="BX388" t="str">
        <f t="shared" si="252"/>
        <v/>
      </c>
      <c r="BY388" t="str">
        <f t="shared" si="278"/>
        <v/>
      </c>
      <c r="BZ388" t="str">
        <f t="shared" si="253"/>
        <v/>
      </c>
      <c r="CA388" t="str">
        <f t="shared" si="279"/>
        <v/>
      </c>
      <c r="CB388" t="str">
        <f t="shared" si="261"/>
        <v/>
      </c>
      <c r="CC388" t="str">
        <f t="shared" si="280"/>
        <v/>
      </c>
      <c r="CD388" t="str">
        <f t="shared" si="262"/>
        <v/>
      </c>
      <c r="CE388" t="str">
        <f t="shared" si="281"/>
        <v>Bowles 5th edition</v>
      </c>
      <c r="CF388">
        <f t="shared" si="263"/>
        <v>96</v>
      </c>
      <c r="CG388" t="str">
        <f t="shared" si="282"/>
        <v/>
      </c>
      <c r="CH388" t="str">
        <f t="shared" si="264"/>
        <v/>
      </c>
      <c r="CI388" t="str">
        <f t="shared" si="283"/>
        <v/>
      </c>
      <c r="CJ388" t="str">
        <f t="shared" si="254"/>
        <v/>
      </c>
    </row>
    <row r="389" spans="2:88" x14ac:dyDescent="0.3">
      <c r="B389" t="str">
        <f t="shared" si="246"/>
        <v>36.824442-76.07256</v>
      </c>
      <c r="C389" s="30" t="s">
        <v>124</v>
      </c>
      <c r="D389">
        <v>36.824441999999998</v>
      </c>
      <c r="E389">
        <v>-76.072559999999996</v>
      </c>
      <c r="F389">
        <v>5</v>
      </c>
      <c r="G389" t="str">
        <f t="shared" si="247"/>
        <v>-68-7036.824442-76.07256</v>
      </c>
      <c r="H389">
        <v>-68</v>
      </c>
      <c r="I389">
        <v>-70</v>
      </c>
      <c r="J389" s="30" t="s">
        <v>21</v>
      </c>
      <c r="L389" t="s">
        <v>17</v>
      </c>
      <c r="M389">
        <v>5</v>
      </c>
      <c r="S389" t="str">
        <f t="shared" si="259"/>
        <v>Sand</v>
      </c>
      <c r="T389">
        <f t="shared" si="248"/>
        <v>1</v>
      </c>
      <c r="AA389">
        <v>80</v>
      </c>
      <c r="AB389" s="1">
        <f t="shared" si="255"/>
        <v>7</v>
      </c>
      <c r="AC389">
        <f t="shared" si="256"/>
        <v>3</v>
      </c>
      <c r="AD389" t="str">
        <f t="shared" si="249"/>
        <v/>
      </c>
      <c r="AG389" s="21" t="str">
        <f t="shared" si="265"/>
        <v/>
      </c>
      <c r="AI389" s="6" t="str">
        <f t="shared" si="266"/>
        <v/>
      </c>
      <c r="AM389" s="7" t="str">
        <f t="shared" si="267"/>
        <v/>
      </c>
      <c r="AQ389" s="8" t="str">
        <f t="shared" si="268"/>
        <v/>
      </c>
      <c r="AW389" s="25" t="str">
        <f t="shared" si="269"/>
        <v/>
      </c>
      <c r="AZ389" s="12" t="str">
        <f t="shared" si="270"/>
        <v/>
      </c>
      <c r="BI389" s="17" t="str">
        <f t="shared" si="271"/>
        <v/>
      </c>
      <c r="BM389" t="str">
        <f t="shared" si="272"/>
        <v>SPT Relationship</v>
      </c>
      <c r="BN389">
        <f t="shared" si="260"/>
        <v>111</v>
      </c>
      <c r="BO389" t="str">
        <f t="shared" si="273"/>
        <v>Wolff, 1989</v>
      </c>
      <c r="BP389">
        <f t="shared" si="257"/>
        <v>27</v>
      </c>
      <c r="BQ389" t="str">
        <f t="shared" si="274"/>
        <v/>
      </c>
      <c r="BR389" t="str">
        <f t="shared" si="250"/>
        <v/>
      </c>
      <c r="BS389" t="str">
        <f t="shared" si="275"/>
        <v/>
      </c>
      <c r="BT389" t="str">
        <f t="shared" si="258"/>
        <v/>
      </c>
      <c r="BU389" t="str">
        <f t="shared" si="276"/>
        <v/>
      </c>
      <c r="BV389" t="str">
        <f t="shared" si="251"/>
        <v/>
      </c>
      <c r="BW389" t="str">
        <f t="shared" si="277"/>
        <v/>
      </c>
      <c r="BX389" t="str">
        <f t="shared" si="252"/>
        <v/>
      </c>
      <c r="BY389" t="str">
        <f t="shared" si="278"/>
        <v/>
      </c>
      <c r="BZ389" t="str">
        <f t="shared" si="253"/>
        <v/>
      </c>
      <c r="CA389" t="str">
        <f t="shared" si="279"/>
        <v/>
      </c>
      <c r="CB389" t="str">
        <f t="shared" si="261"/>
        <v/>
      </c>
      <c r="CC389" t="str">
        <f t="shared" si="280"/>
        <v/>
      </c>
      <c r="CD389" t="str">
        <f t="shared" si="262"/>
        <v/>
      </c>
      <c r="CE389" t="str">
        <f t="shared" si="281"/>
        <v>Bowles 5th edition</v>
      </c>
      <c r="CF389">
        <f t="shared" si="263"/>
        <v>141</v>
      </c>
      <c r="CG389" t="str">
        <f t="shared" si="282"/>
        <v/>
      </c>
      <c r="CH389" t="str">
        <f t="shared" si="264"/>
        <v/>
      </c>
      <c r="CI389" t="str">
        <f t="shared" si="283"/>
        <v/>
      </c>
      <c r="CJ389" t="str">
        <f t="shared" si="254"/>
        <v/>
      </c>
    </row>
    <row r="390" spans="2:88" x14ac:dyDescent="0.3">
      <c r="B390" t="str">
        <f t="shared" si="246"/>
        <v>36.824442-76.07256</v>
      </c>
      <c r="C390" s="30" t="s">
        <v>124</v>
      </c>
      <c r="D390">
        <v>36.824441999999998</v>
      </c>
      <c r="E390">
        <v>-76.072559999999996</v>
      </c>
      <c r="F390">
        <v>5</v>
      </c>
      <c r="G390" t="str">
        <f t="shared" si="247"/>
        <v>-73-7536.824442-76.07256</v>
      </c>
      <c r="H390">
        <v>-73</v>
      </c>
      <c r="I390">
        <v>-75</v>
      </c>
      <c r="J390" s="30" t="s">
        <v>21</v>
      </c>
      <c r="L390" t="s">
        <v>113</v>
      </c>
      <c r="M390">
        <v>2</v>
      </c>
      <c r="S390" t="str">
        <f t="shared" si="259"/>
        <v>Clay</v>
      </c>
      <c r="T390">
        <f t="shared" si="248"/>
        <v>1</v>
      </c>
      <c r="AA390">
        <v>80</v>
      </c>
      <c r="AB390" s="1">
        <f t="shared" si="255"/>
        <v>3</v>
      </c>
      <c r="AC390">
        <f t="shared" si="256"/>
        <v>1</v>
      </c>
      <c r="AD390" t="str">
        <f t="shared" si="249"/>
        <v/>
      </c>
      <c r="AG390" s="21" t="str">
        <f t="shared" si="265"/>
        <v/>
      </c>
      <c r="AI390" s="6" t="str">
        <f t="shared" si="266"/>
        <v/>
      </c>
      <c r="AM390" s="7" t="str">
        <f t="shared" si="267"/>
        <v/>
      </c>
      <c r="AQ390" s="8" t="str">
        <f t="shared" si="268"/>
        <v/>
      </c>
      <c r="AW390" s="25" t="str">
        <f t="shared" si="269"/>
        <v/>
      </c>
      <c r="AZ390" s="12" t="str">
        <f t="shared" si="270"/>
        <v/>
      </c>
      <c r="BI390" s="17" t="str">
        <f t="shared" si="271"/>
        <v/>
      </c>
      <c r="BM390" t="str">
        <f t="shared" si="272"/>
        <v>SPT Relationship</v>
      </c>
      <c r="BN390">
        <f t="shared" si="260"/>
        <v>101</v>
      </c>
      <c r="BO390" t="str">
        <f t="shared" si="273"/>
        <v>Wolff, 1989</v>
      </c>
      <c r="BP390">
        <f t="shared" si="257"/>
        <v>27</v>
      </c>
      <c r="BQ390" t="str">
        <f t="shared" si="274"/>
        <v/>
      </c>
      <c r="BR390" t="str">
        <f t="shared" si="250"/>
        <v/>
      </c>
      <c r="BS390" t="str">
        <f t="shared" si="275"/>
        <v>Stroud 1974 (K=3.5)</v>
      </c>
      <c r="BT390">
        <f t="shared" si="258"/>
        <v>219</v>
      </c>
      <c r="BU390" t="str">
        <f t="shared" si="276"/>
        <v/>
      </c>
      <c r="BV390" t="str">
        <f t="shared" si="251"/>
        <v/>
      </c>
      <c r="BW390" t="str">
        <f t="shared" si="277"/>
        <v/>
      </c>
      <c r="BX390" t="str">
        <f t="shared" si="252"/>
        <v/>
      </c>
      <c r="BY390" t="str">
        <f t="shared" si="278"/>
        <v/>
      </c>
      <c r="BZ390" t="str">
        <f t="shared" si="253"/>
        <v/>
      </c>
      <c r="CA390" t="str">
        <f t="shared" si="279"/>
        <v/>
      </c>
      <c r="CB390" t="str">
        <f t="shared" si="261"/>
        <v/>
      </c>
      <c r="CC390" t="str">
        <f t="shared" si="280"/>
        <v/>
      </c>
      <c r="CD390" t="str">
        <f t="shared" si="262"/>
        <v/>
      </c>
      <c r="CE390" t="str">
        <f t="shared" si="281"/>
        <v/>
      </c>
      <c r="CF390" t="str">
        <f t="shared" si="263"/>
        <v/>
      </c>
      <c r="CG390" t="str">
        <f t="shared" si="282"/>
        <v/>
      </c>
      <c r="CH390" t="str">
        <f t="shared" si="264"/>
        <v/>
      </c>
      <c r="CI390" t="str">
        <f t="shared" si="283"/>
        <v/>
      </c>
      <c r="CJ390" t="str">
        <f t="shared" si="254"/>
        <v/>
      </c>
    </row>
    <row r="391" spans="2:88" x14ac:dyDescent="0.3">
      <c r="B391" t="str">
        <f t="shared" si="246"/>
        <v>36.824442-76.07256</v>
      </c>
      <c r="C391" s="30" t="s">
        <v>124</v>
      </c>
      <c r="D391">
        <v>36.824441999999998</v>
      </c>
      <c r="E391">
        <v>-76.072559999999996</v>
      </c>
      <c r="F391">
        <v>5</v>
      </c>
      <c r="G391" t="str">
        <f t="shared" si="247"/>
        <v>-75-7736.824442-76.07256</v>
      </c>
      <c r="H391">
        <v>-75</v>
      </c>
      <c r="I391">
        <v>-77</v>
      </c>
      <c r="J391" s="30" t="s">
        <v>49</v>
      </c>
      <c r="L391" t="s">
        <v>113</v>
      </c>
      <c r="M391" t="s">
        <v>148</v>
      </c>
      <c r="S391" t="str">
        <f t="shared" si="259"/>
        <v>Clay</v>
      </c>
      <c r="T391">
        <f t="shared" si="248"/>
        <v>1</v>
      </c>
      <c r="AA391">
        <v>80</v>
      </c>
      <c r="AB391" s="1" t="str">
        <f t="shared" si="255"/>
        <v/>
      </c>
      <c r="AC391" t="str">
        <f t="shared" si="256"/>
        <v/>
      </c>
      <c r="AD391" t="str">
        <f t="shared" si="249"/>
        <v/>
      </c>
      <c r="AG391" s="21" t="str">
        <f t="shared" si="265"/>
        <v/>
      </c>
      <c r="AI391" s="6" t="str">
        <f t="shared" si="266"/>
        <v/>
      </c>
      <c r="AM391" s="7" t="str">
        <f t="shared" si="267"/>
        <v/>
      </c>
      <c r="AQ391" s="8" t="str">
        <f t="shared" si="268"/>
        <v/>
      </c>
      <c r="AW391" s="25" t="str">
        <f t="shared" si="269"/>
        <v/>
      </c>
      <c r="AZ391" s="12" t="str">
        <f t="shared" si="270"/>
        <v/>
      </c>
      <c r="BI391" s="17" t="str">
        <f t="shared" si="271"/>
        <v/>
      </c>
      <c r="BM391" t="str">
        <f t="shared" si="272"/>
        <v/>
      </c>
      <c r="BN391" t="str">
        <f t="shared" si="260"/>
        <v/>
      </c>
      <c r="BO391" t="str">
        <f t="shared" si="273"/>
        <v/>
      </c>
      <c r="BP391" t="str">
        <f t="shared" si="257"/>
        <v/>
      </c>
      <c r="BQ391" t="str">
        <f t="shared" si="274"/>
        <v/>
      </c>
      <c r="BR391" t="str">
        <f t="shared" si="250"/>
        <v/>
      </c>
      <c r="BS391" t="str">
        <f t="shared" si="275"/>
        <v/>
      </c>
      <c r="BT391" t="str">
        <f t="shared" si="258"/>
        <v/>
      </c>
      <c r="BU391" t="str">
        <f t="shared" si="276"/>
        <v/>
      </c>
      <c r="BV391" t="str">
        <f t="shared" si="251"/>
        <v/>
      </c>
      <c r="BW391" t="str">
        <f t="shared" si="277"/>
        <v/>
      </c>
      <c r="BX391" t="str">
        <f t="shared" si="252"/>
        <v/>
      </c>
      <c r="BY391" t="str">
        <f t="shared" si="278"/>
        <v/>
      </c>
      <c r="BZ391" t="str">
        <f t="shared" si="253"/>
        <v/>
      </c>
      <c r="CA391" t="str">
        <f t="shared" si="279"/>
        <v/>
      </c>
      <c r="CB391" t="str">
        <f t="shared" si="261"/>
        <v/>
      </c>
      <c r="CC391" t="str">
        <f t="shared" si="280"/>
        <v/>
      </c>
      <c r="CD391" t="str">
        <f t="shared" si="262"/>
        <v/>
      </c>
      <c r="CE391" t="str">
        <f t="shared" si="281"/>
        <v/>
      </c>
      <c r="CF391" t="str">
        <f t="shared" si="263"/>
        <v/>
      </c>
      <c r="CG391" t="str">
        <f t="shared" si="282"/>
        <v/>
      </c>
      <c r="CH391" t="str">
        <f t="shared" si="264"/>
        <v/>
      </c>
      <c r="CI391" t="str">
        <f t="shared" si="283"/>
        <v/>
      </c>
      <c r="CJ391" t="str">
        <f t="shared" si="254"/>
        <v/>
      </c>
    </row>
    <row r="392" spans="2:88" x14ac:dyDescent="0.3">
      <c r="B392" t="str">
        <f t="shared" si="246"/>
        <v>36.824442-76.07256</v>
      </c>
      <c r="C392" s="30" t="s">
        <v>124</v>
      </c>
      <c r="D392">
        <v>36.824441999999998</v>
      </c>
      <c r="E392">
        <v>-76.072559999999996</v>
      </c>
      <c r="F392">
        <v>5</v>
      </c>
      <c r="G392" t="str">
        <f t="shared" si="247"/>
        <v>-77-7936.824442-76.07256</v>
      </c>
      <c r="H392">
        <v>-77</v>
      </c>
      <c r="I392">
        <v>-79</v>
      </c>
      <c r="J392" s="30" t="s">
        <v>21</v>
      </c>
      <c r="L392" t="s">
        <v>113</v>
      </c>
      <c r="M392">
        <v>1</v>
      </c>
      <c r="S392" t="str">
        <f t="shared" si="259"/>
        <v>Clay</v>
      </c>
      <c r="T392">
        <f t="shared" si="248"/>
        <v>1</v>
      </c>
      <c r="AA392">
        <v>80</v>
      </c>
      <c r="AB392" s="1">
        <f t="shared" si="255"/>
        <v>1</v>
      </c>
      <c r="AC392">
        <f t="shared" si="256"/>
        <v>0</v>
      </c>
      <c r="AD392" t="str">
        <f t="shared" si="249"/>
        <v/>
      </c>
      <c r="AG392" s="21" t="str">
        <f t="shared" si="265"/>
        <v/>
      </c>
      <c r="AI392" s="6" t="str">
        <f t="shared" si="266"/>
        <v/>
      </c>
      <c r="AM392" s="7" t="str">
        <f t="shared" si="267"/>
        <v/>
      </c>
      <c r="AQ392" s="8" t="str">
        <f t="shared" si="268"/>
        <v/>
      </c>
      <c r="AW392" s="25" t="str">
        <f t="shared" si="269"/>
        <v/>
      </c>
      <c r="AZ392" s="12" t="str">
        <f t="shared" si="270"/>
        <v/>
      </c>
      <c r="BI392" s="17" t="str">
        <f t="shared" si="271"/>
        <v/>
      </c>
      <c r="BM392" t="str">
        <f t="shared" si="272"/>
        <v>SPT Relationship</v>
      </c>
      <c r="BN392">
        <f t="shared" si="260"/>
        <v>95</v>
      </c>
      <c r="BO392" t="str">
        <f t="shared" si="273"/>
        <v>Wolff, 1989</v>
      </c>
      <c r="BP392">
        <f t="shared" si="257"/>
        <v>27</v>
      </c>
      <c r="BQ392" t="str">
        <f t="shared" si="274"/>
        <v/>
      </c>
      <c r="BR392" t="str">
        <f t="shared" si="250"/>
        <v/>
      </c>
      <c r="BS392" t="str">
        <f t="shared" si="275"/>
        <v>Stroud 1974 (K=3.5)</v>
      </c>
      <c r="BT392">
        <f t="shared" si="258"/>
        <v>73</v>
      </c>
      <c r="BU392" t="str">
        <f t="shared" si="276"/>
        <v/>
      </c>
      <c r="BV392" t="str">
        <f t="shared" si="251"/>
        <v/>
      </c>
      <c r="BW392" t="str">
        <f t="shared" si="277"/>
        <v/>
      </c>
      <c r="BX392" t="str">
        <f t="shared" si="252"/>
        <v/>
      </c>
      <c r="BY392" t="str">
        <f t="shared" si="278"/>
        <v/>
      </c>
      <c r="BZ392" t="str">
        <f t="shared" si="253"/>
        <v/>
      </c>
      <c r="CA392" t="str">
        <f t="shared" si="279"/>
        <v/>
      </c>
      <c r="CB392" t="str">
        <f t="shared" si="261"/>
        <v/>
      </c>
      <c r="CC392" t="str">
        <f t="shared" si="280"/>
        <v/>
      </c>
      <c r="CD392" t="str">
        <f t="shared" si="262"/>
        <v/>
      </c>
      <c r="CE392" t="str">
        <f t="shared" si="281"/>
        <v/>
      </c>
      <c r="CF392" t="str">
        <f t="shared" si="263"/>
        <v/>
      </c>
      <c r="CG392" t="str">
        <f t="shared" si="282"/>
        <v/>
      </c>
      <c r="CH392" t="str">
        <f t="shared" si="264"/>
        <v/>
      </c>
      <c r="CI392" t="str">
        <f t="shared" si="283"/>
        <v/>
      </c>
      <c r="CJ392" t="str">
        <f t="shared" si="254"/>
        <v/>
      </c>
    </row>
    <row r="393" spans="2:88" x14ac:dyDescent="0.3">
      <c r="B393" t="str">
        <f t="shared" ref="B393:B456" si="284">""&amp;D393&amp;""&amp;E393</f>
        <v>36.824442-76.07256</v>
      </c>
      <c r="C393" s="30" t="s">
        <v>124</v>
      </c>
      <c r="D393">
        <v>36.824441999999998</v>
      </c>
      <c r="E393">
        <v>-76.072559999999996</v>
      </c>
      <c r="F393">
        <v>5</v>
      </c>
      <c r="G393" t="str">
        <f t="shared" ref="G393:G456" si="285">""&amp;H393&amp;""&amp;I393&amp;""&amp;D393&amp;""&amp;E393</f>
        <v>-83-8536.824442-76.07256</v>
      </c>
      <c r="H393">
        <v>-83</v>
      </c>
      <c r="I393">
        <v>-85</v>
      </c>
      <c r="J393" s="30" t="s">
        <v>21</v>
      </c>
      <c r="L393" t="s">
        <v>113</v>
      </c>
      <c r="M393">
        <v>0</v>
      </c>
      <c r="S393" t="str">
        <f t="shared" si="259"/>
        <v>Clay</v>
      </c>
      <c r="T393">
        <f t="shared" ref="T393:T456" si="286">IF(OR(Q393&lt;&gt;"",R393&lt;&gt;""),2,1)</f>
        <v>1</v>
      </c>
      <c r="AA393">
        <v>80</v>
      </c>
      <c r="AB393" s="1">
        <f t="shared" si="255"/>
        <v>0</v>
      </c>
      <c r="AC393">
        <f t="shared" si="256"/>
        <v>0</v>
      </c>
      <c r="AD393" t="str">
        <f t="shared" ref="AD393:AD456" si="287">IF(OR(N393="",O393=""),"",(N393-O393)/(P393-O393))</f>
        <v/>
      </c>
      <c r="AG393" s="21" t="str">
        <f t="shared" si="265"/>
        <v/>
      </c>
      <c r="AI393" s="6" t="str">
        <f t="shared" si="266"/>
        <v/>
      </c>
      <c r="AM393" s="7" t="str">
        <f t="shared" si="267"/>
        <v/>
      </c>
      <c r="AQ393" s="8" t="str">
        <f t="shared" si="268"/>
        <v/>
      </c>
      <c r="AW393" s="25" t="str">
        <f t="shared" si="269"/>
        <v/>
      </c>
      <c r="AZ393" s="12" t="str">
        <f t="shared" si="270"/>
        <v/>
      </c>
      <c r="BI393" s="17" t="str">
        <f t="shared" si="271"/>
        <v/>
      </c>
      <c r="BM393" t="str">
        <f t="shared" si="272"/>
        <v>SPT Relationship</v>
      </c>
      <c r="BN393">
        <f t="shared" si="260"/>
        <v>95</v>
      </c>
      <c r="BO393" t="str">
        <f t="shared" si="273"/>
        <v>Wolff, 1989</v>
      </c>
      <c r="BP393">
        <f t="shared" si="257"/>
        <v>27</v>
      </c>
      <c r="BQ393" t="str">
        <f t="shared" si="274"/>
        <v/>
      </c>
      <c r="BR393" t="str">
        <f t="shared" ref="BR393:BR456" si="288">IF(P393="","",ROUNDDOWN(28-0.1533*P393+0.000564*P393^2-0.0000008414*P393^3,0))</f>
        <v/>
      </c>
      <c r="BS393" t="str">
        <f t="shared" si="275"/>
        <v>Stroud 1974 (K=3.5)</v>
      </c>
      <c r="BT393">
        <f t="shared" si="258"/>
        <v>0</v>
      </c>
      <c r="BU393" t="str">
        <f t="shared" si="276"/>
        <v/>
      </c>
      <c r="BV393" t="str">
        <f t="shared" ref="BV393:BV456" si="289">IF(Q393="","",ROUND(Q393/74,3))</f>
        <v/>
      </c>
      <c r="BW393" t="str">
        <f t="shared" si="277"/>
        <v/>
      </c>
      <c r="BX393" t="str">
        <f t="shared" ref="BX393:BX456" si="290">IF(Q393="","",ROUND(Q393/370,3))</f>
        <v/>
      </c>
      <c r="BY393" t="str">
        <f t="shared" si="278"/>
        <v/>
      </c>
      <c r="BZ393" t="str">
        <f t="shared" ref="BZ393:BZ456" si="291">IF(BV393="","",ROUND(0.03*BV393,4))</f>
        <v/>
      </c>
      <c r="CA393" t="str">
        <f t="shared" si="279"/>
        <v/>
      </c>
      <c r="CB393" t="str">
        <f t="shared" si="261"/>
        <v/>
      </c>
      <c r="CC393" t="str">
        <f t="shared" si="280"/>
        <v/>
      </c>
      <c r="CD393" t="str">
        <f t="shared" si="262"/>
        <v/>
      </c>
      <c r="CE393" t="str">
        <f t="shared" si="281"/>
        <v/>
      </c>
      <c r="CF393" t="str">
        <f t="shared" si="263"/>
        <v/>
      </c>
      <c r="CG393" t="str">
        <f t="shared" si="282"/>
        <v/>
      </c>
      <c r="CH393" t="str">
        <f t="shared" si="264"/>
        <v/>
      </c>
      <c r="CI393" t="str">
        <f t="shared" si="283"/>
        <v/>
      </c>
      <c r="CJ393" t="str">
        <f t="shared" ref="CJ393:CJ456" si="292">IF(OR(S393="Clay",X393=""),"",1.5*X393^2)</f>
        <v/>
      </c>
    </row>
    <row r="394" spans="2:88" x14ac:dyDescent="0.3">
      <c r="B394" t="str">
        <f t="shared" si="284"/>
        <v>36.824442-76.07256</v>
      </c>
      <c r="C394" s="30" t="s">
        <v>124</v>
      </c>
      <c r="D394">
        <v>36.824441999999998</v>
      </c>
      <c r="E394">
        <v>-76.072559999999996</v>
      </c>
      <c r="F394">
        <v>5</v>
      </c>
      <c r="G394" t="str">
        <f t="shared" si="285"/>
        <v>-88-9036.824442-76.07256</v>
      </c>
      <c r="H394">
        <v>-88</v>
      </c>
      <c r="I394">
        <v>-90</v>
      </c>
      <c r="J394" s="30" t="s">
        <v>21</v>
      </c>
      <c r="L394" t="s">
        <v>17</v>
      </c>
      <c r="M394">
        <v>0</v>
      </c>
      <c r="S394" t="str">
        <f t="shared" si="259"/>
        <v>Sand</v>
      </c>
      <c r="T394">
        <f t="shared" si="286"/>
        <v>1</v>
      </c>
      <c r="AA394">
        <v>80</v>
      </c>
      <c r="AB394" s="1">
        <f t="shared" si="255"/>
        <v>0</v>
      </c>
      <c r="AC394">
        <f t="shared" si="256"/>
        <v>0</v>
      </c>
      <c r="AD394" t="str">
        <f t="shared" si="287"/>
        <v/>
      </c>
      <c r="AG394" s="21" t="str">
        <f t="shared" si="265"/>
        <v/>
      </c>
      <c r="AI394" s="6" t="str">
        <f t="shared" si="266"/>
        <v/>
      </c>
      <c r="AM394" s="7" t="str">
        <f t="shared" si="267"/>
        <v/>
      </c>
      <c r="AQ394" s="8" t="str">
        <f t="shared" si="268"/>
        <v/>
      </c>
      <c r="AW394" s="25" t="str">
        <f t="shared" si="269"/>
        <v/>
      </c>
      <c r="AZ394" s="12" t="str">
        <f t="shared" si="270"/>
        <v/>
      </c>
      <c r="BI394" s="17" t="str">
        <f t="shared" si="271"/>
        <v/>
      </c>
      <c r="BM394" t="str">
        <f t="shared" si="272"/>
        <v>SPT Relationship</v>
      </c>
      <c r="BN394">
        <f t="shared" si="260"/>
        <v>95</v>
      </c>
      <c r="BO394" t="str">
        <f t="shared" si="273"/>
        <v>Wolff, 1989</v>
      </c>
      <c r="BP394">
        <f t="shared" si="257"/>
        <v>27</v>
      </c>
      <c r="BQ394" t="str">
        <f t="shared" si="274"/>
        <v/>
      </c>
      <c r="BR394" t="str">
        <f t="shared" si="288"/>
        <v/>
      </c>
      <c r="BS394" t="str">
        <f t="shared" si="275"/>
        <v/>
      </c>
      <c r="BT394" t="str">
        <f t="shared" si="258"/>
        <v/>
      </c>
      <c r="BU394" t="str">
        <f t="shared" si="276"/>
        <v/>
      </c>
      <c r="BV394" t="str">
        <f t="shared" si="289"/>
        <v/>
      </c>
      <c r="BW394" t="str">
        <f t="shared" si="277"/>
        <v/>
      </c>
      <c r="BX394" t="str">
        <f t="shared" si="290"/>
        <v/>
      </c>
      <c r="BY394" t="str">
        <f t="shared" si="278"/>
        <v/>
      </c>
      <c r="BZ394" t="str">
        <f t="shared" si="291"/>
        <v/>
      </c>
      <c r="CA394" t="str">
        <f t="shared" si="279"/>
        <v/>
      </c>
      <c r="CB394" t="str">
        <f t="shared" si="261"/>
        <v/>
      </c>
      <c r="CC394" t="str">
        <f t="shared" si="280"/>
        <v/>
      </c>
      <c r="CD394" t="str">
        <f t="shared" si="262"/>
        <v/>
      </c>
      <c r="CE394" t="str">
        <f t="shared" si="281"/>
        <v>Bowles 5th edition</v>
      </c>
      <c r="CF394">
        <f t="shared" si="263"/>
        <v>96</v>
      </c>
      <c r="CG394" t="str">
        <f t="shared" si="282"/>
        <v/>
      </c>
      <c r="CH394" t="str">
        <f t="shared" si="264"/>
        <v/>
      </c>
      <c r="CI394" t="str">
        <f t="shared" si="283"/>
        <v/>
      </c>
      <c r="CJ394" t="str">
        <f t="shared" si="292"/>
        <v/>
      </c>
    </row>
    <row r="395" spans="2:88" x14ac:dyDescent="0.3">
      <c r="B395" t="str">
        <f t="shared" si="284"/>
        <v>36.824442-76.07256</v>
      </c>
      <c r="C395" s="30" t="s">
        <v>124</v>
      </c>
      <c r="D395">
        <v>36.824441999999998</v>
      </c>
      <c r="E395">
        <v>-76.072559999999996</v>
      </c>
      <c r="F395">
        <v>5</v>
      </c>
      <c r="G395" t="str">
        <f t="shared" si="285"/>
        <v>-93-9536.824442-76.07256</v>
      </c>
      <c r="H395">
        <v>-93</v>
      </c>
      <c r="I395">
        <v>-95</v>
      </c>
      <c r="J395" s="30" t="s">
        <v>21</v>
      </c>
      <c r="L395" t="s">
        <v>16</v>
      </c>
      <c r="M395">
        <v>19</v>
      </c>
      <c r="S395" t="str">
        <f t="shared" si="259"/>
        <v>Sand</v>
      </c>
      <c r="T395">
        <f t="shared" si="286"/>
        <v>1</v>
      </c>
      <c r="AA395">
        <v>80</v>
      </c>
      <c r="AB395" s="1">
        <f t="shared" si="255"/>
        <v>25</v>
      </c>
      <c r="AC395">
        <f t="shared" si="256"/>
        <v>10</v>
      </c>
      <c r="AD395" t="str">
        <f t="shared" si="287"/>
        <v/>
      </c>
      <c r="AG395" s="21" t="str">
        <f t="shared" si="265"/>
        <v/>
      </c>
      <c r="AI395" s="6" t="str">
        <f t="shared" si="266"/>
        <v/>
      </c>
      <c r="AM395" s="7" t="str">
        <f t="shared" si="267"/>
        <v/>
      </c>
      <c r="AQ395" s="8" t="str">
        <f t="shared" si="268"/>
        <v/>
      </c>
      <c r="AW395" s="25" t="str">
        <f t="shared" si="269"/>
        <v/>
      </c>
      <c r="AZ395" s="12" t="str">
        <f t="shared" si="270"/>
        <v/>
      </c>
      <c r="BI395" s="17" t="str">
        <f t="shared" si="271"/>
        <v/>
      </c>
      <c r="BM395" t="str">
        <f t="shared" si="272"/>
        <v>SPT Relationship</v>
      </c>
      <c r="BN395">
        <f t="shared" si="260"/>
        <v>126</v>
      </c>
      <c r="BO395" t="str">
        <f t="shared" si="273"/>
        <v>Wolff, 1989</v>
      </c>
      <c r="BP395">
        <f t="shared" si="257"/>
        <v>30</v>
      </c>
      <c r="BQ395" t="str">
        <f t="shared" si="274"/>
        <v/>
      </c>
      <c r="BR395" t="str">
        <f t="shared" si="288"/>
        <v/>
      </c>
      <c r="BS395" t="str">
        <f t="shared" si="275"/>
        <v/>
      </c>
      <c r="BT395" t="str">
        <f t="shared" si="258"/>
        <v/>
      </c>
      <c r="BU395" t="str">
        <f t="shared" si="276"/>
        <v/>
      </c>
      <c r="BV395" t="str">
        <f t="shared" si="289"/>
        <v/>
      </c>
      <c r="BW395" t="str">
        <f t="shared" si="277"/>
        <v/>
      </c>
      <c r="BX395" t="str">
        <f t="shared" si="290"/>
        <v/>
      </c>
      <c r="BY395" t="str">
        <f t="shared" si="278"/>
        <v/>
      </c>
      <c r="BZ395" t="str">
        <f t="shared" si="291"/>
        <v/>
      </c>
      <c r="CA395" t="str">
        <f t="shared" si="279"/>
        <v/>
      </c>
      <c r="CB395" t="str">
        <f t="shared" si="261"/>
        <v/>
      </c>
      <c r="CC395" t="str">
        <f t="shared" si="280"/>
        <v/>
      </c>
      <c r="CD395" t="str">
        <f t="shared" si="262"/>
        <v/>
      </c>
      <c r="CE395" t="str">
        <f t="shared" si="281"/>
        <v>Bowles 5th edition</v>
      </c>
      <c r="CF395">
        <f t="shared" si="263"/>
        <v>256</v>
      </c>
      <c r="CG395" t="str">
        <f t="shared" si="282"/>
        <v/>
      </c>
      <c r="CH395" t="str">
        <f t="shared" si="264"/>
        <v/>
      </c>
      <c r="CI395" t="str">
        <f t="shared" si="283"/>
        <v/>
      </c>
      <c r="CJ395" t="str">
        <f t="shared" si="292"/>
        <v/>
      </c>
    </row>
    <row r="396" spans="2:88" x14ac:dyDescent="0.3">
      <c r="B396" t="str">
        <f t="shared" si="284"/>
        <v>36.832889-76.128371</v>
      </c>
      <c r="C396" s="30" t="s">
        <v>125</v>
      </c>
      <c r="D396">
        <v>36.832889000000002</v>
      </c>
      <c r="E396">
        <v>-76.128371000000001</v>
      </c>
      <c r="F396">
        <v>5</v>
      </c>
      <c r="G396" t="str">
        <f t="shared" si="285"/>
        <v>5336.832889-76.128371</v>
      </c>
      <c r="H396">
        <v>5</v>
      </c>
      <c r="I396">
        <v>3</v>
      </c>
      <c r="J396" s="30" t="s">
        <v>21</v>
      </c>
      <c r="L396" t="s">
        <v>16</v>
      </c>
      <c r="M396">
        <v>37</v>
      </c>
      <c r="S396" t="str">
        <f t="shared" si="259"/>
        <v>Sand</v>
      </c>
      <c r="T396">
        <f t="shared" si="286"/>
        <v>1</v>
      </c>
      <c r="AA396">
        <v>80</v>
      </c>
      <c r="AB396" s="1">
        <f t="shared" si="255"/>
        <v>49</v>
      </c>
      <c r="AC396">
        <f t="shared" si="256"/>
        <v>150</v>
      </c>
      <c r="AD396" t="str">
        <f t="shared" si="287"/>
        <v/>
      </c>
      <c r="AG396" s="21" t="str">
        <f t="shared" si="265"/>
        <v/>
      </c>
      <c r="AI396" s="6" t="str">
        <f t="shared" si="266"/>
        <v/>
      </c>
      <c r="AM396" s="7" t="str">
        <f t="shared" si="267"/>
        <v/>
      </c>
      <c r="AQ396" s="8" t="str">
        <f t="shared" si="268"/>
        <v/>
      </c>
      <c r="AW396" s="25" t="str">
        <f t="shared" si="269"/>
        <v/>
      </c>
      <c r="AZ396" s="12" t="str">
        <f t="shared" si="270"/>
        <v/>
      </c>
      <c r="BI396" s="17" t="str">
        <f t="shared" si="271"/>
        <v/>
      </c>
      <c r="BM396" t="str">
        <f t="shared" si="272"/>
        <v>SPT Relationship</v>
      </c>
      <c r="BN396">
        <f t="shared" si="260"/>
        <v>134</v>
      </c>
      <c r="BO396" t="str">
        <f t="shared" si="273"/>
        <v>Wolff, 1989</v>
      </c>
      <c r="BP396">
        <f t="shared" si="257"/>
        <v>59</v>
      </c>
      <c r="BQ396" t="str">
        <f t="shared" si="274"/>
        <v/>
      </c>
      <c r="BR396" t="str">
        <f t="shared" si="288"/>
        <v/>
      </c>
      <c r="BS396" t="str">
        <f t="shared" si="275"/>
        <v/>
      </c>
      <c r="BT396" t="str">
        <f t="shared" si="258"/>
        <v/>
      </c>
      <c r="BU396" t="str">
        <f t="shared" si="276"/>
        <v/>
      </c>
      <c r="BV396" t="str">
        <f t="shared" si="289"/>
        <v/>
      </c>
      <c r="BW396" t="str">
        <f t="shared" si="277"/>
        <v/>
      </c>
      <c r="BX396" t="str">
        <f t="shared" si="290"/>
        <v/>
      </c>
      <c r="BY396" t="str">
        <f t="shared" si="278"/>
        <v/>
      </c>
      <c r="BZ396" t="str">
        <f t="shared" si="291"/>
        <v/>
      </c>
      <c r="CA396" t="str">
        <f t="shared" si="279"/>
        <v/>
      </c>
      <c r="CB396" t="str">
        <f t="shared" si="261"/>
        <v/>
      </c>
      <c r="CC396" t="str">
        <f t="shared" si="280"/>
        <v/>
      </c>
      <c r="CD396" t="str">
        <f t="shared" si="262"/>
        <v/>
      </c>
      <c r="CE396" t="str">
        <f t="shared" si="281"/>
        <v>Bowles 5th edition</v>
      </c>
      <c r="CF396">
        <f t="shared" si="263"/>
        <v>410</v>
      </c>
      <c r="CG396" t="str">
        <f t="shared" si="282"/>
        <v/>
      </c>
      <c r="CH396" t="str">
        <f t="shared" si="264"/>
        <v/>
      </c>
      <c r="CI396" t="str">
        <f t="shared" si="283"/>
        <v/>
      </c>
      <c r="CJ396" t="str">
        <f t="shared" si="292"/>
        <v/>
      </c>
    </row>
    <row r="397" spans="2:88" x14ac:dyDescent="0.3">
      <c r="B397" t="str">
        <f t="shared" si="284"/>
        <v>36.832889-76.128371</v>
      </c>
      <c r="C397" s="30" t="s">
        <v>125</v>
      </c>
      <c r="D397">
        <v>36.832889000000002</v>
      </c>
      <c r="E397">
        <v>-76.128371000000001</v>
      </c>
      <c r="F397">
        <v>5</v>
      </c>
      <c r="G397" t="str">
        <f t="shared" si="285"/>
        <v>3136.832889-76.128371</v>
      </c>
      <c r="H397">
        <v>3</v>
      </c>
      <c r="I397">
        <v>1</v>
      </c>
      <c r="J397" s="30" t="s">
        <v>21</v>
      </c>
      <c r="L397" t="s">
        <v>16</v>
      </c>
      <c r="M397">
        <v>34</v>
      </c>
      <c r="S397" t="str">
        <f t="shared" si="259"/>
        <v>Sand</v>
      </c>
      <c r="T397">
        <f t="shared" si="286"/>
        <v>1</v>
      </c>
      <c r="AA397">
        <v>80</v>
      </c>
      <c r="AB397" s="1">
        <f t="shared" si="255"/>
        <v>45</v>
      </c>
      <c r="AC397">
        <f t="shared" si="256"/>
        <v>98</v>
      </c>
      <c r="AD397" t="str">
        <f t="shared" si="287"/>
        <v/>
      </c>
      <c r="AG397" s="21" t="str">
        <f t="shared" si="265"/>
        <v/>
      </c>
      <c r="AI397" s="6" t="str">
        <f t="shared" si="266"/>
        <v/>
      </c>
      <c r="AM397" s="7" t="str">
        <f t="shared" si="267"/>
        <v/>
      </c>
      <c r="AQ397" s="8" t="str">
        <f t="shared" si="268"/>
        <v/>
      </c>
      <c r="AW397" s="25" t="str">
        <f t="shared" si="269"/>
        <v/>
      </c>
      <c r="AZ397" s="12" t="str">
        <f t="shared" si="270"/>
        <v/>
      </c>
      <c r="BI397" s="17" t="str">
        <f t="shared" si="271"/>
        <v/>
      </c>
      <c r="BM397" t="str">
        <f t="shared" si="272"/>
        <v>SPT Relationship</v>
      </c>
      <c r="BN397">
        <f t="shared" si="260"/>
        <v>133</v>
      </c>
      <c r="BO397" t="str">
        <f t="shared" si="273"/>
        <v>Wolff, 1989</v>
      </c>
      <c r="BP397">
        <f t="shared" si="257"/>
        <v>51</v>
      </c>
      <c r="BQ397" t="str">
        <f t="shared" si="274"/>
        <v/>
      </c>
      <c r="BR397" t="str">
        <f t="shared" si="288"/>
        <v/>
      </c>
      <c r="BS397" t="str">
        <f t="shared" si="275"/>
        <v/>
      </c>
      <c r="BT397" t="str">
        <f t="shared" si="258"/>
        <v/>
      </c>
      <c r="BU397" t="str">
        <f t="shared" si="276"/>
        <v/>
      </c>
      <c r="BV397" t="str">
        <f t="shared" si="289"/>
        <v/>
      </c>
      <c r="BW397" t="str">
        <f t="shared" si="277"/>
        <v/>
      </c>
      <c r="BX397" t="str">
        <f t="shared" si="290"/>
        <v/>
      </c>
      <c r="BY397" t="str">
        <f t="shared" si="278"/>
        <v/>
      </c>
      <c r="BZ397" t="str">
        <f t="shared" si="291"/>
        <v/>
      </c>
      <c r="CA397" t="str">
        <f t="shared" si="279"/>
        <v/>
      </c>
      <c r="CB397" t="str">
        <f t="shared" si="261"/>
        <v/>
      </c>
      <c r="CC397" t="str">
        <f t="shared" si="280"/>
        <v/>
      </c>
      <c r="CD397" t="str">
        <f t="shared" si="262"/>
        <v/>
      </c>
      <c r="CE397" t="str">
        <f t="shared" si="281"/>
        <v>Bowles 5th edition</v>
      </c>
      <c r="CF397">
        <f t="shared" si="263"/>
        <v>384</v>
      </c>
      <c r="CG397" t="str">
        <f t="shared" si="282"/>
        <v/>
      </c>
      <c r="CH397" t="str">
        <f t="shared" si="264"/>
        <v/>
      </c>
      <c r="CI397" t="str">
        <f t="shared" si="283"/>
        <v/>
      </c>
      <c r="CJ397" t="str">
        <f t="shared" si="292"/>
        <v/>
      </c>
    </row>
    <row r="398" spans="2:88" x14ac:dyDescent="0.3">
      <c r="B398" t="str">
        <f t="shared" si="284"/>
        <v>36.832889-76.128371</v>
      </c>
      <c r="C398" s="30" t="s">
        <v>125</v>
      </c>
      <c r="D398">
        <v>36.832889000000002</v>
      </c>
      <c r="E398">
        <v>-76.128371000000001</v>
      </c>
      <c r="F398">
        <v>5</v>
      </c>
      <c r="G398" t="str">
        <f t="shared" si="285"/>
        <v>1-136.832889-76.128371</v>
      </c>
      <c r="H398">
        <v>1</v>
      </c>
      <c r="I398">
        <v>-1</v>
      </c>
      <c r="J398" s="30" t="s">
        <v>21</v>
      </c>
      <c r="L398" t="s">
        <v>11</v>
      </c>
      <c r="M398">
        <v>18</v>
      </c>
      <c r="S398" t="str">
        <f t="shared" si="259"/>
        <v>Clay</v>
      </c>
      <c r="T398">
        <f t="shared" si="286"/>
        <v>1</v>
      </c>
      <c r="AA398">
        <v>80</v>
      </c>
      <c r="AB398" s="1">
        <f t="shared" si="255"/>
        <v>24</v>
      </c>
      <c r="AC398">
        <f t="shared" si="256"/>
        <v>42</v>
      </c>
      <c r="AD398" t="str">
        <f t="shared" si="287"/>
        <v/>
      </c>
      <c r="AG398" s="21" t="str">
        <f t="shared" si="265"/>
        <v/>
      </c>
      <c r="AI398" s="6" t="str">
        <f t="shared" si="266"/>
        <v/>
      </c>
      <c r="AM398" s="7" t="str">
        <f t="shared" si="267"/>
        <v/>
      </c>
      <c r="AQ398" s="8" t="str">
        <f t="shared" si="268"/>
        <v/>
      </c>
      <c r="AW398" s="25" t="str">
        <f t="shared" si="269"/>
        <v/>
      </c>
      <c r="AZ398" s="12" t="str">
        <f t="shared" si="270"/>
        <v/>
      </c>
      <c r="BI398" s="17" t="str">
        <f t="shared" si="271"/>
        <v/>
      </c>
      <c r="BM398" t="str">
        <f t="shared" si="272"/>
        <v>SPT Relationship</v>
      </c>
      <c r="BN398">
        <f t="shared" si="260"/>
        <v>125</v>
      </c>
      <c r="BO398" t="str">
        <f t="shared" si="273"/>
        <v>Wolff, 1989</v>
      </c>
      <c r="BP398">
        <f t="shared" si="257"/>
        <v>38</v>
      </c>
      <c r="BQ398" t="str">
        <f t="shared" si="274"/>
        <v/>
      </c>
      <c r="BR398" t="str">
        <f t="shared" si="288"/>
        <v/>
      </c>
      <c r="BS398" t="str">
        <f t="shared" si="275"/>
        <v>Stroud 1974 (K=3.5)</v>
      </c>
      <c r="BT398">
        <f t="shared" si="258"/>
        <v>1754</v>
      </c>
      <c r="BU398" t="str">
        <f t="shared" si="276"/>
        <v/>
      </c>
      <c r="BV398" t="str">
        <f t="shared" si="289"/>
        <v/>
      </c>
      <c r="BW398" t="str">
        <f t="shared" si="277"/>
        <v/>
      </c>
      <c r="BX398" t="str">
        <f t="shared" si="290"/>
        <v/>
      </c>
      <c r="BY398" t="str">
        <f t="shared" si="278"/>
        <v/>
      </c>
      <c r="BZ398" t="str">
        <f t="shared" si="291"/>
        <v/>
      </c>
      <c r="CA398" t="str">
        <f t="shared" si="279"/>
        <v/>
      </c>
      <c r="CB398" t="str">
        <f t="shared" si="261"/>
        <v/>
      </c>
      <c r="CC398" t="str">
        <f t="shared" si="280"/>
        <v/>
      </c>
      <c r="CD398" t="str">
        <f t="shared" si="262"/>
        <v/>
      </c>
      <c r="CE398" t="str">
        <f t="shared" si="281"/>
        <v/>
      </c>
      <c r="CF398" t="str">
        <f t="shared" si="263"/>
        <v/>
      </c>
      <c r="CG398" t="str">
        <f t="shared" si="282"/>
        <v/>
      </c>
      <c r="CH398" t="str">
        <f t="shared" si="264"/>
        <v/>
      </c>
      <c r="CI398" t="str">
        <f t="shared" si="283"/>
        <v/>
      </c>
      <c r="CJ398" t="str">
        <f t="shared" si="292"/>
        <v/>
      </c>
    </row>
    <row r="399" spans="2:88" x14ac:dyDescent="0.3">
      <c r="B399" t="str">
        <f t="shared" si="284"/>
        <v>36.832889-76.128371</v>
      </c>
      <c r="C399" s="30" t="s">
        <v>125</v>
      </c>
      <c r="D399">
        <v>36.832889000000002</v>
      </c>
      <c r="E399">
        <v>-76.128371000000001</v>
      </c>
      <c r="F399">
        <v>5</v>
      </c>
      <c r="G399" t="str">
        <f t="shared" si="285"/>
        <v>-1-336.832889-76.128371</v>
      </c>
      <c r="H399">
        <v>-1</v>
      </c>
      <c r="I399">
        <v>-3</v>
      </c>
      <c r="J399" s="30" t="s">
        <v>21</v>
      </c>
      <c r="L399" t="s">
        <v>8</v>
      </c>
      <c r="M399">
        <v>10</v>
      </c>
      <c r="S399" t="str">
        <f t="shared" si="259"/>
        <v>Sand</v>
      </c>
      <c r="T399">
        <f t="shared" si="286"/>
        <v>1</v>
      </c>
      <c r="AA399">
        <v>80</v>
      </c>
      <c r="AB399" s="1">
        <f t="shared" si="255"/>
        <v>13</v>
      </c>
      <c r="AC399">
        <f t="shared" si="256"/>
        <v>20</v>
      </c>
      <c r="AD399" t="str">
        <f t="shared" si="287"/>
        <v/>
      </c>
      <c r="AG399" s="21" t="str">
        <f t="shared" si="265"/>
        <v/>
      </c>
      <c r="AI399" s="6" t="str">
        <f t="shared" si="266"/>
        <v/>
      </c>
      <c r="AM399" s="7" t="str">
        <f t="shared" si="267"/>
        <v/>
      </c>
      <c r="AQ399" s="8" t="str">
        <f t="shared" si="268"/>
        <v/>
      </c>
      <c r="AW399" s="25" t="str">
        <f t="shared" si="269"/>
        <v/>
      </c>
      <c r="AZ399" s="12" t="str">
        <f t="shared" si="270"/>
        <v/>
      </c>
      <c r="BI399" s="17" t="str">
        <f t="shared" si="271"/>
        <v/>
      </c>
      <c r="BM399" t="str">
        <f t="shared" si="272"/>
        <v>SPT Relationship</v>
      </c>
      <c r="BN399">
        <f t="shared" si="260"/>
        <v>118</v>
      </c>
      <c r="BO399" t="str">
        <f t="shared" si="273"/>
        <v>Wolff, 1989</v>
      </c>
      <c r="BP399">
        <f t="shared" si="257"/>
        <v>32</v>
      </c>
      <c r="BQ399" t="str">
        <f t="shared" si="274"/>
        <v/>
      </c>
      <c r="BR399" t="str">
        <f t="shared" si="288"/>
        <v/>
      </c>
      <c r="BS399" t="str">
        <f t="shared" si="275"/>
        <v/>
      </c>
      <c r="BT399" t="str">
        <f t="shared" si="258"/>
        <v/>
      </c>
      <c r="BU399" t="str">
        <f t="shared" si="276"/>
        <v/>
      </c>
      <c r="BV399" t="str">
        <f t="shared" si="289"/>
        <v/>
      </c>
      <c r="BW399" t="str">
        <f t="shared" si="277"/>
        <v/>
      </c>
      <c r="BX399" t="str">
        <f t="shared" si="290"/>
        <v/>
      </c>
      <c r="BY399" t="str">
        <f t="shared" si="278"/>
        <v/>
      </c>
      <c r="BZ399" t="str">
        <f t="shared" si="291"/>
        <v/>
      </c>
      <c r="CA399" t="str">
        <f t="shared" si="279"/>
        <v/>
      </c>
      <c r="CB399" t="str">
        <f t="shared" si="261"/>
        <v/>
      </c>
      <c r="CC399" t="str">
        <f t="shared" si="280"/>
        <v/>
      </c>
      <c r="CD399" t="str">
        <f t="shared" si="262"/>
        <v/>
      </c>
      <c r="CE399" t="str">
        <f t="shared" si="281"/>
        <v>Bowles 5th edition</v>
      </c>
      <c r="CF399">
        <f t="shared" si="263"/>
        <v>179</v>
      </c>
      <c r="CG399" t="str">
        <f t="shared" si="282"/>
        <v/>
      </c>
      <c r="CH399" t="str">
        <f t="shared" si="264"/>
        <v/>
      </c>
      <c r="CI399" t="str">
        <f t="shared" si="283"/>
        <v/>
      </c>
      <c r="CJ399" t="str">
        <f t="shared" si="292"/>
        <v/>
      </c>
    </row>
    <row r="400" spans="2:88" x14ac:dyDescent="0.3">
      <c r="B400" t="str">
        <f t="shared" si="284"/>
        <v>36.832889-76.128371</v>
      </c>
      <c r="C400" s="30" t="s">
        <v>125</v>
      </c>
      <c r="D400">
        <v>36.832889000000002</v>
      </c>
      <c r="E400">
        <v>-76.128371000000001</v>
      </c>
      <c r="F400">
        <v>5</v>
      </c>
      <c r="G400" t="str">
        <f t="shared" si="285"/>
        <v>-3-536.832889-76.128371</v>
      </c>
      <c r="H400">
        <v>-3</v>
      </c>
      <c r="I400">
        <v>-5</v>
      </c>
      <c r="J400" s="30" t="s">
        <v>21</v>
      </c>
      <c r="L400" t="s">
        <v>16</v>
      </c>
      <c r="M400">
        <v>24</v>
      </c>
      <c r="S400" t="str">
        <f t="shared" si="259"/>
        <v>Sand</v>
      </c>
      <c r="T400">
        <f t="shared" si="286"/>
        <v>1</v>
      </c>
      <c r="AA400">
        <v>80</v>
      </c>
      <c r="AB400" s="1">
        <f t="shared" si="255"/>
        <v>32</v>
      </c>
      <c r="AC400">
        <f t="shared" si="256"/>
        <v>44</v>
      </c>
      <c r="AD400" t="str">
        <f t="shared" si="287"/>
        <v/>
      </c>
      <c r="AG400" s="21" t="str">
        <f t="shared" si="265"/>
        <v/>
      </c>
      <c r="AI400" s="6" t="str">
        <f t="shared" si="266"/>
        <v/>
      </c>
      <c r="AM400" s="7" t="str">
        <f t="shared" si="267"/>
        <v/>
      </c>
      <c r="AQ400" s="8" t="str">
        <f t="shared" si="268"/>
        <v/>
      </c>
      <c r="AW400" s="25" t="str">
        <f t="shared" si="269"/>
        <v/>
      </c>
      <c r="AZ400" s="12" t="str">
        <f t="shared" si="270"/>
        <v/>
      </c>
      <c r="BI400" s="17" t="str">
        <f t="shared" si="271"/>
        <v/>
      </c>
      <c r="BM400" t="str">
        <f t="shared" si="272"/>
        <v>SPT Relationship</v>
      </c>
      <c r="BN400">
        <f t="shared" si="260"/>
        <v>128</v>
      </c>
      <c r="BO400" t="str">
        <f t="shared" si="273"/>
        <v>Wolff, 1989</v>
      </c>
      <c r="BP400">
        <f t="shared" si="257"/>
        <v>39</v>
      </c>
      <c r="BQ400" t="str">
        <f t="shared" si="274"/>
        <v/>
      </c>
      <c r="BR400" t="str">
        <f t="shared" si="288"/>
        <v/>
      </c>
      <c r="BS400" t="str">
        <f t="shared" si="275"/>
        <v/>
      </c>
      <c r="BT400" t="str">
        <f t="shared" si="258"/>
        <v/>
      </c>
      <c r="BU400" t="str">
        <f t="shared" si="276"/>
        <v/>
      </c>
      <c r="BV400" t="str">
        <f t="shared" si="289"/>
        <v/>
      </c>
      <c r="BW400" t="str">
        <f t="shared" si="277"/>
        <v/>
      </c>
      <c r="BX400" t="str">
        <f t="shared" si="290"/>
        <v/>
      </c>
      <c r="BY400" t="str">
        <f t="shared" si="278"/>
        <v/>
      </c>
      <c r="BZ400" t="str">
        <f t="shared" si="291"/>
        <v/>
      </c>
      <c r="CA400" t="str">
        <f t="shared" si="279"/>
        <v/>
      </c>
      <c r="CB400" t="str">
        <f t="shared" si="261"/>
        <v/>
      </c>
      <c r="CC400" t="str">
        <f t="shared" si="280"/>
        <v/>
      </c>
      <c r="CD400" t="str">
        <f t="shared" si="262"/>
        <v/>
      </c>
      <c r="CE400" t="str">
        <f t="shared" si="281"/>
        <v>Bowles 5th edition</v>
      </c>
      <c r="CF400">
        <f t="shared" si="263"/>
        <v>301</v>
      </c>
      <c r="CG400" t="str">
        <f t="shared" si="282"/>
        <v/>
      </c>
      <c r="CH400" t="str">
        <f t="shared" si="264"/>
        <v/>
      </c>
      <c r="CI400" t="str">
        <f t="shared" si="283"/>
        <v/>
      </c>
      <c r="CJ400" t="str">
        <f t="shared" si="292"/>
        <v/>
      </c>
    </row>
    <row r="401" spans="2:88" x14ac:dyDescent="0.3">
      <c r="B401" t="str">
        <f t="shared" si="284"/>
        <v>36.832889-76.128371</v>
      </c>
      <c r="C401" s="30" t="s">
        <v>125</v>
      </c>
      <c r="D401">
        <v>36.832889000000002</v>
      </c>
      <c r="E401">
        <v>-76.128371000000001</v>
      </c>
      <c r="F401">
        <v>5</v>
      </c>
      <c r="G401" t="str">
        <f t="shared" si="285"/>
        <v>-5-736.832889-76.128371</v>
      </c>
      <c r="H401">
        <v>-5</v>
      </c>
      <c r="I401">
        <v>-7</v>
      </c>
      <c r="J401" s="30" t="s">
        <v>21</v>
      </c>
      <c r="L401" t="s">
        <v>16</v>
      </c>
      <c r="M401">
        <v>8</v>
      </c>
      <c r="S401" t="str">
        <f t="shared" si="259"/>
        <v>Sand</v>
      </c>
      <c r="T401">
        <f t="shared" si="286"/>
        <v>1</v>
      </c>
      <c r="AA401">
        <v>80</v>
      </c>
      <c r="AB401" s="1">
        <f t="shared" si="255"/>
        <v>11</v>
      </c>
      <c r="AC401">
        <f t="shared" si="256"/>
        <v>13</v>
      </c>
      <c r="AD401" t="str">
        <f t="shared" si="287"/>
        <v/>
      </c>
      <c r="AG401" s="21" t="str">
        <f t="shared" si="265"/>
        <v/>
      </c>
      <c r="AI401" s="6" t="str">
        <f t="shared" si="266"/>
        <v/>
      </c>
      <c r="AM401" s="7" t="str">
        <f t="shared" si="267"/>
        <v/>
      </c>
      <c r="AQ401" s="8" t="str">
        <f t="shared" si="268"/>
        <v/>
      </c>
      <c r="AW401" s="25" t="str">
        <f t="shared" si="269"/>
        <v/>
      </c>
      <c r="AZ401" s="12" t="str">
        <f t="shared" si="270"/>
        <v/>
      </c>
      <c r="BI401" s="17" t="str">
        <f t="shared" si="271"/>
        <v/>
      </c>
      <c r="BM401" t="str">
        <f t="shared" si="272"/>
        <v>SPT Relationship</v>
      </c>
      <c r="BN401">
        <f t="shared" si="260"/>
        <v>116</v>
      </c>
      <c r="BO401" t="str">
        <f t="shared" si="273"/>
        <v>Wolff, 1989</v>
      </c>
      <c r="BP401">
        <f t="shared" si="257"/>
        <v>30</v>
      </c>
      <c r="BQ401" t="str">
        <f t="shared" si="274"/>
        <v/>
      </c>
      <c r="BR401" t="str">
        <f t="shared" si="288"/>
        <v/>
      </c>
      <c r="BS401" t="str">
        <f t="shared" si="275"/>
        <v/>
      </c>
      <c r="BT401" t="str">
        <f t="shared" si="258"/>
        <v/>
      </c>
      <c r="BU401" t="str">
        <f t="shared" si="276"/>
        <v/>
      </c>
      <c r="BV401" t="str">
        <f t="shared" si="289"/>
        <v/>
      </c>
      <c r="BW401" t="str">
        <f t="shared" si="277"/>
        <v/>
      </c>
      <c r="BX401" t="str">
        <f t="shared" si="290"/>
        <v/>
      </c>
      <c r="BY401" t="str">
        <f t="shared" si="278"/>
        <v/>
      </c>
      <c r="BZ401" t="str">
        <f t="shared" si="291"/>
        <v/>
      </c>
      <c r="CA401" t="str">
        <f t="shared" si="279"/>
        <v/>
      </c>
      <c r="CB401" t="str">
        <f t="shared" si="261"/>
        <v/>
      </c>
      <c r="CC401" t="str">
        <f t="shared" si="280"/>
        <v/>
      </c>
      <c r="CD401" t="str">
        <f t="shared" si="262"/>
        <v/>
      </c>
      <c r="CE401" t="str">
        <f t="shared" si="281"/>
        <v>Bowles 5th edition</v>
      </c>
      <c r="CF401">
        <f t="shared" si="263"/>
        <v>166</v>
      </c>
      <c r="CG401" t="str">
        <f t="shared" si="282"/>
        <v/>
      </c>
      <c r="CH401" t="str">
        <f t="shared" si="264"/>
        <v/>
      </c>
      <c r="CI401" t="str">
        <f t="shared" si="283"/>
        <v/>
      </c>
      <c r="CJ401" t="str">
        <f t="shared" si="292"/>
        <v/>
      </c>
    </row>
    <row r="402" spans="2:88" x14ac:dyDescent="0.3">
      <c r="B402" t="str">
        <f t="shared" si="284"/>
        <v>36.832889-76.128371</v>
      </c>
      <c r="C402" s="30" t="s">
        <v>125</v>
      </c>
      <c r="D402">
        <v>36.832889000000002</v>
      </c>
      <c r="E402">
        <v>-76.128371000000001</v>
      </c>
      <c r="F402">
        <v>5</v>
      </c>
      <c r="G402" t="str">
        <f t="shared" si="285"/>
        <v>-8-1036.832889-76.128371</v>
      </c>
      <c r="H402">
        <v>-8</v>
      </c>
      <c r="I402">
        <v>-10</v>
      </c>
      <c r="J402" s="30" t="s">
        <v>21</v>
      </c>
      <c r="L402" t="s">
        <v>16</v>
      </c>
      <c r="M402">
        <v>5</v>
      </c>
      <c r="S402" t="str">
        <f t="shared" si="259"/>
        <v>Sand</v>
      </c>
      <c r="T402">
        <f t="shared" si="286"/>
        <v>1</v>
      </c>
      <c r="AA402">
        <v>80</v>
      </c>
      <c r="AB402" s="1">
        <f t="shared" si="255"/>
        <v>7</v>
      </c>
      <c r="AC402">
        <f t="shared" si="256"/>
        <v>7</v>
      </c>
      <c r="AD402" t="str">
        <f t="shared" si="287"/>
        <v/>
      </c>
      <c r="AG402" s="21" t="str">
        <f t="shared" si="265"/>
        <v/>
      </c>
      <c r="AI402" s="6" t="str">
        <f t="shared" si="266"/>
        <v/>
      </c>
      <c r="AM402" s="7" t="str">
        <f t="shared" si="267"/>
        <v/>
      </c>
      <c r="AQ402" s="8" t="str">
        <f t="shared" si="268"/>
        <v/>
      </c>
      <c r="AW402" s="25" t="str">
        <f t="shared" si="269"/>
        <v/>
      </c>
      <c r="AZ402" s="12" t="str">
        <f t="shared" si="270"/>
        <v/>
      </c>
      <c r="BI402" s="17" t="str">
        <f t="shared" si="271"/>
        <v/>
      </c>
      <c r="BM402" t="str">
        <f t="shared" si="272"/>
        <v>SPT Relationship</v>
      </c>
      <c r="BN402">
        <f t="shared" si="260"/>
        <v>111</v>
      </c>
      <c r="BO402" t="str">
        <f t="shared" si="273"/>
        <v>Wolff, 1989</v>
      </c>
      <c r="BP402">
        <f t="shared" si="257"/>
        <v>29</v>
      </c>
      <c r="BQ402" t="str">
        <f t="shared" si="274"/>
        <v/>
      </c>
      <c r="BR402" t="str">
        <f t="shared" si="288"/>
        <v/>
      </c>
      <c r="BS402" t="str">
        <f t="shared" si="275"/>
        <v/>
      </c>
      <c r="BT402" t="str">
        <f t="shared" si="258"/>
        <v/>
      </c>
      <c r="BU402" t="str">
        <f t="shared" si="276"/>
        <v/>
      </c>
      <c r="BV402" t="str">
        <f t="shared" si="289"/>
        <v/>
      </c>
      <c r="BW402" t="str">
        <f t="shared" si="277"/>
        <v/>
      </c>
      <c r="BX402" t="str">
        <f t="shared" si="290"/>
        <v/>
      </c>
      <c r="BY402" t="str">
        <f t="shared" si="278"/>
        <v/>
      </c>
      <c r="BZ402" t="str">
        <f t="shared" si="291"/>
        <v/>
      </c>
      <c r="CA402" t="str">
        <f t="shared" si="279"/>
        <v/>
      </c>
      <c r="CB402" t="str">
        <f t="shared" si="261"/>
        <v/>
      </c>
      <c r="CC402" t="str">
        <f t="shared" si="280"/>
        <v/>
      </c>
      <c r="CD402" t="str">
        <f t="shared" si="262"/>
        <v/>
      </c>
      <c r="CE402" t="str">
        <f t="shared" si="281"/>
        <v>Bowles 5th edition</v>
      </c>
      <c r="CF402">
        <f t="shared" si="263"/>
        <v>141</v>
      </c>
      <c r="CG402" t="str">
        <f t="shared" si="282"/>
        <v/>
      </c>
      <c r="CH402" t="str">
        <f t="shared" si="264"/>
        <v/>
      </c>
      <c r="CI402" t="str">
        <f t="shared" si="283"/>
        <v/>
      </c>
      <c r="CJ402" t="str">
        <f t="shared" si="292"/>
        <v/>
      </c>
    </row>
    <row r="403" spans="2:88" x14ac:dyDescent="0.3">
      <c r="B403" t="str">
        <f t="shared" si="284"/>
        <v>36.832889-76.128371</v>
      </c>
      <c r="C403" s="30" t="s">
        <v>125</v>
      </c>
      <c r="D403">
        <v>36.832889000000002</v>
      </c>
      <c r="E403">
        <v>-76.128371000000001</v>
      </c>
      <c r="F403">
        <v>5</v>
      </c>
      <c r="G403" t="str">
        <f t="shared" si="285"/>
        <v>-13-1536.832889-76.128371</v>
      </c>
      <c r="H403">
        <v>-13</v>
      </c>
      <c r="I403">
        <v>-15</v>
      </c>
      <c r="J403" s="30" t="s">
        <v>21</v>
      </c>
      <c r="L403" t="s">
        <v>16</v>
      </c>
      <c r="M403">
        <v>14</v>
      </c>
      <c r="S403" t="str">
        <f t="shared" si="259"/>
        <v>Sand</v>
      </c>
      <c r="T403">
        <f t="shared" si="286"/>
        <v>1</v>
      </c>
      <c r="AA403">
        <v>80</v>
      </c>
      <c r="AB403" s="1">
        <f t="shared" ref="AB403:AB466" si="293">IFERROR(ROUND(M403*AA403/60,0),"")</f>
        <v>19</v>
      </c>
      <c r="AC403">
        <f t="shared" ref="AC403:AC466" si="294">IFERROR(ROUNDDOWN(((1/((((F403-I403)*110)*0.047880258888889)/100))^(0.5))*AB403,0),"")</f>
        <v>18</v>
      </c>
      <c r="AD403" t="str">
        <f t="shared" si="287"/>
        <v/>
      </c>
      <c r="AG403" s="21" t="str">
        <f t="shared" si="265"/>
        <v/>
      </c>
      <c r="AI403" s="6" t="str">
        <f t="shared" si="266"/>
        <v/>
      </c>
      <c r="AM403" s="7" t="str">
        <f t="shared" si="267"/>
        <v/>
      </c>
      <c r="AQ403" s="8" t="str">
        <f t="shared" si="268"/>
        <v/>
      </c>
      <c r="AW403" s="25" t="str">
        <f t="shared" si="269"/>
        <v/>
      </c>
      <c r="AZ403" s="12" t="str">
        <f t="shared" si="270"/>
        <v/>
      </c>
      <c r="BI403" s="17" t="str">
        <f t="shared" si="271"/>
        <v/>
      </c>
      <c r="BM403" t="str">
        <f t="shared" si="272"/>
        <v>SPT Relationship</v>
      </c>
      <c r="BN403">
        <f t="shared" si="260"/>
        <v>122</v>
      </c>
      <c r="BO403" t="str">
        <f t="shared" si="273"/>
        <v>Wolff, 1989</v>
      </c>
      <c r="BP403">
        <f t="shared" si="257"/>
        <v>32</v>
      </c>
      <c r="BQ403" t="str">
        <f t="shared" si="274"/>
        <v/>
      </c>
      <c r="BR403" t="str">
        <f t="shared" si="288"/>
        <v/>
      </c>
      <c r="BS403" t="str">
        <f t="shared" si="275"/>
        <v/>
      </c>
      <c r="BT403" t="str">
        <f t="shared" si="258"/>
        <v/>
      </c>
      <c r="BU403" t="str">
        <f t="shared" si="276"/>
        <v/>
      </c>
      <c r="BV403" t="str">
        <f t="shared" si="289"/>
        <v/>
      </c>
      <c r="BW403" t="str">
        <f t="shared" si="277"/>
        <v/>
      </c>
      <c r="BX403" t="str">
        <f t="shared" si="290"/>
        <v/>
      </c>
      <c r="BY403" t="str">
        <f t="shared" si="278"/>
        <v/>
      </c>
      <c r="BZ403" t="str">
        <f t="shared" si="291"/>
        <v/>
      </c>
      <c r="CA403" t="str">
        <f t="shared" si="279"/>
        <v/>
      </c>
      <c r="CB403" t="str">
        <f t="shared" si="261"/>
        <v/>
      </c>
      <c r="CC403" t="str">
        <f t="shared" si="280"/>
        <v/>
      </c>
      <c r="CD403" t="str">
        <f t="shared" si="262"/>
        <v/>
      </c>
      <c r="CE403" t="str">
        <f t="shared" si="281"/>
        <v>Bowles 5th edition</v>
      </c>
      <c r="CF403">
        <f t="shared" si="263"/>
        <v>218</v>
      </c>
      <c r="CG403" t="str">
        <f t="shared" si="282"/>
        <v/>
      </c>
      <c r="CH403" t="str">
        <f t="shared" si="264"/>
        <v/>
      </c>
      <c r="CI403" t="str">
        <f t="shared" si="283"/>
        <v/>
      </c>
      <c r="CJ403" t="str">
        <f t="shared" si="292"/>
        <v/>
      </c>
    </row>
    <row r="404" spans="2:88" x14ac:dyDescent="0.3">
      <c r="B404" t="str">
        <f t="shared" si="284"/>
        <v>36.832889-76.128371</v>
      </c>
      <c r="C404" s="30" t="s">
        <v>125</v>
      </c>
      <c r="D404">
        <v>36.832889000000002</v>
      </c>
      <c r="E404">
        <v>-76.128371000000001</v>
      </c>
      <c r="F404">
        <v>5</v>
      </c>
      <c r="G404" t="str">
        <f t="shared" si="285"/>
        <v>-18-2036.832889-76.128371</v>
      </c>
      <c r="H404">
        <v>-18</v>
      </c>
      <c r="I404">
        <v>-20</v>
      </c>
      <c r="J404" s="30" t="s">
        <v>21</v>
      </c>
      <c r="L404" t="s">
        <v>8</v>
      </c>
      <c r="M404">
        <v>13</v>
      </c>
      <c r="S404" t="str">
        <f t="shared" si="259"/>
        <v>Sand</v>
      </c>
      <c r="T404">
        <f t="shared" si="286"/>
        <v>1</v>
      </c>
      <c r="AA404">
        <v>80</v>
      </c>
      <c r="AB404" s="1">
        <f t="shared" si="293"/>
        <v>17</v>
      </c>
      <c r="AC404">
        <f t="shared" si="294"/>
        <v>14</v>
      </c>
      <c r="AD404" t="str">
        <f t="shared" si="287"/>
        <v/>
      </c>
      <c r="AG404" s="21" t="str">
        <f t="shared" si="265"/>
        <v/>
      </c>
      <c r="AI404" s="6" t="str">
        <f t="shared" si="266"/>
        <v/>
      </c>
      <c r="AM404" s="7" t="str">
        <f t="shared" si="267"/>
        <v/>
      </c>
      <c r="AQ404" s="8" t="str">
        <f t="shared" si="268"/>
        <v/>
      </c>
      <c r="AW404" s="25" t="str">
        <f t="shared" si="269"/>
        <v/>
      </c>
      <c r="AZ404" s="12" t="str">
        <f t="shared" si="270"/>
        <v/>
      </c>
      <c r="BI404" s="17" t="str">
        <f t="shared" si="271"/>
        <v/>
      </c>
      <c r="BM404" t="str">
        <f t="shared" si="272"/>
        <v>SPT Relationship</v>
      </c>
      <c r="BN404">
        <f t="shared" si="260"/>
        <v>121</v>
      </c>
      <c r="BO404" t="str">
        <f t="shared" si="273"/>
        <v>Wolff, 1989</v>
      </c>
      <c r="BP404">
        <f t="shared" si="257"/>
        <v>31</v>
      </c>
      <c r="BQ404" t="str">
        <f t="shared" si="274"/>
        <v/>
      </c>
      <c r="BR404" t="str">
        <f t="shared" si="288"/>
        <v/>
      </c>
      <c r="BS404" t="str">
        <f t="shared" si="275"/>
        <v/>
      </c>
      <c r="BT404" t="str">
        <f t="shared" si="258"/>
        <v/>
      </c>
      <c r="BU404" t="str">
        <f t="shared" si="276"/>
        <v/>
      </c>
      <c r="BV404" t="str">
        <f t="shared" si="289"/>
        <v/>
      </c>
      <c r="BW404" t="str">
        <f t="shared" si="277"/>
        <v/>
      </c>
      <c r="BX404" t="str">
        <f t="shared" si="290"/>
        <v/>
      </c>
      <c r="BY404" t="str">
        <f t="shared" si="278"/>
        <v/>
      </c>
      <c r="BZ404" t="str">
        <f t="shared" si="291"/>
        <v/>
      </c>
      <c r="CA404" t="str">
        <f t="shared" si="279"/>
        <v/>
      </c>
      <c r="CB404" t="str">
        <f t="shared" si="261"/>
        <v/>
      </c>
      <c r="CC404" t="str">
        <f t="shared" si="280"/>
        <v/>
      </c>
      <c r="CD404" t="str">
        <f t="shared" si="262"/>
        <v/>
      </c>
      <c r="CE404" t="str">
        <f t="shared" si="281"/>
        <v>Bowles 5th edition</v>
      </c>
      <c r="CF404">
        <f t="shared" si="263"/>
        <v>205</v>
      </c>
      <c r="CG404" t="str">
        <f t="shared" si="282"/>
        <v/>
      </c>
      <c r="CH404" t="str">
        <f t="shared" si="264"/>
        <v/>
      </c>
      <c r="CI404" t="str">
        <f t="shared" si="283"/>
        <v/>
      </c>
      <c r="CJ404" t="str">
        <f t="shared" si="292"/>
        <v/>
      </c>
    </row>
    <row r="405" spans="2:88" x14ac:dyDescent="0.3">
      <c r="B405" t="str">
        <f t="shared" si="284"/>
        <v>36.832889-76.128371</v>
      </c>
      <c r="C405" s="30" t="s">
        <v>125</v>
      </c>
      <c r="D405">
        <v>36.832889000000002</v>
      </c>
      <c r="E405">
        <v>-76.128371000000001</v>
      </c>
      <c r="F405">
        <v>5</v>
      </c>
      <c r="G405" t="str">
        <f t="shared" si="285"/>
        <v>-23-2536.832889-76.128371</v>
      </c>
      <c r="H405">
        <v>-23</v>
      </c>
      <c r="I405">
        <v>-25</v>
      </c>
      <c r="J405" s="30" t="s">
        <v>21</v>
      </c>
      <c r="L405" t="s">
        <v>8</v>
      </c>
      <c r="M405">
        <v>6</v>
      </c>
      <c r="S405" t="str">
        <f t="shared" si="259"/>
        <v>Sand</v>
      </c>
      <c r="T405">
        <f t="shared" si="286"/>
        <v>1</v>
      </c>
      <c r="AA405">
        <v>80</v>
      </c>
      <c r="AB405" s="1">
        <f t="shared" si="293"/>
        <v>8</v>
      </c>
      <c r="AC405">
        <f t="shared" si="294"/>
        <v>6</v>
      </c>
      <c r="AD405" t="str">
        <f t="shared" si="287"/>
        <v/>
      </c>
      <c r="AG405" s="21" t="str">
        <f t="shared" si="265"/>
        <v/>
      </c>
      <c r="AI405" s="6" t="str">
        <f t="shared" si="266"/>
        <v/>
      </c>
      <c r="AM405" s="7" t="str">
        <f t="shared" si="267"/>
        <v/>
      </c>
      <c r="AQ405" s="8" t="str">
        <f t="shared" si="268"/>
        <v/>
      </c>
      <c r="AW405" s="25" t="str">
        <f t="shared" si="269"/>
        <v/>
      </c>
      <c r="AZ405" s="12" t="str">
        <f t="shared" si="270"/>
        <v/>
      </c>
      <c r="BI405" s="17" t="str">
        <f t="shared" si="271"/>
        <v/>
      </c>
      <c r="BM405" t="str">
        <f t="shared" si="272"/>
        <v>SPT Relationship</v>
      </c>
      <c r="BN405">
        <f t="shared" si="260"/>
        <v>113</v>
      </c>
      <c r="BO405" t="str">
        <f t="shared" si="273"/>
        <v>Wolff, 1989</v>
      </c>
      <c r="BP405">
        <f t="shared" si="257"/>
        <v>28</v>
      </c>
      <c r="BQ405" t="str">
        <f t="shared" si="274"/>
        <v/>
      </c>
      <c r="BR405" t="str">
        <f t="shared" si="288"/>
        <v/>
      </c>
      <c r="BS405" t="str">
        <f t="shared" si="275"/>
        <v/>
      </c>
      <c r="BT405" t="str">
        <f t="shared" si="258"/>
        <v/>
      </c>
      <c r="BU405" t="str">
        <f t="shared" si="276"/>
        <v/>
      </c>
      <c r="BV405" t="str">
        <f t="shared" si="289"/>
        <v/>
      </c>
      <c r="BW405" t="str">
        <f t="shared" si="277"/>
        <v/>
      </c>
      <c r="BX405" t="str">
        <f t="shared" si="290"/>
        <v/>
      </c>
      <c r="BY405" t="str">
        <f t="shared" si="278"/>
        <v/>
      </c>
      <c r="BZ405" t="str">
        <f t="shared" si="291"/>
        <v/>
      </c>
      <c r="CA405" t="str">
        <f t="shared" si="279"/>
        <v/>
      </c>
      <c r="CB405" t="str">
        <f t="shared" si="261"/>
        <v/>
      </c>
      <c r="CC405" t="str">
        <f t="shared" si="280"/>
        <v/>
      </c>
      <c r="CD405" t="str">
        <f t="shared" si="262"/>
        <v/>
      </c>
      <c r="CE405" t="str">
        <f t="shared" si="281"/>
        <v>Bowles 5th edition</v>
      </c>
      <c r="CF405">
        <f t="shared" si="263"/>
        <v>147</v>
      </c>
      <c r="CG405" t="str">
        <f t="shared" si="282"/>
        <v/>
      </c>
      <c r="CH405" t="str">
        <f t="shared" si="264"/>
        <v/>
      </c>
      <c r="CI405" t="str">
        <f t="shared" si="283"/>
        <v/>
      </c>
      <c r="CJ405" t="str">
        <f t="shared" si="292"/>
        <v/>
      </c>
    </row>
    <row r="406" spans="2:88" x14ac:dyDescent="0.3">
      <c r="B406" t="str">
        <f t="shared" si="284"/>
        <v>36.832728-76.126475</v>
      </c>
      <c r="C406" s="30" t="s">
        <v>126</v>
      </c>
      <c r="D406">
        <v>36.832728000000003</v>
      </c>
      <c r="E406">
        <v>-76.126474999999999</v>
      </c>
      <c r="F406">
        <v>5</v>
      </c>
      <c r="G406" t="str">
        <f t="shared" si="285"/>
        <v>5336.832728-76.126475</v>
      </c>
      <c r="H406">
        <v>5</v>
      </c>
      <c r="I406">
        <v>3</v>
      </c>
      <c r="J406" s="30" t="s">
        <v>21</v>
      </c>
      <c r="L406" t="s">
        <v>16</v>
      </c>
      <c r="M406">
        <v>37</v>
      </c>
      <c r="S406" t="str">
        <f t="shared" si="259"/>
        <v>Sand</v>
      </c>
      <c r="T406">
        <f t="shared" si="286"/>
        <v>1</v>
      </c>
      <c r="AA406">
        <v>80</v>
      </c>
      <c r="AB406" s="1">
        <f t="shared" si="293"/>
        <v>49</v>
      </c>
      <c r="AC406">
        <f t="shared" si="294"/>
        <v>150</v>
      </c>
      <c r="AD406" t="str">
        <f t="shared" si="287"/>
        <v/>
      </c>
      <c r="AG406" s="21" t="str">
        <f t="shared" si="265"/>
        <v/>
      </c>
      <c r="AI406" s="6" t="str">
        <f t="shared" si="266"/>
        <v/>
      </c>
      <c r="AM406" s="7" t="str">
        <f t="shared" si="267"/>
        <v/>
      </c>
      <c r="AQ406" s="8" t="str">
        <f t="shared" si="268"/>
        <v/>
      </c>
      <c r="AW406" s="25" t="str">
        <f t="shared" si="269"/>
        <v/>
      </c>
      <c r="AZ406" s="12" t="str">
        <f t="shared" si="270"/>
        <v/>
      </c>
      <c r="BI406" s="17" t="str">
        <f t="shared" si="271"/>
        <v/>
      </c>
      <c r="BM406" t="str">
        <f t="shared" si="272"/>
        <v>SPT Relationship</v>
      </c>
      <c r="BN406">
        <f t="shared" si="260"/>
        <v>134</v>
      </c>
      <c r="BO406" t="str">
        <f t="shared" si="273"/>
        <v>Wolff, 1989</v>
      </c>
      <c r="BP406">
        <f t="shared" si="257"/>
        <v>59</v>
      </c>
      <c r="BQ406" t="str">
        <f t="shared" si="274"/>
        <v/>
      </c>
      <c r="BR406" t="str">
        <f t="shared" si="288"/>
        <v/>
      </c>
      <c r="BS406" t="str">
        <f t="shared" si="275"/>
        <v/>
      </c>
      <c r="BT406" t="str">
        <f t="shared" si="258"/>
        <v/>
      </c>
      <c r="BU406" t="str">
        <f t="shared" si="276"/>
        <v/>
      </c>
      <c r="BV406" t="str">
        <f t="shared" si="289"/>
        <v/>
      </c>
      <c r="BW406" t="str">
        <f t="shared" si="277"/>
        <v/>
      </c>
      <c r="BX406" t="str">
        <f t="shared" si="290"/>
        <v/>
      </c>
      <c r="BY406" t="str">
        <f t="shared" si="278"/>
        <v/>
      </c>
      <c r="BZ406" t="str">
        <f t="shared" si="291"/>
        <v/>
      </c>
      <c r="CA406" t="str">
        <f t="shared" si="279"/>
        <v/>
      </c>
      <c r="CB406" t="str">
        <f t="shared" si="261"/>
        <v/>
      </c>
      <c r="CC406" t="str">
        <f t="shared" si="280"/>
        <v/>
      </c>
      <c r="CD406" t="str">
        <f t="shared" si="262"/>
        <v/>
      </c>
      <c r="CE406" t="str">
        <f t="shared" si="281"/>
        <v>Bowles 5th edition</v>
      </c>
      <c r="CF406">
        <f t="shared" si="263"/>
        <v>410</v>
      </c>
      <c r="CG406" t="str">
        <f t="shared" si="282"/>
        <v/>
      </c>
      <c r="CH406" t="str">
        <f t="shared" si="264"/>
        <v/>
      </c>
      <c r="CI406" t="str">
        <f t="shared" si="283"/>
        <v/>
      </c>
      <c r="CJ406" t="str">
        <f t="shared" si="292"/>
        <v/>
      </c>
    </row>
    <row r="407" spans="2:88" x14ac:dyDescent="0.3">
      <c r="B407" t="str">
        <f t="shared" si="284"/>
        <v>36.832728-76.126475</v>
      </c>
      <c r="C407" s="30" t="s">
        <v>126</v>
      </c>
      <c r="D407">
        <v>36.832728000000003</v>
      </c>
      <c r="E407">
        <v>-76.126474999999999</v>
      </c>
      <c r="F407">
        <v>5</v>
      </c>
      <c r="G407" t="str">
        <f t="shared" si="285"/>
        <v>3136.832728-76.126475</v>
      </c>
      <c r="H407">
        <v>3</v>
      </c>
      <c r="I407">
        <v>1</v>
      </c>
      <c r="J407" s="30" t="s">
        <v>21</v>
      </c>
      <c r="L407" t="s">
        <v>16</v>
      </c>
      <c r="M407">
        <v>52</v>
      </c>
      <c r="S407" t="str">
        <f t="shared" si="259"/>
        <v>Sand</v>
      </c>
      <c r="T407">
        <f t="shared" si="286"/>
        <v>1</v>
      </c>
      <c r="AA407">
        <v>80</v>
      </c>
      <c r="AB407" s="1">
        <f t="shared" si="293"/>
        <v>69</v>
      </c>
      <c r="AC407">
        <f t="shared" si="294"/>
        <v>150</v>
      </c>
      <c r="AD407" t="str">
        <f t="shared" si="287"/>
        <v/>
      </c>
      <c r="AG407" s="21" t="str">
        <f t="shared" si="265"/>
        <v/>
      </c>
      <c r="AI407" s="6" t="str">
        <f t="shared" si="266"/>
        <v/>
      </c>
      <c r="AM407" s="7" t="str">
        <f t="shared" si="267"/>
        <v/>
      </c>
      <c r="AQ407" s="8" t="str">
        <f t="shared" si="268"/>
        <v/>
      </c>
      <c r="AW407" s="25" t="str">
        <f t="shared" si="269"/>
        <v/>
      </c>
      <c r="AZ407" s="12" t="str">
        <f t="shared" si="270"/>
        <v/>
      </c>
      <c r="BI407" s="17" t="str">
        <f t="shared" si="271"/>
        <v/>
      </c>
      <c r="BM407" t="str">
        <f t="shared" si="272"/>
        <v>SPT Relationship</v>
      </c>
      <c r="BN407">
        <f t="shared" si="260"/>
        <v>138</v>
      </c>
      <c r="BO407" t="str">
        <f t="shared" si="273"/>
        <v>Wolff, 1989</v>
      </c>
      <c r="BP407">
        <f t="shared" si="257"/>
        <v>59</v>
      </c>
      <c r="BQ407" t="str">
        <f t="shared" si="274"/>
        <v/>
      </c>
      <c r="BR407" t="str">
        <f t="shared" si="288"/>
        <v/>
      </c>
      <c r="BS407" t="str">
        <f t="shared" si="275"/>
        <v/>
      </c>
      <c r="BT407" t="str">
        <f t="shared" si="258"/>
        <v/>
      </c>
      <c r="BU407" t="str">
        <f t="shared" si="276"/>
        <v/>
      </c>
      <c r="BV407" t="str">
        <f t="shared" si="289"/>
        <v/>
      </c>
      <c r="BW407" t="str">
        <f t="shared" si="277"/>
        <v/>
      </c>
      <c r="BX407" t="str">
        <f t="shared" si="290"/>
        <v/>
      </c>
      <c r="BY407" t="str">
        <f t="shared" si="278"/>
        <v/>
      </c>
      <c r="BZ407" t="str">
        <f t="shared" si="291"/>
        <v/>
      </c>
      <c r="CA407" t="str">
        <f t="shared" si="279"/>
        <v/>
      </c>
      <c r="CB407" t="str">
        <f t="shared" si="261"/>
        <v/>
      </c>
      <c r="CC407" t="str">
        <f t="shared" si="280"/>
        <v/>
      </c>
      <c r="CD407" t="str">
        <f t="shared" si="262"/>
        <v/>
      </c>
      <c r="CE407" t="str">
        <f t="shared" si="281"/>
        <v>Bowles 5th edition</v>
      </c>
      <c r="CF407">
        <f t="shared" si="263"/>
        <v>538</v>
      </c>
      <c r="CG407" t="str">
        <f t="shared" si="282"/>
        <v/>
      </c>
      <c r="CH407" t="str">
        <f t="shared" si="264"/>
        <v/>
      </c>
      <c r="CI407" t="str">
        <f t="shared" si="283"/>
        <v/>
      </c>
      <c r="CJ407" t="str">
        <f t="shared" si="292"/>
        <v/>
      </c>
    </row>
    <row r="408" spans="2:88" x14ac:dyDescent="0.3">
      <c r="B408" t="str">
        <f t="shared" si="284"/>
        <v>36.832728-76.126475</v>
      </c>
      <c r="C408" s="30" t="s">
        <v>126</v>
      </c>
      <c r="D408">
        <v>36.832728000000003</v>
      </c>
      <c r="E408">
        <v>-76.126474999999999</v>
      </c>
      <c r="F408">
        <v>5</v>
      </c>
      <c r="G408" t="str">
        <f t="shared" si="285"/>
        <v>1-136.832728-76.126475</v>
      </c>
      <c r="H408">
        <v>1</v>
      </c>
      <c r="I408">
        <v>-1</v>
      </c>
      <c r="J408" s="30" t="s">
        <v>21</v>
      </c>
      <c r="L408" t="s">
        <v>16</v>
      </c>
      <c r="M408">
        <v>78</v>
      </c>
      <c r="S408" t="str">
        <f t="shared" si="259"/>
        <v>Sand</v>
      </c>
      <c r="T408">
        <f t="shared" si="286"/>
        <v>1</v>
      </c>
      <c r="AA408">
        <v>80</v>
      </c>
      <c r="AB408" s="1">
        <f t="shared" si="293"/>
        <v>104</v>
      </c>
      <c r="AC408">
        <f t="shared" si="294"/>
        <v>185</v>
      </c>
      <c r="AD408" t="str">
        <f t="shared" si="287"/>
        <v/>
      </c>
      <c r="AG408" s="21" t="str">
        <f t="shared" si="265"/>
        <v/>
      </c>
      <c r="AI408" s="6" t="str">
        <f t="shared" si="266"/>
        <v/>
      </c>
      <c r="AM408" s="7" t="str">
        <f t="shared" si="267"/>
        <v/>
      </c>
      <c r="AQ408" s="8" t="str">
        <f t="shared" si="268"/>
        <v/>
      </c>
      <c r="AW408" s="25" t="str">
        <f t="shared" si="269"/>
        <v/>
      </c>
      <c r="AZ408" s="12" t="str">
        <f t="shared" si="270"/>
        <v/>
      </c>
      <c r="BI408" s="17" t="str">
        <f t="shared" si="271"/>
        <v/>
      </c>
      <c r="BM408" t="str">
        <f t="shared" si="272"/>
        <v>SPT Relationship</v>
      </c>
      <c r="BN408">
        <f t="shared" si="260"/>
        <v>144</v>
      </c>
      <c r="BO408" t="str">
        <f t="shared" si="273"/>
        <v>Wolff, 1989</v>
      </c>
      <c r="BP408">
        <f t="shared" si="257"/>
        <v>64</v>
      </c>
      <c r="BQ408" t="str">
        <f t="shared" si="274"/>
        <v/>
      </c>
      <c r="BR408" t="str">
        <f t="shared" si="288"/>
        <v/>
      </c>
      <c r="BS408" t="str">
        <f t="shared" si="275"/>
        <v/>
      </c>
      <c r="BT408" t="str">
        <f t="shared" si="258"/>
        <v/>
      </c>
      <c r="BU408" t="str">
        <f t="shared" si="276"/>
        <v/>
      </c>
      <c r="BV408" t="str">
        <f t="shared" si="289"/>
        <v/>
      </c>
      <c r="BW408" t="str">
        <f t="shared" si="277"/>
        <v/>
      </c>
      <c r="BX408" t="str">
        <f t="shared" si="290"/>
        <v/>
      </c>
      <c r="BY408" t="str">
        <f t="shared" si="278"/>
        <v/>
      </c>
      <c r="BZ408" t="str">
        <f t="shared" si="291"/>
        <v/>
      </c>
      <c r="CA408" t="str">
        <f t="shared" si="279"/>
        <v/>
      </c>
      <c r="CB408" t="str">
        <f t="shared" si="261"/>
        <v/>
      </c>
      <c r="CC408" t="str">
        <f t="shared" si="280"/>
        <v/>
      </c>
      <c r="CD408" t="str">
        <f t="shared" si="262"/>
        <v/>
      </c>
      <c r="CE408" t="str">
        <f t="shared" si="281"/>
        <v>Bowles 5th edition</v>
      </c>
      <c r="CF408">
        <f t="shared" si="263"/>
        <v>762</v>
      </c>
      <c r="CG408" t="str">
        <f t="shared" si="282"/>
        <v/>
      </c>
      <c r="CH408" t="str">
        <f t="shared" si="264"/>
        <v/>
      </c>
      <c r="CI408" t="str">
        <f t="shared" si="283"/>
        <v/>
      </c>
      <c r="CJ408" t="str">
        <f t="shared" si="292"/>
        <v/>
      </c>
    </row>
    <row r="409" spans="2:88" x14ac:dyDescent="0.3">
      <c r="B409" t="str">
        <f t="shared" si="284"/>
        <v>36.832728-76.126475</v>
      </c>
      <c r="C409" s="30" t="s">
        <v>126</v>
      </c>
      <c r="D409">
        <v>36.832728000000003</v>
      </c>
      <c r="E409">
        <v>-76.126474999999999</v>
      </c>
      <c r="F409">
        <v>5</v>
      </c>
      <c r="G409" t="str">
        <f t="shared" si="285"/>
        <v>-1-336.832728-76.126475</v>
      </c>
      <c r="H409">
        <v>-1</v>
      </c>
      <c r="I409">
        <v>-3</v>
      </c>
      <c r="J409" s="30" t="s">
        <v>21</v>
      </c>
      <c r="L409" t="s">
        <v>16</v>
      </c>
      <c r="M409">
        <v>58</v>
      </c>
      <c r="S409" t="str">
        <f t="shared" si="259"/>
        <v>Sand</v>
      </c>
      <c r="T409">
        <f t="shared" si="286"/>
        <v>1</v>
      </c>
      <c r="AA409">
        <v>80</v>
      </c>
      <c r="AB409" s="1">
        <f t="shared" si="293"/>
        <v>77</v>
      </c>
      <c r="AC409">
        <f t="shared" si="294"/>
        <v>118</v>
      </c>
      <c r="AD409" t="str">
        <f t="shared" si="287"/>
        <v/>
      </c>
      <c r="AG409" s="21" t="str">
        <f t="shared" si="265"/>
        <v/>
      </c>
      <c r="AI409" s="6" t="str">
        <f t="shared" si="266"/>
        <v/>
      </c>
      <c r="AM409" s="7" t="str">
        <f t="shared" si="267"/>
        <v/>
      </c>
      <c r="AQ409" s="8" t="str">
        <f t="shared" si="268"/>
        <v/>
      </c>
      <c r="AW409" s="25" t="str">
        <f t="shared" si="269"/>
        <v/>
      </c>
      <c r="AZ409" s="12" t="str">
        <f t="shared" si="270"/>
        <v/>
      </c>
      <c r="BI409" s="17" t="str">
        <f t="shared" si="271"/>
        <v/>
      </c>
      <c r="BM409" t="str">
        <f t="shared" si="272"/>
        <v>SPT Relationship</v>
      </c>
      <c r="BN409">
        <f t="shared" si="260"/>
        <v>140</v>
      </c>
      <c r="BO409" t="str">
        <f t="shared" si="273"/>
        <v>Wolff, 1989</v>
      </c>
      <c r="BP409">
        <f t="shared" si="257"/>
        <v>54</v>
      </c>
      <c r="BQ409" t="str">
        <f t="shared" si="274"/>
        <v/>
      </c>
      <c r="BR409" t="str">
        <f t="shared" si="288"/>
        <v/>
      </c>
      <c r="BS409" t="str">
        <f t="shared" si="275"/>
        <v/>
      </c>
      <c r="BT409" t="str">
        <f t="shared" si="258"/>
        <v/>
      </c>
      <c r="BU409" t="str">
        <f t="shared" si="276"/>
        <v/>
      </c>
      <c r="BV409" t="str">
        <f t="shared" si="289"/>
        <v/>
      </c>
      <c r="BW409" t="str">
        <f t="shared" si="277"/>
        <v/>
      </c>
      <c r="BX409" t="str">
        <f t="shared" si="290"/>
        <v/>
      </c>
      <c r="BY409" t="str">
        <f t="shared" si="278"/>
        <v/>
      </c>
      <c r="BZ409" t="str">
        <f t="shared" si="291"/>
        <v/>
      </c>
      <c r="CA409" t="str">
        <f t="shared" si="279"/>
        <v/>
      </c>
      <c r="CB409" t="str">
        <f t="shared" si="261"/>
        <v/>
      </c>
      <c r="CC409" t="str">
        <f t="shared" si="280"/>
        <v/>
      </c>
      <c r="CD409" t="str">
        <f t="shared" si="262"/>
        <v/>
      </c>
      <c r="CE409" t="str">
        <f t="shared" si="281"/>
        <v>Bowles 5th edition</v>
      </c>
      <c r="CF409">
        <f t="shared" si="263"/>
        <v>589</v>
      </c>
      <c r="CG409" t="str">
        <f t="shared" si="282"/>
        <v/>
      </c>
      <c r="CH409" t="str">
        <f t="shared" si="264"/>
        <v/>
      </c>
      <c r="CI409" t="str">
        <f t="shared" si="283"/>
        <v/>
      </c>
      <c r="CJ409" t="str">
        <f t="shared" si="292"/>
        <v/>
      </c>
    </row>
    <row r="410" spans="2:88" x14ac:dyDescent="0.3">
      <c r="B410" t="str">
        <f t="shared" si="284"/>
        <v>36.832728-76.126475</v>
      </c>
      <c r="C410" s="30" t="s">
        <v>126</v>
      </c>
      <c r="D410">
        <v>36.832728000000003</v>
      </c>
      <c r="E410">
        <v>-76.126474999999999</v>
      </c>
      <c r="F410">
        <v>5</v>
      </c>
      <c r="G410" t="str">
        <f t="shared" si="285"/>
        <v>-3-536.832728-76.126475</v>
      </c>
      <c r="H410">
        <v>-3</v>
      </c>
      <c r="I410">
        <v>-5</v>
      </c>
      <c r="J410" s="30" t="s">
        <v>21</v>
      </c>
      <c r="L410" t="s">
        <v>16</v>
      </c>
      <c r="M410">
        <v>24</v>
      </c>
      <c r="S410" t="str">
        <f t="shared" si="259"/>
        <v>Sand</v>
      </c>
      <c r="T410">
        <f t="shared" si="286"/>
        <v>1</v>
      </c>
      <c r="AA410">
        <v>80</v>
      </c>
      <c r="AB410" s="1">
        <f t="shared" si="293"/>
        <v>32</v>
      </c>
      <c r="AC410">
        <f t="shared" si="294"/>
        <v>44</v>
      </c>
      <c r="AD410" t="str">
        <f t="shared" si="287"/>
        <v/>
      </c>
      <c r="AG410" s="21" t="str">
        <f t="shared" si="265"/>
        <v/>
      </c>
      <c r="AI410" s="6" t="str">
        <f t="shared" si="266"/>
        <v/>
      </c>
      <c r="AM410" s="7" t="str">
        <f t="shared" si="267"/>
        <v/>
      </c>
      <c r="AQ410" s="8" t="str">
        <f t="shared" si="268"/>
        <v/>
      </c>
      <c r="AW410" s="25" t="str">
        <f t="shared" si="269"/>
        <v/>
      </c>
      <c r="AZ410" s="12" t="str">
        <f t="shared" si="270"/>
        <v/>
      </c>
      <c r="BI410" s="17" t="str">
        <f t="shared" si="271"/>
        <v/>
      </c>
      <c r="BM410" t="str">
        <f t="shared" si="272"/>
        <v>SPT Relationship</v>
      </c>
      <c r="BN410">
        <f t="shared" si="260"/>
        <v>128</v>
      </c>
      <c r="BO410" t="str">
        <f t="shared" si="273"/>
        <v>Wolff, 1989</v>
      </c>
      <c r="BP410">
        <f t="shared" si="257"/>
        <v>39</v>
      </c>
      <c r="BQ410" t="str">
        <f t="shared" si="274"/>
        <v/>
      </c>
      <c r="BR410" t="str">
        <f t="shared" si="288"/>
        <v/>
      </c>
      <c r="BS410" t="str">
        <f t="shared" si="275"/>
        <v/>
      </c>
      <c r="BT410" t="str">
        <f t="shared" si="258"/>
        <v/>
      </c>
      <c r="BU410" t="str">
        <f t="shared" si="276"/>
        <v/>
      </c>
      <c r="BV410" t="str">
        <f t="shared" si="289"/>
        <v/>
      </c>
      <c r="BW410" t="str">
        <f t="shared" si="277"/>
        <v/>
      </c>
      <c r="BX410" t="str">
        <f t="shared" si="290"/>
        <v/>
      </c>
      <c r="BY410" t="str">
        <f t="shared" si="278"/>
        <v/>
      </c>
      <c r="BZ410" t="str">
        <f t="shared" si="291"/>
        <v/>
      </c>
      <c r="CA410" t="str">
        <f t="shared" si="279"/>
        <v/>
      </c>
      <c r="CB410" t="str">
        <f t="shared" si="261"/>
        <v/>
      </c>
      <c r="CC410" t="str">
        <f t="shared" si="280"/>
        <v/>
      </c>
      <c r="CD410" t="str">
        <f t="shared" si="262"/>
        <v/>
      </c>
      <c r="CE410" t="str">
        <f t="shared" si="281"/>
        <v>Bowles 5th edition</v>
      </c>
      <c r="CF410">
        <f t="shared" si="263"/>
        <v>301</v>
      </c>
      <c r="CG410" t="str">
        <f t="shared" si="282"/>
        <v/>
      </c>
      <c r="CH410" t="str">
        <f t="shared" si="264"/>
        <v/>
      </c>
      <c r="CI410" t="str">
        <f t="shared" si="283"/>
        <v/>
      </c>
      <c r="CJ410" t="str">
        <f t="shared" si="292"/>
        <v/>
      </c>
    </row>
    <row r="411" spans="2:88" x14ac:dyDescent="0.3">
      <c r="B411" t="str">
        <f t="shared" si="284"/>
        <v>36.832728-76.126475</v>
      </c>
      <c r="C411" s="30" t="s">
        <v>126</v>
      </c>
      <c r="D411">
        <v>36.832728000000003</v>
      </c>
      <c r="E411">
        <v>-76.126474999999999</v>
      </c>
      <c r="F411">
        <v>5</v>
      </c>
      <c r="G411" t="str">
        <f t="shared" si="285"/>
        <v>-5-736.832728-76.126475</v>
      </c>
      <c r="H411">
        <v>-5</v>
      </c>
      <c r="I411">
        <v>-7</v>
      </c>
      <c r="J411" s="30" t="s">
        <v>21</v>
      </c>
      <c r="L411" t="s">
        <v>16</v>
      </c>
      <c r="M411">
        <v>10</v>
      </c>
      <c r="S411" t="str">
        <f t="shared" si="259"/>
        <v>Sand</v>
      </c>
      <c r="T411">
        <f t="shared" si="286"/>
        <v>1</v>
      </c>
      <c r="AA411">
        <v>80</v>
      </c>
      <c r="AB411" s="1">
        <f t="shared" si="293"/>
        <v>13</v>
      </c>
      <c r="AC411">
        <f t="shared" si="294"/>
        <v>16</v>
      </c>
      <c r="AD411" t="str">
        <f t="shared" si="287"/>
        <v/>
      </c>
      <c r="AG411" s="21" t="str">
        <f t="shared" si="265"/>
        <v/>
      </c>
      <c r="AI411" s="6" t="str">
        <f t="shared" si="266"/>
        <v/>
      </c>
      <c r="AM411" s="7" t="str">
        <f t="shared" si="267"/>
        <v/>
      </c>
      <c r="AQ411" s="8" t="str">
        <f t="shared" si="268"/>
        <v/>
      </c>
      <c r="AW411" s="25" t="str">
        <f t="shared" si="269"/>
        <v/>
      </c>
      <c r="AZ411" s="12" t="str">
        <f t="shared" si="270"/>
        <v/>
      </c>
      <c r="BI411" s="17" t="str">
        <f t="shared" si="271"/>
        <v/>
      </c>
      <c r="BM411" t="str">
        <f t="shared" si="272"/>
        <v>SPT Relationship</v>
      </c>
      <c r="BN411">
        <f t="shared" si="260"/>
        <v>118</v>
      </c>
      <c r="BO411" t="str">
        <f t="shared" si="273"/>
        <v>Wolff, 1989</v>
      </c>
      <c r="BP411">
        <f t="shared" si="257"/>
        <v>31</v>
      </c>
      <c r="BQ411" t="str">
        <f t="shared" si="274"/>
        <v/>
      </c>
      <c r="BR411" t="str">
        <f t="shared" si="288"/>
        <v/>
      </c>
      <c r="BS411" t="str">
        <f t="shared" si="275"/>
        <v/>
      </c>
      <c r="BT411" t="str">
        <f t="shared" si="258"/>
        <v/>
      </c>
      <c r="BU411" t="str">
        <f t="shared" si="276"/>
        <v/>
      </c>
      <c r="BV411" t="str">
        <f t="shared" si="289"/>
        <v/>
      </c>
      <c r="BW411" t="str">
        <f t="shared" si="277"/>
        <v/>
      </c>
      <c r="BX411" t="str">
        <f t="shared" si="290"/>
        <v/>
      </c>
      <c r="BY411" t="str">
        <f t="shared" si="278"/>
        <v/>
      </c>
      <c r="BZ411" t="str">
        <f t="shared" si="291"/>
        <v/>
      </c>
      <c r="CA411" t="str">
        <f t="shared" si="279"/>
        <v/>
      </c>
      <c r="CB411" t="str">
        <f t="shared" si="261"/>
        <v/>
      </c>
      <c r="CC411" t="str">
        <f t="shared" si="280"/>
        <v/>
      </c>
      <c r="CD411" t="str">
        <f t="shared" si="262"/>
        <v/>
      </c>
      <c r="CE411" t="str">
        <f t="shared" si="281"/>
        <v>Bowles 5th edition</v>
      </c>
      <c r="CF411">
        <f t="shared" si="263"/>
        <v>179</v>
      </c>
      <c r="CG411" t="str">
        <f t="shared" si="282"/>
        <v/>
      </c>
      <c r="CH411" t="str">
        <f t="shared" si="264"/>
        <v/>
      </c>
      <c r="CI411" t="str">
        <f t="shared" si="283"/>
        <v/>
      </c>
      <c r="CJ411" t="str">
        <f t="shared" si="292"/>
        <v/>
      </c>
    </row>
    <row r="412" spans="2:88" x14ac:dyDescent="0.3">
      <c r="B412" t="str">
        <f t="shared" si="284"/>
        <v>36.832728-76.126475</v>
      </c>
      <c r="C412" s="30" t="s">
        <v>126</v>
      </c>
      <c r="D412">
        <v>36.832728000000003</v>
      </c>
      <c r="E412">
        <v>-76.126474999999999</v>
      </c>
      <c r="F412">
        <v>5</v>
      </c>
      <c r="G412" t="str">
        <f t="shared" si="285"/>
        <v>-8-1036.832728-76.126475</v>
      </c>
      <c r="H412">
        <v>-8</v>
      </c>
      <c r="I412">
        <v>-10</v>
      </c>
      <c r="J412" s="30" t="s">
        <v>21</v>
      </c>
      <c r="L412" t="s">
        <v>16</v>
      </c>
      <c r="M412">
        <v>10</v>
      </c>
      <c r="S412" t="str">
        <f t="shared" si="259"/>
        <v>Sand</v>
      </c>
      <c r="T412">
        <f t="shared" si="286"/>
        <v>1</v>
      </c>
      <c r="AA412">
        <v>80</v>
      </c>
      <c r="AB412" s="1">
        <f t="shared" si="293"/>
        <v>13</v>
      </c>
      <c r="AC412">
        <f t="shared" si="294"/>
        <v>14</v>
      </c>
      <c r="AD412" t="str">
        <f t="shared" si="287"/>
        <v/>
      </c>
      <c r="AG412" s="21" t="str">
        <f t="shared" si="265"/>
        <v/>
      </c>
      <c r="AI412" s="6" t="str">
        <f t="shared" si="266"/>
        <v/>
      </c>
      <c r="AM412" s="7" t="str">
        <f t="shared" si="267"/>
        <v/>
      </c>
      <c r="AQ412" s="8" t="str">
        <f t="shared" si="268"/>
        <v/>
      </c>
      <c r="AW412" s="25" t="str">
        <f t="shared" si="269"/>
        <v/>
      </c>
      <c r="AZ412" s="12" t="str">
        <f t="shared" si="270"/>
        <v/>
      </c>
      <c r="BI412" s="17" t="str">
        <f t="shared" si="271"/>
        <v/>
      </c>
      <c r="BM412" t="str">
        <f t="shared" si="272"/>
        <v>SPT Relationship</v>
      </c>
      <c r="BN412">
        <f t="shared" si="260"/>
        <v>118</v>
      </c>
      <c r="BO412" t="str">
        <f t="shared" si="273"/>
        <v>Wolff, 1989</v>
      </c>
      <c r="BP412">
        <f t="shared" si="257"/>
        <v>31</v>
      </c>
      <c r="BQ412" t="str">
        <f t="shared" si="274"/>
        <v/>
      </c>
      <c r="BR412" t="str">
        <f t="shared" si="288"/>
        <v/>
      </c>
      <c r="BS412" t="str">
        <f t="shared" si="275"/>
        <v/>
      </c>
      <c r="BT412" t="str">
        <f t="shared" si="258"/>
        <v/>
      </c>
      <c r="BU412" t="str">
        <f t="shared" si="276"/>
        <v/>
      </c>
      <c r="BV412" t="str">
        <f t="shared" si="289"/>
        <v/>
      </c>
      <c r="BW412" t="str">
        <f t="shared" si="277"/>
        <v/>
      </c>
      <c r="BX412" t="str">
        <f t="shared" si="290"/>
        <v/>
      </c>
      <c r="BY412" t="str">
        <f t="shared" si="278"/>
        <v/>
      </c>
      <c r="BZ412" t="str">
        <f t="shared" si="291"/>
        <v/>
      </c>
      <c r="CA412" t="str">
        <f t="shared" si="279"/>
        <v/>
      </c>
      <c r="CB412" t="str">
        <f t="shared" si="261"/>
        <v/>
      </c>
      <c r="CC412" t="str">
        <f t="shared" si="280"/>
        <v/>
      </c>
      <c r="CD412" t="str">
        <f t="shared" si="262"/>
        <v/>
      </c>
      <c r="CE412" t="str">
        <f t="shared" si="281"/>
        <v>Bowles 5th edition</v>
      </c>
      <c r="CF412">
        <f t="shared" si="263"/>
        <v>179</v>
      </c>
      <c r="CG412" t="str">
        <f t="shared" si="282"/>
        <v/>
      </c>
      <c r="CH412" t="str">
        <f t="shared" si="264"/>
        <v/>
      </c>
      <c r="CI412" t="str">
        <f t="shared" si="283"/>
        <v/>
      </c>
      <c r="CJ412" t="str">
        <f t="shared" si="292"/>
        <v/>
      </c>
    </row>
    <row r="413" spans="2:88" x14ac:dyDescent="0.3">
      <c r="B413" t="str">
        <f t="shared" si="284"/>
        <v>36.832728-76.126475</v>
      </c>
      <c r="C413" s="30" t="s">
        <v>126</v>
      </c>
      <c r="D413">
        <v>36.832728000000003</v>
      </c>
      <c r="E413">
        <v>-76.126474999999999</v>
      </c>
      <c r="F413">
        <v>5</v>
      </c>
      <c r="G413" t="str">
        <f t="shared" si="285"/>
        <v>-13-1536.832728-76.126475</v>
      </c>
      <c r="H413">
        <v>-13</v>
      </c>
      <c r="I413">
        <v>-15</v>
      </c>
      <c r="J413" s="30" t="s">
        <v>21</v>
      </c>
      <c r="L413" t="s">
        <v>16</v>
      </c>
      <c r="M413">
        <v>17</v>
      </c>
      <c r="S413" t="str">
        <f t="shared" si="259"/>
        <v>Sand</v>
      </c>
      <c r="T413">
        <f t="shared" si="286"/>
        <v>1</v>
      </c>
      <c r="AA413">
        <v>80</v>
      </c>
      <c r="AB413" s="1">
        <f t="shared" si="293"/>
        <v>23</v>
      </c>
      <c r="AC413">
        <f t="shared" si="294"/>
        <v>22</v>
      </c>
      <c r="AD413" t="str">
        <f t="shared" si="287"/>
        <v/>
      </c>
      <c r="AG413" s="21" t="str">
        <f t="shared" si="265"/>
        <v/>
      </c>
      <c r="AI413" s="6" t="str">
        <f t="shared" si="266"/>
        <v/>
      </c>
      <c r="AM413" s="7" t="str">
        <f t="shared" si="267"/>
        <v/>
      </c>
      <c r="AQ413" s="8" t="str">
        <f t="shared" si="268"/>
        <v/>
      </c>
      <c r="AW413" s="25" t="str">
        <f t="shared" si="269"/>
        <v/>
      </c>
      <c r="AZ413" s="12" t="str">
        <f t="shared" si="270"/>
        <v/>
      </c>
      <c r="BI413" s="17" t="str">
        <f t="shared" si="271"/>
        <v/>
      </c>
      <c r="BM413" t="str">
        <f t="shared" si="272"/>
        <v>SPT Relationship</v>
      </c>
      <c r="BN413">
        <f t="shared" si="260"/>
        <v>124</v>
      </c>
      <c r="BO413" t="str">
        <f t="shared" si="273"/>
        <v>Wolff, 1989</v>
      </c>
      <c r="BP413">
        <f t="shared" si="257"/>
        <v>33</v>
      </c>
      <c r="BQ413" t="str">
        <f t="shared" si="274"/>
        <v/>
      </c>
      <c r="BR413" t="str">
        <f t="shared" si="288"/>
        <v/>
      </c>
      <c r="BS413" t="str">
        <f t="shared" si="275"/>
        <v/>
      </c>
      <c r="BT413" t="str">
        <f t="shared" si="258"/>
        <v/>
      </c>
      <c r="BU413" t="str">
        <f t="shared" si="276"/>
        <v/>
      </c>
      <c r="BV413" t="str">
        <f t="shared" si="289"/>
        <v/>
      </c>
      <c r="BW413" t="str">
        <f t="shared" si="277"/>
        <v/>
      </c>
      <c r="BX413" t="str">
        <f t="shared" si="290"/>
        <v/>
      </c>
      <c r="BY413" t="str">
        <f t="shared" si="278"/>
        <v/>
      </c>
      <c r="BZ413" t="str">
        <f t="shared" si="291"/>
        <v/>
      </c>
      <c r="CA413" t="str">
        <f t="shared" si="279"/>
        <v/>
      </c>
      <c r="CB413" t="str">
        <f t="shared" si="261"/>
        <v/>
      </c>
      <c r="CC413" t="str">
        <f t="shared" si="280"/>
        <v/>
      </c>
      <c r="CD413" t="str">
        <f t="shared" si="262"/>
        <v/>
      </c>
      <c r="CE413" t="str">
        <f t="shared" si="281"/>
        <v>Bowles 5th edition</v>
      </c>
      <c r="CF413">
        <f t="shared" si="263"/>
        <v>243</v>
      </c>
      <c r="CG413" t="str">
        <f t="shared" si="282"/>
        <v/>
      </c>
      <c r="CH413" t="str">
        <f t="shared" si="264"/>
        <v/>
      </c>
      <c r="CI413" t="str">
        <f t="shared" si="283"/>
        <v/>
      </c>
      <c r="CJ413" t="str">
        <f t="shared" si="292"/>
        <v/>
      </c>
    </row>
    <row r="414" spans="2:88" x14ac:dyDescent="0.3">
      <c r="B414" t="str">
        <f t="shared" si="284"/>
        <v>36.832728-76.126475</v>
      </c>
      <c r="C414" s="30" t="s">
        <v>126</v>
      </c>
      <c r="D414">
        <v>36.832728000000003</v>
      </c>
      <c r="E414">
        <v>-76.126474999999999</v>
      </c>
      <c r="F414">
        <v>5</v>
      </c>
      <c r="G414" t="str">
        <f t="shared" si="285"/>
        <v>-18-2036.832728-76.126475</v>
      </c>
      <c r="H414">
        <v>-18</v>
      </c>
      <c r="I414">
        <v>-20</v>
      </c>
      <c r="J414" s="30" t="s">
        <v>21</v>
      </c>
      <c r="L414" t="s">
        <v>16</v>
      </c>
      <c r="M414">
        <v>11</v>
      </c>
      <c r="S414" t="str">
        <f t="shared" si="259"/>
        <v>Sand</v>
      </c>
      <c r="T414">
        <f t="shared" si="286"/>
        <v>1</v>
      </c>
      <c r="AA414">
        <v>80</v>
      </c>
      <c r="AB414" s="1">
        <f t="shared" si="293"/>
        <v>15</v>
      </c>
      <c r="AC414">
        <f t="shared" si="294"/>
        <v>13</v>
      </c>
      <c r="AD414" t="str">
        <f t="shared" si="287"/>
        <v/>
      </c>
      <c r="AG414" s="21" t="str">
        <f t="shared" si="265"/>
        <v/>
      </c>
      <c r="AI414" s="6" t="str">
        <f t="shared" si="266"/>
        <v/>
      </c>
      <c r="AM414" s="7" t="str">
        <f t="shared" si="267"/>
        <v/>
      </c>
      <c r="AQ414" s="8" t="str">
        <f t="shared" si="268"/>
        <v/>
      </c>
      <c r="AW414" s="25" t="str">
        <f t="shared" si="269"/>
        <v/>
      </c>
      <c r="AZ414" s="12" t="str">
        <f t="shared" si="270"/>
        <v/>
      </c>
      <c r="BI414" s="17" t="str">
        <f t="shared" si="271"/>
        <v/>
      </c>
      <c r="BM414" t="str">
        <f t="shared" si="272"/>
        <v>SPT Relationship</v>
      </c>
      <c r="BN414">
        <f t="shared" si="260"/>
        <v>119</v>
      </c>
      <c r="BO414" t="str">
        <f t="shared" si="273"/>
        <v>Wolff, 1989</v>
      </c>
      <c r="BP414">
        <f t="shared" si="257"/>
        <v>30</v>
      </c>
      <c r="BQ414" t="str">
        <f t="shared" si="274"/>
        <v/>
      </c>
      <c r="BR414" t="str">
        <f t="shared" si="288"/>
        <v/>
      </c>
      <c r="BS414" t="str">
        <f t="shared" si="275"/>
        <v/>
      </c>
      <c r="BT414" t="str">
        <f t="shared" si="258"/>
        <v/>
      </c>
      <c r="BU414" t="str">
        <f t="shared" si="276"/>
        <v/>
      </c>
      <c r="BV414" t="str">
        <f t="shared" si="289"/>
        <v/>
      </c>
      <c r="BW414" t="str">
        <f t="shared" si="277"/>
        <v/>
      </c>
      <c r="BX414" t="str">
        <f t="shared" si="290"/>
        <v/>
      </c>
      <c r="BY414" t="str">
        <f t="shared" si="278"/>
        <v/>
      </c>
      <c r="BZ414" t="str">
        <f t="shared" si="291"/>
        <v/>
      </c>
      <c r="CA414" t="str">
        <f t="shared" si="279"/>
        <v/>
      </c>
      <c r="CB414" t="str">
        <f t="shared" si="261"/>
        <v/>
      </c>
      <c r="CC414" t="str">
        <f t="shared" si="280"/>
        <v/>
      </c>
      <c r="CD414" t="str">
        <f t="shared" si="262"/>
        <v/>
      </c>
      <c r="CE414" t="str">
        <f t="shared" si="281"/>
        <v>Bowles 5th edition</v>
      </c>
      <c r="CF414">
        <f t="shared" si="263"/>
        <v>192</v>
      </c>
      <c r="CG414" t="str">
        <f t="shared" si="282"/>
        <v/>
      </c>
      <c r="CH414" t="str">
        <f t="shared" si="264"/>
        <v/>
      </c>
      <c r="CI414" t="str">
        <f t="shared" si="283"/>
        <v/>
      </c>
      <c r="CJ414" t="str">
        <f t="shared" si="292"/>
        <v/>
      </c>
    </row>
    <row r="415" spans="2:88" x14ac:dyDescent="0.3">
      <c r="B415" t="str">
        <f t="shared" si="284"/>
        <v>36.832728-76.126475</v>
      </c>
      <c r="C415" s="30" t="s">
        <v>126</v>
      </c>
      <c r="D415">
        <v>36.832728000000003</v>
      </c>
      <c r="E415">
        <v>-76.126474999999999</v>
      </c>
      <c r="F415">
        <v>5</v>
      </c>
      <c r="G415" t="str">
        <f t="shared" si="285"/>
        <v>-23-2536.832728-76.126475</v>
      </c>
      <c r="H415">
        <v>-23</v>
      </c>
      <c r="I415">
        <v>-25</v>
      </c>
      <c r="J415" s="30" t="s">
        <v>21</v>
      </c>
      <c r="L415" t="s">
        <v>8</v>
      </c>
      <c r="M415">
        <v>7</v>
      </c>
      <c r="S415" t="str">
        <f t="shared" si="259"/>
        <v>Sand</v>
      </c>
      <c r="T415">
        <f t="shared" si="286"/>
        <v>1</v>
      </c>
      <c r="AA415">
        <v>80</v>
      </c>
      <c r="AB415" s="1">
        <f t="shared" si="293"/>
        <v>9</v>
      </c>
      <c r="AC415">
        <f t="shared" si="294"/>
        <v>7</v>
      </c>
      <c r="AD415" t="str">
        <f t="shared" si="287"/>
        <v/>
      </c>
      <c r="AG415" s="21" t="str">
        <f t="shared" si="265"/>
        <v/>
      </c>
      <c r="AI415" s="6" t="str">
        <f t="shared" si="266"/>
        <v/>
      </c>
      <c r="AM415" s="7" t="str">
        <f t="shared" si="267"/>
        <v/>
      </c>
      <c r="AQ415" s="8" t="str">
        <f t="shared" si="268"/>
        <v/>
      </c>
      <c r="AW415" s="25" t="str">
        <f t="shared" si="269"/>
        <v/>
      </c>
      <c r="AZ415" s="12" t="str">
        <f t="shared" si="270"/>
        <v/>
      </c>
      <c r="BI415" s="17" t="str">
        <f t="shared" si="271"/>
        <v/>
      </c>
      <c r="BM415" t="str">
        <f t="shared" si="272"/>
        <v>SPT Relationship</v>
      </c>
      <c r="BN415">
        <f t="shared" si="260"/>
        <v>114</v>
      </c>
      <c r="BO415" t="str">
        <f t="shared" si="273"/>
        <v>Wolff, 1989</v>
      </c>
      <c r="BP415">
        <f t="shared" si="257"/>
        <v>29</v>
      </c>
      <c r="BQ415" t="str">
        <f t="shared" si="274"/>
        <v/>
      </c>
      <c r="BR415" t="str">
        <f t="shared" si="288"/>
        <v/>
      </c>
      <c r="BS415" t="str">
        <f t="shared" si="275"/>
        <v/>
      </c>
      <c r="BT415" t="str">
        <f t="shared" si="258"/>
        <v/>
      </c>
      <c r="BU415" t="str">
        <f t="shared" si="276"/>
        <v/>
      </c>
      <c r="BV415" t="str">
        <f t="shared" si="289"/>
        <v/>
      </c>
      <c r="BW415" t="str">
        <f t="shared" si="277"/>
        <v/>
      </c>
      <c r="BX415" t="str">
        <f t="shared" si="290"/>
        <v/>
      </c>
      <c r="BY415" t="str">
        <f t="shared" si="278"/>
        <v/>
      </c>
      <c r="BZ415" t="str">
        <f t="shared" si="291"/>
        <v/>
      </c>
      <c r="CA415" t="str">
        <f t="shared" si="279"/>
        <v/>
      </c>
      <c r="CB415" t="str">
        <f t="shared" si="261"/>
        <v/>
      </c>
      <c r="CC415" t="str">
        <f t="shared" si="280"/>
        <v/>
      </c>
      <c r="CD415" t="str">
        <f t="shared" si="262"/>
        <v/>
      </c>
      <c r="CE415" t="str">
        <f t="shared" si="281"/>
        <v>Bowles 5th edition</v>
      </c>
      <c r="CF415">
        <f t="shared" si="263"/>
        <v>154</v>
      </c>
      <c r="CG415" t="str">
        <f t="shared" si="282"/>
        <v/>
      </c>
      <c r="CH415" t="str">
        <f t="shared" si="264"/>
        <v/>
      </c>
      <c r="CI415" t="str">
        <f t="shared" si="283"/>
        <v/>
      </c>
      <c r="CJ415" t="str">
        <f t="shared" si="292"/>
        <v/>
      </c>
    </row>
    <row r="416" spans="2:88" x14ac:dyDescent="0.3">
      <c r="B416" t="str">
        <f t="shared" si="284"/>
        <v>36.832583-76.124812</v>
      </c>
      <c r="C416" s="30" t="s">
        <v>127</v>
      </c>
      <c r="D416">
        <v>36.832583</v>
      </c>
      <c r="E416">
        <v>-76.124812000000006</v>
      </c>
      <c r="F416">
        <v>5</v>
      </c>
      <c r="G416" t="str">
        <f t="shared" si="285"/>
        <v>5336.832583-76.124812</v>
      </c>
      <c r="H416">
        <v>5</v>
      </c>
      <c r="I416">
        <v>3</v>
      </c>
      <c r="J416" s="30" t="s">
        <v>21</v>
      </c>
      <c r="L416" t="s">
        <v>147</v>
      </c>
      <c r="M416">
        <v>18</v>
      </c>
      <c r="S416" t="str">
        <f t="shared" si="259"/>
        <v>Gravel</v>
      </c>
      <c r="T416">
        <f t="shared" si="286"/>
        <v>1</v>
      </c>
      <c r="AA416">
        <v>80</v>
      </c>
      <c r="AB416" s="1">
        <f t="shared" si="293"/>
        <v>24</v>
      </c>
      <c r="AC416">
        <f t="shared" si="294"/>
        <v>73</v>
      </c>
      <c r="AD416" t="str">
        <f t="shared" si="287"/>
        <v/>
      </c>
      <c r="AG416" s="21" t="str">
        <f t="shared" si="265"/>
        <v/>
      </c>
      <c r="AI416" s="6" t="str">
        <f t="shared" si="266"/>
        <v/>
      </c>
      <c r="AM416" s="7" t="str">
        <f t="shared" si="267"/>
        <v/>
      </c>
      <c r="AQ416" s="8" t="str">
        <f t="shared" si="268"/>
        <v/>
      </c>
      <c r="AW416" s="25" t="str">
        <f t="shared" si="269"/>
        <v/>
      </c>
      <c r="AZ416" s="12" t="str">
        <f t="shared" si="270"/>
        <v/>
      </c>
      <c r="BI416" s="17" t="str">
        <f t="shared" si="271"/>
        <v/>
      </c>
      <c r="BM416" t="str">
        <f t="shared" si="272"/>
        <v>SPT Relationship</v>
      </c>
      <c r="BN416">
        <f t="shared" si="260"/>
        <v>125</v>
      </c>
      <c r="BO416" t="str">
        <f t="shared" si="273"/>
        <v>Wolff, 1989</v>
      </c>
      <c r="BP416">
        <f t="shared" si="257"/>
        <v>46</v>
      </c>
      <c r="BQ416" t="str">
        <f t="shared" si="274"/>
        <v/>
      </c>
      <c r="BR416" t="str">
        <f t="shared" si="288"/>
        <v/>
      </c>
      <c r="BS416" t="str">
        <f t="shared" si="275"/>
        <v/>
      </c>
      <c r="BT416" t="str">
        <f t="shared" si="258"/>
        <v/>
      </c>
      <c r="BU416" t="str">
        <f t="shared" si="276"/>
        <v/>
      </c>
      <c r="BV416" t="str">
        <f t="shared" si="289"/>
        <v/>
      </c>
      <c r="BW416" t="str">
        <f t="shared" si="277"/>
        <v/>
      </c>
      <c r="BX416" t="str">
        <f t="shared" si="290"/>
        <v/>
      </c>
      <c r="BY416" t="str">
        <f t="shared" si="278"/>
        <v/>
      </c>
      <c r="BZ416" t="str">
        <f t="shared" si="291"/>
        <v/>
      </c>
      <c r="CA416" t="str">
        <f t="shared" si="279"/>
        <v/>
      </c>
      <c r="CB416" t="str">
        <f t="shared" si="261"/>
        <v/>
      </c>
      <c r="CC416" t="str">
        <f t="shared" si="280"/>
        <v/>
      </c>
      <c r="CD416" t="str">
        <f t="shared" si="262"/>
        <v/>
      </c>
      <c r="CE416" t="str">
        <f t="shared" si="281"/>
        <v>Bowles 5th edition</v>
      </c>
      <c r="CF416">
        <f t="shared" si="263"/>
        <v>250</v>
      </c>
      <c r="CG416" t="str">
        <f t="shared" si="282"/>
        <v/>
      </c>
      <c r="CH416" t="str">
        <f t="shared" si="264"/>
        <v/>
      </c>
      <c r="CI416" t="str">
        <f t="shared" si="283"/>
        <v/>
      </c>
      <c r="CJ416" t="str">
        <f t="shared" si="292"/>
        <v/>
      </c>
    </row>
    <row r="417" spans="2:88" x14ac:dyDescent="0.3">
      <c r="B417" t="str">
        <f t="shared" si="284"/>
        <v>36.832583-76.124812</v>
      </c>
      <c r="C417" s="30" t="s">
        <v>127</v>
      </c>
      <c r="D417">
        <v>36.832583</v>
      </c>
      <c r="E417">
        <v>-76.124812000000006</v>
      </c>
      <c r="F417">
        <v>5</v>
      </c>
      <c r="G417" t="str">
        <f t="shared" si="285"/>
        <v>3136.832583-76.124812</v>
      </c>
      <c r="H417">
        <v>3</v>
      </c>
      <c r="I417">
        <v>1</v>
      </c>
      <c r="J417" s="30" t="s">
        <v>21</v>
      </c>
      <c r="L417" t="s">
        <v>17</v>
      </c>
      <c r="M417">
        <v>9</v>
      </c>
      <c r="S417" t="str">
        <f t="shared" si="259"/>
        <v>Sand</v>
      </c>
      <c r="T417">
        <f t="shared" si="286"/>
        <v>1</v>
      </c>
      <c r="AA417">
        <v>80</v>
      </c>
      <c r="AB417" s="1">
        <f t="shared" si="293"/>
        <v>12</v>
      </c>
      <c r="AC417">
        <f t="shared" si="294"/>
        <v>26</v>
      </c>
      <c r="AD417" t="str">
        <f t="shared" si="287"/>
        <v/>
      </c>
      <c r="AG417" s="21" t="str">
        <f t="shared" si="265"/>
        <v/>
      </c>
      <c r="AI417" s="6" t="str">
        <f t="shared" si="266"/>
        <v/>
      </c>
      <c r="AM417" s="7" t="str">
        <f t="shared" si="267"/>
        <v/>
      </c>
      <c r="AQ417" s="8" t="str">
        <f t="shared" si="268"/>
        <v/>
      </c>
      <c r="AW417" s="25" t="str">
        <f t="shared" si="269"/>
        <v/>
      </c>
      <c r="AZ417" s="12" t="str">
        <f t="shared" si="270"/>
        <v/>
      </c>
      <c r="BI417" s="17" t="str">
        <f t="shared" si="271"/>
        <v/>
      </c>
      <c r="BM417" t="str">
        <f t="shared" si="272"/>
        <v>SPT Relationship</v>
      </c>
      <c r="BN417">
        <f t="shared" si="260"/>
        <v>117</v>
      </c>
      <c r="BO417" t="str">
        <f t="shared" si="273"/>
        <v>Wolff, 1989</v>
      </c>
      <c r="BP417">
        <f t="shared" si="257"/>
        <v>34</v>
      </c>
      <c r="BQ417" t="str">
        <f t="shared" si="274"/>
        <v/>
      </c>
      <c r="BR417" t="str">
        <f t="shared" si="288"/>
        <v/>
      </c>
      <c r="BS417" t="str">
        <f t="shared" si="275"/>
        <v/>
      </c>
      <c r="BT417" t="str">
        <f t="shared" si="258"/>
        <v/>
      </c>
      <c r="BU417" t="str">
        <f t="shared" si="276"/>
        <v/>
      </c>
      <c r="BV417" t="str">
        <f t="shared" si="289"/>
        <v/>
      </c>
      <c r="BW417" t="str">
        <f t="shared" si="277"/>
        <v/>
      </c>
      <c r="BX417" t="str">
        <f t="shared" si="290"/>
        <v/>
      </c>
      <c r="BY417" t="str">
        <f t="shared" si="278"/>
        <v/>
      </c>
      <c r="BZ417" t="str">
        <f t="shared" si="291"/>
        <v/>
      </c>
      <c r="CA417" t="str">
        <f t="shared" si="279"/>
        <v/>
      </c>
      <c r="CB417" t="str">
        <f t="shared" si="261"/>
        <v/>
      </c>
      <c r="CC417" t="str">
        <f t="shared" si="280"/>
        <v/>
      </c>
      <c r="CD417" t="str">
        <f t="shared" si="262"/>
        <v/>
      </c>
      <c r="CE417" t="str">
        <f t="shared" si="281"/>
        <v>Bowles 5th edition</v>
      </c>
      <c r="CF417">
        <f t="shared" si="263"/>
        <v>173</v>
      </c>
      <c r="CG417" t="str">
        <f t="shared" si="282"/>
        <v/>
      </c>
      <c r="CH417" t="str">
        <f t="shared" si="264"/>
        <v/>
      </c>
      <c r="CI417" t="str">
        <f t="shared" si="283"/>
        <v/>
      </c>
      <c r="CJ417" t="str">
        <f t="shared" si="292"/>
        <v/>
      </c>
    </row>
    <row r="418" spans="2:88" x14ac:dyDescent="0.3">
      <c r="B418" t="str">
        <f t="shared" si="284"/>
        <v>36.832583-76.124812</v>
      </c>
      <c r="C418" s="30" t="s">
        <v>127</v>
      </c>
      <c r="D418">
        <v>36.832583</v>
      </c>
      <c r="E418">
        <v>-76.124812000000006</v>
      </c>
      <c r="F418">
        <v>5</v>
      </c>
      <c r="G418" t="str">
        <f t="shared" si="285"/>
        <v>1-136.832583-76.124812</v>
      </c>
      <c r="H418">
        <v>1</v>
      </c>
      <c r="I418">
        <v>-1</v>
      </c>
      <c r="J418" s="30" t="s">
        <v>21</v>
      </c>
      <c r="L418" t="s">
        <v>11</v>
      </c>
      <c r="M418">
        <v>10</v>
      </c>
      <c r="S418" t="str">
        <f t="shared" si="259"/>
        <v>Clay</v>
      </c>
      <c r="T418">
        <f t="shared" si="286"/>
        <v>1</v>
      </c>
      <c r="AA418">
        <v>80</v>
      </c>
      <c r="AB418" s="1">
        <f t="shared" si="293"/>
        <v>13</v>
      </c>
      <c r="AC418">
        <f t="shared" si="294"/>
        <v>23</v>
      </c>
      <c r="AD418" t="str">
        <f t="shared" si="287"/>
        <v/>
      </c>
      <c r="AG418" s="21" t="str">
        <f t="shared" si="265"/>
        <v/>
      </c>
      <c r="AI418" s="6" t="str">
        <f t="shared" si="266"/>
        <v/>
      </c>
      <c r="AM418" s="7" t="str">
        <f t="shared" si="267"/>
        <v/>
      </c>
      <c r="AQ418" s="8" t="str">
        <f t="shared" si="268"/>
        <v/>
      </c>
      <c r="AW418" s="25" t="str">
        <f t="shared" si="269"/>
        <v/>
      </c>
      <c r="AZ418" s="12" t="str">
        <f t="shared" si="270"/>
        <v/>
      </c>
      <c r="BI418" s="17" t="str">
        <f t="shared" si="271"/>
        <v/>
      </c>
      <c r="BM418" t="str">
        <f t="shared" si="272"/>
        <v>SPT Relationship</v>
      </c>
      <c r="BN418">
        <f t="shared" si="260"/>
        <v>118</v>
      </c>
      <c r="BO418" t="str">
        <f t="shared" si="273"/>
        <v>Wolff, 1989</v>
      </c>
      <c r="BP418">
        <f t="shared" si="257"/>
        <v>33</v>
      </c>
      <c r="BQ418" t="str">
        <f t="shared" si="274"/>
        <v/>
      </c>
      <c r="BR418" t="str">
        <f t="shared" si="288"/>
        <v/>
      </c>
      <c r="BS418" t="str">
        <f t="shared" si="275"/>
        <v>Stroud 1974 (K=3.5)</v>
      </c>
      <c r="BT418">
        <f t="shared" si="258"/>
        <v>950</v>
      </c>
      <c r="BU418" t="str">
        <f t="shared" si="276"/>
        <v/>
      </c>
      <c r="BV418" t="str">
        <f t="shared" si="289"/>
        <v/>
      </c>
      <c r="BW418" t="str">
        <f t="shared" si="277"/>
        <v/>
      </c>
      <c r="BX418" t="str">
        <f t="shared" si="290"/>
        <v/>
      </c>
      <c r="BY418" t="str">
        <f t="shared" si="278"/>
        <v/>
      </c>
      <c r="BZ418" t="str">
        <f t="shared" si="291"/>
        <v/>
      </c>
      <c r="CA418" t="str">
        <f t="shared" si="279"/>
        <v/>
      </c>
      <c r="CB418" t="str">
        <f t="shared" si="261"/>
        <v/>
      </c>
      <c r="CC418" t="str">
        <f t="shared" si="280"/>
        <v/>
      </c>
      <c r="CD418" t="str">
        <f t="shared" si="262"/>
        <v/>
      </c>
      <c r="CE418" t="str">
        <f t="shared" si="281"/>
        <v/>
      </c>
      <c r="CF418" t="str">
        <f t="shared" si="263"/>
        <v/>
      </c>
      <c r="CG418" t="str">
        <f t="shared" si="282"/>
        <v/>
      </c>
      <c r="CH418" t="str">
        <f t="shared" si="264"/>
        <v/>
      </c>
      <c r="CI418" t="str">
        <f t="shared" si="283"/>
        <v/>
      </c>
      <c r="CJ418" t="str">
        <f t="shared" si="292"/>
        <v/>
      </c>
    </row>
    <row r="419" spans="2:88" x14ac:dyDescent="0.3">
      <c r="B419" t="str">
        <f t="shared" si="284"/>
        <v>36.832583-76.124812</v>
      </c>
      <c r="C419" s="30" t="s">
        <v>127</v>
      </c>
      <c r="D419">
        <v>36.832583</v>
      </c>
      <c r="E419">
        <v>-76.124812000000006</v>
      </c>
      <c r="F419">
        <v>5</v>
      </c>
      <c r="G419" t="str">
        <f t="shared" si="285"/>
        <v>-1-336.832583-76.124812</v>
      </c>
      <c r="H419">
        <v>-1</v>
      </c>
      <c r="I419">
        <v>-3</v>
      </c>
      <c r="J419" s="30" t="s">
        <v>21</v>
      </c>
      <c r="L419" t="s">
        <v>16</v>
      </c>
      <c r="M419">
        <v>14</v>
      </c>
      <c r="S419" t="str">
        <f t="shared" si="259"/>
        <v>Sand</v>
      </c>
      <c r="T419">
        <f t="shared" si="286"/>
        <v>1</v>
      </c>
      <c r="AA419">
        <v>80</v>
      </c>
      <c r="AB419" s="1">
        <f t="shared" si="293"/>
        <v>19</v>
      </c>
      <c r="AC419">
        <f t="shared" si="294"/>
        <v>29</v>
      </c>
      <c r="AD419" t="str">
        <f t="shared" si="287"/>
        <v/>
      </c>
      <c r="AG419" s="21" t="str">
        <f t="shared" si="265"/>
        <v/>
      </c>
      <c r="AI419" s="6" t="str">
        <f t="shared" si="266"/>
        <v/>
      </c>
      <c r="AM419" s="7" t="str">
        <f t="shared" si="267"/>
        <v/>
      </c>
      <c r="AQ419" s="8" t="str">
        <f t="shared" si="268"/>
        <v/>
      </c>
      <c r="AW419" s="25" t="str">
        <f t="shared" si="269"/>
        <v/>
      </c>
      <c r="AZ419" s="12" t="str">
        <f t="shared" si="270"/>
        <v/>
      </c>
      <c r="BI419" s="17" t="str">
        <f t="shared" si="271"/>
        <v/>
      </c>
      <c r="BM419" t="str">
        <f t="shared" si="272"/>
        <v>SPT Relationship</v>
      </c>
      <c r="BN419">
        <f t="shared" si="260"/>
        <v>122</v>
      </c>
      <c r="BO419" t="str">
        <f t="shared" si="273"/>
        <v>Wolff, 1989</v>
      </c>
      <c r="BP419">
        <f t="shared" si="257"/>
        <v>35</v>
      </c>
      <c r="BQ419" t="str">
        <f t="shared" si="274"/>
        <v/>
      </c>
      <c r="BR419" t="str">
        <f t="shared" si="288"/>
        <v/>
      </c>
      <c r="BS419" t="str">
        <f t="shared" si="275"/>
        <v/>
      </c>
      <c r="BT419" t="str">
        <f t="shared" si="258"/>
        <v/>
      </c>
      <c r="BU419" t="str">
        <f t="shared" si="276"/>
        <v/>
      </c>
      <c r="BV419" t="str">
        <f t="shared" si="289"/>
        <v/>
      </c>
      <c r="BW419" t="str">
        <f t="shared" si="277"/>
        <v/>
      </c>
      <c r="BX419" t="str">
        <f t="shared" si="290"/>
        <v/>
      </c>
      <c r="BY419" t="str">
        <f t="shared" si="278"/>
        <v/>
      </c>
      <c r="BZ419" t="str">
        <f t="shared" si="291"/>
        <v/>
      </c>
      <c r="CA419" t="str">
        <f t="shared" si="279"/>
        <v/>
      </c>
      <c r="CB419" t="str">
        <f t="shared" si="261"/>
        <v/>
      </c>
      <c r="CC419" t="str">
        <f t="shared" si="280"/>
        <v/>
      </c>
      <c r="CD419" t="str">
        <f t="shared" si="262"/>
        <v/>
      </c>
      <c r="CE419" t="str">
        <f t="shared" si="281"/>
        <v>Bowles 5th edition</v>
      </c>
      <c r="CF419">
        <f t="shared" si="263"/>
        <v>218</v>
      </c>
      <c r="CG419" t="str">
        <f t="shared" si="282"/>
        <v/>
      </c>
      <c r="CH419" t="str">
        <f t="shared" si="264"/>
        <v/>
      </c>
      <c r="CI419" t="str">
        <f t="shared" si="283"/>
        <v/>
      </c>
      <c r="CJ419" t="str">
        <f t="shared" si="292"/>
        <v/>
      </c>
    </row>
    <row r="420" spans="2:88" x14ac:dyDescent="0.3">
      <c r="B420" t="str">
        <f t="shared" si="284"/>
        <v>36.832583-76.124812</v>
      </c>
      <c r="C420" s="30" t="s">
        <v>127</v>
      </c>
      <c r="D420">
        <v>36.832583</v>
      </c>
      <c r="E420">
        <v>-76.124812000000006</v>
      </c>
      <c r="F420">
        <v>5</v>
      </c>
      <c r="G420" t="str">
        <f t="shared" si="285"/>
        <v>-3-536.832583-76.124812</v>
      </c>
      <c r="H420">
        <v>-3</v>
      </c>
      <c r="I420">
        <v>-5</v>
      </c>
      <c r="J420" s="30" t="s">
        <v>21</v>
      </c>
      <c r="L420" t="s">
        <v>16</v>
      </c>
      <c r="M420">
        <v>4</v>
      </c>
      <c r="S420" t="str">
        <f t="shared" si="259"/>
        <v>Sand</v>
      </c>
      <c r="T420">
        <f t="shared" si="286"/>
        <v>1</v>
      </c>
      <c r="AA420">
        <v>80</v>
      </c>
      <c r="AB420" s="1">
        <f t="shared" si="293"/>
        <v>5</v>
      </c>
      <c r="AC420">
        <f t="shared" si="294"/>
        <v>6</v>
      </c>
      <c r="AD420" t="str">
        <f t="shared" si="287"/>
        <v/>
      </c>
      <c r="AG420" s="21" t="str">
        <f t="shared" si="265"/>
        <v/>
      </c>
      <c r="AI420" s="6" t="str">
        <f t="shared" si="266"/>
        <v/>
      </c>
      <c r="AM420" s="7" t="str">
        <f t="shared" si="267"/>
        <v/>
      </c>
      <c r="AQ420" s="8" t="str">
        <f t="shared" si="268"/>
        <v/>
      </c>
      <c r="AW420" s="25" t="str">
        <f t="shared" si="269"/>
        <v/>
      </c>
      <c r="AZ420" s="12" t="str">
        <f t="shared" si="270"/>
        <v/>
      </c>
      <c r="BI420" s="17" t="str">
        <f t="shared" si="271"/>
        <v/>
      </c>
      <c r="BM420" t="str">
        <f t="shared" si="272"/>
        <v>SPT Relationship</v>
      </c>
      <c r="BN420">
        <f t="shared" si="260"/>
        <v>108</v>
      </c>
      <c r="BO420" t="str">
        <f t="shared" si="273"/>
        <v>Wolff, 1989</v>
      </c>
      <c r="BP420">
        <f t="shared" ref="BP420:BP483" si="295">IFERROR(ROUNDDOWN(27.1+0.3*AC420-0.00054*AC420^2,0),"")</f>
        <v>28</v>
      </c>
      <c r="BQ420" t="str">
        <f t="shared" si="274"/>
        <v/>
      </c>
      <c r="BR420" t="str">
        <f t="shared" si="288"/>
        <v/>
      </c>
      <c r="BS420" t="str">
        <f t="shared" si="275"/>
        <v/>
      </c>
      <c r="BT420" t="str">
        <f t="shared" ref="BT420:BT483" si="296">IFERROR(IF(S420="Clay",ROUND((3.5*AB420)*20.885434273039,0),""),"")</f>
        <v/>
      </c>
      <c r="BU420" t="str">
        <f t="shared" si="276"/>
        <v/>
      </c>
      <c r="BV420" t="str">
        <f t="shared" si="289"/>
        <v/>
      </c>
      <c r="BW420" t="str">
        <f t="shared" si="277"/>
        <v/>
      </c>
      <c r="BX420" t="str">
        <f t="shared" si="290"/>
        <v/>
      </c>
      <c r="BY420" t="str">
        <f t="shared" si="278"/>
        <v/>
      </c>
      <c r="BZ420" t="str">
        <f t="shared" si="291"/>
        <v/>
      </c>
      <c r="CA420" t="str">
        <f t="shared" si="279"/>
        <v/>
      </c>
      <c r="CB420" t="str">
        <f t="shared" si="261"/>
        <v/>
      </c>
      <c r="CC420" t="str">
        <f t="shared" si="280"/>
        <v/>
      </c>
      <c r="CD420" t="str">
        <f t="shared" si="262"/>
        <v/>
      </c>
      <c r="CE420" t="str">
        <f t="shared" si="281"/>
        <v>Bowles 5th edition</v>
      </c>
      <c r="CF420">
        <f t="shared" si="263"/>
        <v>128</v>
      </c>
      <c r="CG420" t="str">
        <f t="shared" si="282"/>
        <v/>
      </c>
      <c r="CH420" t="str">
        <f t="shared" si="264"/>
        <v/>
      </c>
      <c r="CI420" t="str">
        <f t="shared" si="283"/>
        <v/>
      </c>
      <c r="CJ420" t="str">
        <f t="shared" si="292"/>
        <v/>
      </c>
    </row>
    <row r="421" spans="2:88" x14ac:dyDescent="0.3">
      <c r="B421" t="str">
        <f t="shared" si="284"/>
        <v>36.832583-76.124812</v>
      </c>
      <c r="C421" s="30" t="s">
        <v>127</v>
      </c>
      <c r="D421">
        <v>36.832583</v>
      </c>
      <c r="E421">
        <v>-76.124812000000006</v>
      </c>
      <c r="F421">
        <v>5</v>
      </c>
      <c r="G421" t="str">
        <f t="shared" si="285"/>
        <v>-5-736.832583-76.124812</v>
      </c>
      <c r="H421">
        <v>-5</v>
      </c>
      <c r="I421">
        <v>-7</v>
      </c>
      <c r="J421" s="30" t="s">
        <v>21</v>
      </c>
      <c r="L421" t="s">
        <v>8</v>
      </c>
      <c r="M421">
        <v>1</v>
      </c>
      <c r="S421" t="str">
        <f t="shared" si="259"/>
        <v>Sand</v>
      </c>
      <c r="T421">
        <f t="shared" si="286"/>
        <v>1</v>
      </c>
      <c r="AA421">
        <v>80</v>
      </c>
      <c r="AB421" s="1">
        <f t="shared" si="293"/>
        <v>1</v>
      </c>
      <c r="AC421">
        <f t="shared" si="294"/>
        <v>1</v>
      </c>
      <c r="AD421" t="str">
        <f t="shared" si="287"/>
        <v/>
      </c>
      <c r="AG421" s="21" t="str">
        <f t="shared" si="265"/>
        <v/>
      </c>
      <c r="AI421" s="6" t="str">
        <f t="shared" si="266"/>
        <v/>
      </c>
      <c r="AM421" s="7" t="str">
        <f t="shared" si="267"/>
        <v/>
      </c>
      <c r="AQ421" s="8" t="str">
        <f t="shared" si="268"/>
        <v/>
      </c>
      <c r="AW421" s="25" t="str">
        <f t="shared" si="269"/>
        <v/>
      </c>
      <c r="AZ421" s="12" t="str">
        <f t="shared" si="270"/>
        <v/>
      </c>
      <c r="BI421" s="17" t="str">
        <f t="shared" si="271"/>
        <v/>
      </c>
      <c r="BM421" t="str">
        <f t="shared" si="272"/>
        <v>SPT Relationship</v>
      </c>
      <c r="BN421">
        <f t="shared" si="260"/>
        <v>95</v>
      </c>
      <c r="BO421" t="str">
        <f t="shared" si="273"/>
        <v>Wolff, 1989</v>
      </c>
      <c r="BP421">
        <f t="shared" si="295"/>
        <v>27</v>
      </c>
      <c r="BQ421" t="str">
        <f t="shared" si="274"/>
        <v/>
      </c>
      <c r="BR421" t="str">
        <f t="shared" si="288"/>
        <v/>
      </c>
      <c r="BS421" t="str">
        <f t="shared" si="275"/>
        <v/>
      </c>
      <c r="BT421" t="str">
        <f t="shared" si="296"/>
        <v/>
      </c>
      <c r="BU421" t="str">
        <f t="shared" si="276"/>
        <v/>
      </c>
      <c r="BV421" t="str">
        <f t="shared" si="289"/>
        <v/>
      </c>
      <c r="BW421" t="str">
        <f t="shared" si="277"/>
        <v/>
      </c>
      <c r="BX421" t="str">
        <f t="shared" si="290"/>
        <v/>
      </c>
      <c r="BY421" t="str">
        <f t="shared" si="278"/>
        <v/>
      </c>
      <c r="BZ421" t="str">
        <f t="shared" si="291"/>
        <v/>
      </c>
      <c r="CA421" t="str">
        <f t="shared" si="279"/>
        <v/>
      </c>
      <c r="CB421" t="str">
        <f t="shared" si="261"/>
        <v/>
      </c>
      <c r="CC421" t="str">
        <f t="shared" si="280"/>
        <v/>
      </c>
      <c r="CD421" t="str">
        <f t="shared" si="262"/>
        <v/>
      </c>
      <c r="CE421" t="str">
        <f t="shared" si="281"/>
        <v>Bowles 5th edition</v>
      </c>
      <c r="CF421">
        <f t="shared" si="263"/>
        <v>102</v>
      </c>
      <c r="CG421" t="str">
        <f t="shared" si="282"/>
        <v/>
      </c>
      <c r="CH421" t="str">
        <f t="shared" si="264"/>
        <v/>
      </c>
      <c r="CI421" t="str">
        <f t="shared" si="283"/>
        <v/>
      </c>
      <c r="CJ421" t="str">
        <f t="shared" si="292"/>
        <v/>
      </c>
    </row>
    <row r="422" spans="2:88" x14ac:dyDescent="0.3">
      <c r="B422" t="str">
        <f t="shared" si="284"/>
        <v>36.832583-76.124812</v>
      </c>
      <c r="C422" s="30" t="s">
        <v>127</v>
      </c>
      <c r="D422">
        <v>36.832583</v>
      </c>
      <c r="E422">
        <v>-76.124812000000006</v>
      </c>
      <c r="F422">
        <v>5</v>
      </c>
      <c r="G422" t="str">
        <f t="shared" si="285"/>
        <v>-8-1036.832583-76.124812</v>
      </c>
      <c r="H422">
        <v>-8</v>
      </c>
      <c r="I422">
        <v>-10</v>
      </c>
      <c r="J422" s="30" t="s">
        <v>21</v>
      </c>
      <c r="L422" t="s">
        <v>8</v>
      </c>
      <c r="M422">
        <v>4</v>
      </c>
      <c r="S422" t="str">
        <f t="shared" si="259"/>
        <v>Sand</v>
      </c>
      <c r="T422">
        <f t="shared" si="286"/>
        <v>1</v>
      </c>
      <c r="AA422">
        <v>80</v>
      </c>
      <c r="AB422" s="1">
        <f t="shared" si="293"/>
        <v>5</v>
      </c>
      <c r="AC422">
        <f t="shared" si="294"/>
        <v>5</v>
      </c>
      <c r="AD422" t="str">
        <f t="shared" si="287"/>
        <v/>
      </c>
      <c r="AG422" s="21" t="str">
        <f t="shared" si="265"/>
        <v/>
      </c>
      <c r="AI422" s="6" t="str">
        <f t="shared" si="266"/>
        <v/>
      </c>
      <c r="AM422" s="7" t="str">
        <f t="shared" si="267"/>
        <v/>
      </c>
      <c r="AQ422" s="8" t="str">
        <f t="shared" si="268"/>
        <v/>
      </c>
      <c r="AW422" s="25" t="str">
        <f t="shared" si="269"/>
        <v/>
      </c>
      <c r="AZ422" s="12" t="str">
        <f t="shared" si="270"/>
        <v/>
      </c>
      <c r="BI422" s="17" t="str">
        <f t="shared" si="271"/>
        <v/>
      </c>
      <c r="BM422" t="str">
        <f t="shared" si="272"/>
        <v>SPT Relationship</v>
      </c>
      <c r="BN422">
        <f t="shared" si="260"/>
        <v>108</v>
      </c>
      <c r="BO422" t="str">
        <f t="shared" si="273"/>
        <v>Wolff, 1989</v>
      </c>
      <c r="BP422">
        <f t="shared" si="295"/>
        <v>28</v>
      </c>
      <c r="BQ422" t="str">
        <f t="shared" si="274"/>
        <v/>
      </c>
      <c r="BR422" t="str">
        <f t="shared" si="288"/>
        <v/>
      </c>
      <c r="BS422" t="str">
        <f t="shared" si="275"/>
        <v/>
      </c>
      <c r="BT422" t="str">
        <f t="shared" si="296"/>
        <v/>
      </c>
      <c r="BU422" t="str">
        <f t="shared" si="276"/>
        <v/>
      </c>
      <c r="BV422" t="str">
        <f t="shared" si="289"/>
        <v/>
      </c>
      <c r="BW422" t="str">
        <f t="shared" si="277"/>
        <v/>
      </c>
      <c r="BX422" t="str">
        <f t="shared" si="290"/>
        <v/>
      </c>
      <c r="BY422" t="str">
        <f t="shared" si="278"/>
        <v/>
      </c>
      <c r="BZ422" t="str">
        <f t="shared" si="291"/>
        <v/>
      </c>
      <c r="CA422" t="str">
        <f t="shared" si="279"/>
        <v/>
      </c>
      <c r="CB422" t="str">
        <f t="shared" si="261"/>
        <v/>
      </c>
      <c r="CC422" t="str">
        <f t="shared" si="280"/>
        <v/>
      </c>
      <c r="CD422" t="str">
        <f t="shared" si="262"/>
        <v/>
      </c>
      <c r="CE422" t="str">
        <f t="shared" si="281"/>
        <v>Bowles 5th edition</v>
      </c>
      <c r="CF422">
        <f t="shared" si="263"/>
        <v>128</v>
      </c>
      <c r="CG422" t="str">
        <f t="shared" si="282"/>
        <v/>
      </c>
      <c r="CH422" t="str">
        <f t="shared" si="264"/>
        <v/>
      </c>
      <c r="CI422" t="str">
        <f t="shared" si="283"/>
        <v/>
      </c>
      <c r="CJ422" t="str">
        <f t="shared" si="292"/>
        <v/>
      </c>
    </row>
    <row r="423" spans="2:88" x14ac:dyDescent="0.3">
      <c r="B423" t="str">
        <f t="shared" si="284"/>
        <v>36.832583-76.124812</v>
      </c>
      <c r="C423" s="30" t="s">
        <v>127</v>
      </c>
      <c r="D423">
        <v>36.832583</v>
      </c>
      <c r="E423">
        <v>-76.124812000000006</v>
      </c>
      <c r="F423">
        <v>5</v>
      </c>
      <c r="G423" t="str">
        <f t="shared" si="285"/>
        <v>-13-1536.832583-76.124812</v>
      </c>
      <c r="H423">
        <v>-13</v>
      </c>
      <c r="I423">
        <v>-15</v>
      </c>
      <c r="J423" s="30" t="s">
        <v>21</v>
      </c>
      <c r="L423" t="s">
        <v>16</v>
      </c>
      <c r="M423">
        <v>9</v>
      </c>
      <c r="S423" t="str">
        <f t="shared" si="259"/>
        <v>Sand</v>
      </c>
      <c r="T423">
        <f t="shared" si="286"/>
        <v>1</v>
      </c>
      <c r="AA423">
        <v>80</v>
      </c>
      <c r="AB423" s="1">
        <f t="shared" si="293"/>
        <v>12</v>
      </c>
      <c r="AC423">
        <f t="shared" si="294"/>
        <v>11</v>
      </c>
      <c r="AD423" t="str">
        <f t="shared" si="287"/>
        <v/>
      </c>
      <c r="AG423" s="21" t="str">
        <f t="shared" si="265"/>
        <v/>
      </c>
      <c r="AI423" s="6" t="str">
        <f t="shared" si="266"/>
        <v/>
      </c>
      <c r="AM423" s="7" t="str">
        <f t="shared" si="267"/>
        <v/>
      </c>
      <c r="AQ423" s="8" t="str">
        <f t="shared" si="268"/>
        <v/>
      </c>
      <c r="AW423" s="25" t="str">
        <f t="shared" si="269"/>
        <v/>
      </c>
      <c r="AZ423" s="12" t="str">
        <f t="shared" si="270"/>
        <v/>
      </c>
      <c r="BI423" s="17" t="str">
        <f t="shared" si="271"/>
        <v/>
      </c>
      <c r="BM423" t="str">
        <f t="shared" si="272"/>
        <v>SPT Relationship</v>
      </c>
      <c r="BN423">
        <f t="shared" si="260"/>
        <v>117</v>
      </c>
      <c r="BO423" t="str">
        <f t="shared" si="273"/>
        <v>Wolff, 1989</v>
      </c>
      <c r="BP423">
        <f t="shared" si="295"/>
        <v>30</v>
      </c>
      <c r="BQ423" t="str">
        <f t="shared" si="274"/>
        <v/>
      </c>
      <c r="BR423" t="str">
        <f t="shared" si="288"/>
        <v/>
      </c>
      <c r="BS423" t="str">
        <f t="shared" si="275"/>
        <v/>
      </c>
      <c r="BT423" t="str">
        <f t="shared" si="296"/>
        <v/>
      </c>
      <c r="BU423" t="str">
        <f t="shared" si="276"/>
        <v/>
      </c>
      <c r="BV423" t="str">
        <f t="shared" si="289"/>
        <v/>
      </c>
      <c r="BW423" t="str">
        <f t="shared" si="277"/>
        <v/>
      </c>
      <c r="BX423" t="str">
        <f t="shared" si="290"/>
        <v/>
      </c>
      <c r="BY423" t="str">
        <f t="shared" si="278"/>
        <v/>
      </c>
      <c r="BZ423" t="str">
        <f t="shared" si="291"/>
        <v/>
      </c>
      <c r="CA423" t="str">
        <f t="shared" si="279"/>
        <v/>
      </c>
      <c r="CB423" t="str">
        <f t="shared" si="261"/>
        <v/>
      </c>
      <c r="CC423" t="str">
        <f t="shared" si="280"/>
        <v/>
      </c>
      <c r="CD423" t="str">
        <f t="shared" si="262"/>
        <v/>
      </c>
      <c r="CE423" t="str">
        <f t="shared" si="281"/>
        <v>Bowles 5th edition</v>
      </c>
      <c r="CF423">
        <f t="shared" si="263"/>
        <v>173</v>
      </c>
      <c r="CG423" t="str">
        <f t="shared" si="282"/>
        <v/>
      </c>
      <c r="CH423" t="str">
        <f t="shared" si="264"/>
        <v/>
      </c>
      <c r="CI423" t="str">
        <f t="shared" si="283"/>
        <v/>
      </c>
      <c r="CJ423" t="str">
        <f t="shared" si="292"/>
        <v/>
      </c>
    </row>
    <row r="424" spans="2:88" x14ac:dyDescent="0.3">
      <c r="B424" t="str">
        <f t="shared" si="284"/>
        <v>36.832583-76.124812</v>
      </c>
      <c r="C424" s="30" t="s">
        <v>127</v>
      </c>
      <c r="D424">
        <v>36.832583</v>
      </c>
      <c r="E424">
        <v>-76.124812000000006</v>
      </c>
      <c r="F424">
        <v>5</v>
      </c>
      <c r="G424" t="str">
        <f t="shared" si="285"/>
        <v>-18-2036.832583-76.124812</v>
      </c>
      <c r="H424">
        <v>-18</v>
      </c>
      <c r="I424">
        <v>-20</v>
      </c>
      <c r="J424" s="30" t="s">
        <v>21</v>
      </c>
      <c r="L424" t="s">
        <v>8</v>
      </c>
      <c r="M424">
        <v>2</v>
      </c>
      <c r="S424" t="str">
        <f t="shared" ref="S424:S487" si="297">IF(OR(L424="CL",L424="CH",L424="CL_ML"),"Clay",IF(OR(L424="SM",L424="SC",L424="SP",L424="SP-SM",L424="SP-SC",L424="SC-SM",L424="SW",L424="SW-SM"),"Sand",IF(OR(L424="GP", L424="GM",L424="GC", L424="GP-GM",L424="GW"),"Gravel",IF(OR(L424="ML",L424="MH"),"Silt",IF(OR(L424="OL",L424="OH",L424="PT"),"Organic")))))</f>
        <v>Sand</v>
      </c>
      <c r="T424">
        <f t="shared" si="286"/>
        <v>1</v>
      </c>
      <c r="AA424">
        <v>80</v>
      </c>
      <c r="AB424" s="1">
        <f t="shared" si="293"/>
        <v>3</v>
      </c>
      <c r="AC424">
        <f t="shared" si="294"/>
        <v>2</v>
      </c>
      <c r="AD424" t="str">
        <f t="shared" si="287"/>
        <v/>
      </c>
      <c r="AG424" s="21" t="str">
        <f t="shared" si="265"/>
        <v/>
      </c>
      <c r="AI424" s="6" t="str">
        <f t="shared" si="266"/>
        <v/>
      </c>
      <c r="AM424" s="7" t="str">
        <f t="shared" si="267"/>
        <v/>
      </c>
      <c r="AQ424" s="8" t="str">
        <f t="shared" si="268"/>
        <v/>
      </c>
      <c r="AW424" s="25" t="str">
        <f t="shared" si="269"/>
        <v/>
      </c>
      <c r="AZ424" s="12" t="str">
        <f t="shared" si="270"/>
        <v/>
      </c>
      <c r="BI424" s="17" t="str">
        <f t="shared" si="271"/>
        <v/>
      </c>
      <c r="BM424" t="str">
        <f t="shared" si="272"/>
        <v>SPT Relationship</v>
      </c>
      <c r="BN424">
        <f t="shared" si="260"/>
        <v>101</v>
      </c>
      <c r="BO424" t="str">
        <f t="shared" si="273"/>
        <v>Wolff, 1989</v>
      </c>
      <c r="BP424">
        <f t="shared" si="295"/>
        <v>27</v>
      </c>
      <c r="BQ424" t="str">
        <f t="shared" si="274"/>
        <v/>
      </c>
      <c r="BR424" t="str">
        <f t="shared" si="288"/>
        <v/>
      </c>
      <c r="BS424" t="str">
        <f t="shared" si="275"/>
        <v/>
      </c>
      <c r="BT424" t="str">
        <f t="shared" si="296"/>
        <v/>
      </c>
      <c r="BU424" t="str">
        <f t="shared" si="276"/>
        <v/>
      </c>
      <c r="BV424" t="str">
        <f t="shared" si="289"/>
        <v/>
      </c>
      <c r="BW424" t="str">
        <f t="shared" si="277"/>
        <v/>
      </c>
      <c r="BX424" t="str">
        <f t="shared" si="290"/>
        <v/>
      </c>
      <c r="BY424" t="str">
        <f t="shared" si="278"/>
        <v/>
      </c>
      <c r="BZ424" t="str">
        <f t="shared" si="291"/>
        <v/>
      </c>
      <c r="CA424" t="str">
        <f t="shared" si="279"/>
        <v/>
      </c>
      <c r="CB424" t="str">
        <f t="shared" si="261"/>
        <v/>
      </c>
      <c r="CC424" t="str">
        <f t="shared" si="280"/>
        <v/>
      </c>
      <c r="CD424" t="str">
        <f t="shared" si="262"/>
        <v/>
      </c>
      <c r="CE424" t="str">
        <f t="shared" si="281"/>
        <v>Bowles 5th edition</v>
      </c>
      <c r="CF424">
        <f t="shared" si="263"/>
        <v>115</v>
      </c>
      <c r="CG424" t="str">
        <f t="shared" si="282"/>
        <v/>
      </c>
      <c r="CH424" t="str">
        <f t="shared" si="264"/>
        <v/>
      </c>
      <c r="CI424" t="str">
        <f t="shared" si="283"/>
        <v/>
      </c>
      <c r="CJ424" t="str">
        <f t="shared" si="292"/>
        <v/>
      </c>
    </row>
    <row r="425" spans="2:88" x14ac:dyDescent="0.3">
      <c r="B425" t="str">
        <f t="shared" si="284"/>
        <v>36.832583-76.124812</v>
      </c>
      <c r="C425" s="30" t="s">
        <v>127</v>
      </c>
      <c r="D425">
        <v>36.832583</v>
      </c>
      <c r="E425">
        <v>-76.124812000000006</v>
      </c>
      <c r="F425">
        <v>5</v>
      </c>
      <c r="G425" t="str">
        <f t="shared" si="285"/>
        <v>-23-2536.832583-76.124812</v>
      </c>
      <c r="H425">
        <v>-23</v>
      </c>
      <c r="I425">
        <v>-25</v>
      </c>
      <c r="J425" s="30" t="s">
        <v>21</v>
      </c>
      <c r="L425" t="s">
        <v>8</v>
      </c>
      <c r="M425">
        <v>2</v>
      </c>
      <c r="S425" t="str">
        <f t="shared" si="297"/>
        <v>Sand</v>
      </c>
      <c r="T425">
        <f t="shared" si="286"/>
        <v>1</v>
      </c>
      <c r="AA425">
        <v>80</v>
      </c>
      <c r="AB425" s="1">
        <f t="shared" si="293"/>
        <v>3</v>
      </c>
      <c r="AC425">
        <f t="shared" si="294"/>
        <v>2</v>
      </c>
      <c r="AD425" t="str">
        <f t="shared" si="287"/>
        <v/>
      </c>
      <c r="AG425" s="21" t="str">
        <f t="shared" si="265"/>
        <v/>
      </c>
      <c r="AI425" s="6" t="str">
        <f t="shared" si="266"/>
        <v/>
      </c>
      <c r="AM425" s="7" t="str">
        <f t="shared" si="267"/>
        <v/>
      </c>
      <c r="AQ425" s="8" t="str">
        <f t="shared" si="268"/>
        <v/>
      </c>
      <c r="AW425" s="25" t="str">
        <f t="shared" si="269"/>
        <v/>
      </c>
      <c r="AZ425" s="12" t="str">
        <f t="shared" si="270"/>
        <v/>
      </c>
      <c r="BI425" s="17" t="str">
        <f t="shared" si="271"/>
        <v/>
      </c>
      <c r="BM425" t="str">
        <f t="shared" si="272"/>
        <v>SPT Relationship</v>
      </c>
      <c r="BN425">
        <f t="shared" si="260"/>
        <v>101</v>
      </c>
      <c r="BO425" t="str">
        <f t="shared" si="273"/>
        <v>Wolff, 1989</v>
      </c>
      <c r="BP425">
        <f t="shared" si="295"/>
        <v>27</v>
      </c>
      <c r="BQ425" t="str">
        <f t="shared" si="274"/>
        <v/>
      </c>
      <c r="BR425" t="str">
        <f t="shared" si="288"/>
        <v/>
      </c>
      <c r="BS425" t="str">
        <f t="shared" si="275"/>
        <v/>
      </c>
      <c r="BT425" t="str">
        <f t="shared" si="296"/>
        <v/>
      </c>
      <c r="BU425" t="str">
        <f t="shared" si="276"/>
        <v/>
      </c>
      <c r="BV425" t="str">
        <f t="shared" si="289"/>
        <v/>
      </c>
      <c r="BW425" t="str">
        <f t="shared" si="277"/>
        <v/>
      </c>
      <c r="BX425" t="str">
        <f t="shared" si="290"/>
        <v/>
      </c>
      <c r="BY425" t="str">
        <f t="shared" si="278"/>
        <v/>
      </c>
      <c r="BZ425" t="str">
        <f t="shared" si="291"/>
        <v/>
      </c>
      <c r="CA425" t="str">
        <f t="shared" si="279"/>
        <v/>
      </c>
      <c r="CB425" t="str">
        <f t="shared" si="261"/>
        <v/>
      </c>
      <c r="CC425" t="str">
        <f t="shared" si="280"/>
        <v/>
      </c>
      <c r="CD425" t="str">
        <f t="shared" si="262"/>
        <v/>
      </c>
      <c r="CE425" t="str">
        <f t="shared" si="281"/>
        <v>Bowles 5th edition</v>
      </c>
      <c r="CF425">
        <f t="shared" si="263"/>
        <v>115</v>
      </c>
      <c r="CG425" t="str">
        <f t="shared" si="282"/>
        <v/>
      </c>
      <c r="CH425" t="str">
        <f t="shared" si="264"/>
        <v/>
      </c>
      <c r="CI425" t="str">
        <f t="shared" si="283"/>
        <v/>
      </c>
      <c r="CJ425" t="str">
        <f t="shared" si="292"/>
        <v/>
      </c>
    </row>
    <row r="426" spans="2:88" x14ac:dyDescent="0.3">
      <c r="B426" t="str">
        <f t="shared" si="284"/>
        <v>36.83243-76.123058</v>
      </c>
      <c r="C426" s="30" t="s">
        <v>128</v>
      </c>
      <c r="D426">
        <v>36.832430000000002</v>
      </c>
      <c r="E426">
        <v>-76.123058</v>
      </c>
      <c r="F426">
        <v>5</v>
      </c>
      <c r="G426" t="str">
        <f t="shared" si="285"/>
        <v>5336.83243-76.123058</v>
      </c>
      <c r="H426">
        <v>5</v>
      </c>
      <c r="I426">
        <v>3</v>
      </c>
      <c r="J426" s="30" t="s">
        <v>21</v>
      </c>
      <c r="L426" t="s">
        <v>16</v>
      </c>
      <c r="M426">
        <v>18</v>
      </c>
      <c r="S426" t="str">
        <f t="shared" si="297"/>
        <v>Sand</v>
      </c>
      <c r="T426">
        <f t="shared" si="286"/>
        <v>1</v>
      </c>
      <c r="AA426">
        <v>80</v>
      </c>
      <c r="AB426" s="1">
        <f t="shared" si="293"/>
        <v>24</v>
      </c>
      <c r="AC426">
        <f t="shared" si="294"/>
        <v>73</v>
      </c>
      <c r="AD426" t="str">
        <f t="shared" si="287"/>
        <v/>
      </c>
      <c r="AG426" s="21" t="str">
        <f t="shared" si="265"/>
        <v/>
      </c>
      <c r="AI426" s="6" t="str">
        <f t="shared" si="266"/>
        <v/>
      </c>
      <c r="AM426" s="7" t="str">
        <f t="shared" si="267"/>
        <v/>
      </c>
      <c r="AQ426" s="8" t="str">
        <f t="shared" si="268"/>
        <v/>
      </c>
      <c r="AW426" s="25" t="str">
        <f t="shared" si="269"/>
        <v/>
      </c>
      <c r="AZ426" s="12" t="str">
        <f t="shared" si="270"/>
        <v/>
      </c>
      <c r="BI426" s="17" t="str">
        <f t="shared" si="271"/>
        <v/>
      </c>
      <c r="BM426" t="str">
        <f t="shared" si="272"/>
        <v>SPT Relationship</v>
      </c>
      <c r="BN426">
        <f t="shared" si="260"/>
        <v>125</v>
      </c>
      <c r="BO426" t="str">
        <f t="shared" si="273"/>
        <v>Wolff, 1989</v>
      </c>
      <c r="BP426">
        <f t="shared" si="295"/>
        <v>46</v>
      </c>
      <c r="BQ426" t="str">
        <f t="shared" si="274"/>
        <v/>
      </c>
      <c r="BR426" t="str">
        <f t="shared" si="288"/>
        <v/>
      </c>
      <c r="BS426" t="str">
        <f t="shared" si="275"/>
        <v/>
      </c>
      <c r="BT426" t="str">
        <f t="shared" si="296"/>
        <v/>
      </c>
      <c r="BU426" t="str">
        <f t="shared" si="276"/>
        <v/>
      </c>
      <c r="BV426" t="str">
        <f t="shared" si="289"/>
        <v/>
      </c>
      <c r="BW426" t="str">
        <f t="shared" si="277"/>
        <v/>
      </c>
      <c r="BX426" t="str">
        <f t="shared" si="290"/>
        <v/>
      </c>
      <c r="BY426" t="str">
        <f t="shared" si="278"/>
        <v/>
      </c>
      <c r="BZ426" t="str">
        <f t="shared" si="291"/>
        <v/>
      </c>
      <c r="CA426" t="str">
        <f t="shared" si="279"/>
        <v/>
      </c>
      <c r="CB426" t="str">
        <f t="shared" si="261"/>
        <v/>
      </c>
      <c r="CC426" t="str">
        <f t="shared" si="280"/>
        <v/>
      </c>
      <c r="CD426" t="str">
        <f t="shared" si="262"/>
        <v/>
      </c>
      <c r="CE426" t="str">
        <f t="shared" si="281"/>
        <v>Bowles 5th edition</v>
      </c>
      <c r="CF426">
        <f t="shared" si="263"/>
        <v>250</v>
      </c>
      <c r="CG426" t="str">
        <f t="shared" si="282"/>
        <v/>
      </c>
      <c r="CH426" t="str">
        <f t="shared" si="264"/>
        <v/>
      </c>
      <c r="CI426" t="str">
        <f t="shared" si="283"/>
        <v/>
      </c>
      <c r="CJ426" t="str">
        <f t="shared" si="292"/>
        <v/>
      </c>
    </row>
    <row r="427" spans="2:88" x14ac:dyDescent="0.3">
      <c r="B427" t="str">
        <f t="shared" si="284"/>
        <v>36.83243-76.123058</v>
      </c>
      <c r="C427" s="30" t="s">
        <v>128</v>
      </c>
      <c r="D427">
        <v>36.832430000000002</v>
      </c>
      <c r="E427">
        <v>-76.123058</v>
      </c>
      <c r="F427">
        <v>5</v>
      </c>
      <c r="G427" t="str">
        <f t="shared" si="285"/>
        <v>3136.83243-76.123058</v>
      </c>
      <c r="H427">
        <v>3</v>
      </c>
      <c r="I427">
        <v>1</v>
      </c>
      <c r="J427" s="30" t="s">
        <v>21</v>
      </c>
      <c r="L427" t="s">
        <v>16</v>
      </c>
      <c r="M427">
        <v>43</v>
      </c>
      <c r="S427" t="str">
        <f t="shared" si="297"/>
        <v>Sand</v>
      </c>
      <c r="T427">
        <f t="shared" si="286"/>
        <v>1</v>
      </c>
      <c r="AA427">
        <v>80</v>
      </c>
      <c r="AB427" s="1">
        <f t="shared" si="293"/>
        <v>57</v>
      </c>
      <c r="AC427">
        <f t="shared" si="294"/>
        <v>124</v>
      </c>
      <c r="AD427" t="str">
        <f t="shared" si="287"/>
        <v/>
      </c>
      <c r="AG427" s="21" t="str">
        <f t="shared" si="265"/>
        <v/>
      </c>
      <c r="AI427" s="6" t="str">
        <f t="shared" si="266"/>
        <v/>
      </c>
      <c r="AM427" s="7" t="str">
        <f t="shared" si="267"/>
        <v/>
      </c>
      <c r="AQ427" s="8" t="str">
        <f t="shared" si="268"/>
        <v/>
      </c>
      <c r="AW427" s="25" t="str">
        <f t="shared" si="269"/>
        <v/>
      </c>
      <c r="AZ427" s="12" t="str">
        <f t="shared" si="270"/>
        <v/>
      </c>
      <c r="BI427" s="17" t="str">
        <f t="shared" si="271"/>
        <v/>
      </c>
      <c r="BM427" t="str">
        <f t="shared" si="272"/>
        <v>SPT Relationship</v>
      </c>
      <c r="BN427">
        <f t="shared" si="260"/>
        <v>136</v>
      </c>
      <c r="BO427" t="str">
        <f t="shared" si="273"/>
        <v>Wolff, 1989</v>
      </c>
      <c r="BP427">
        <f t="shared" si="295"/>
        <v>55</v>
      </c>
      <c r="BQ427" t="str">
        <f t="shared" si="274"/>
        <v/>
      </c>
      <c r="BR427" t="str">
        <f t="shared" si="288"/>
        <v/>
      </c>
      <c r="BS427" t="str">
        <f t="shared" si="275"/>
        <v/>
      </c>
      <c r="BT427" t="str">
        <f t="shared" si="296"/>
        <v/>
      </c>
      <c r="BU427" t="str">
        <f t="shared" si="276"/>
        <v/>
      </c>
      <c r="BV427" t="str">
        <f t="shared" si="289"/>
        <v/>
      </c>
      <c r="BW427" t="str">
        <f t="shared" si="277"/>
        <v/>
      </c>
      <c r="BX427" t="str">
        <f t="shared" si="290"/>
        <v/>
      </c>
      <c r="BY427" t="str">
        <f t="shared" si="278"/>
        <v/>
      </c>
      <c r="BZ427" t="str">
        <f t="shared" si="291"/>
        <v/>
      </c>
      <c r="CA427" t="str">
        <f t="shared" si="279"/>
        <v/>
      </c>
      <c r="CB427" t="str">
        <f t="shared" si="261"/>
        <v/>
      </c>
      <c r="CC427" t="str">
        <f t="shared" si="280"/>
        <v/>
      </c>
      <c r="CD427" t="str">
        <f t="shared" si="262"/>
        <v/>
      </c>
      <c r="CE427" t="str">
        <f t="shared" si="281"/>
        <v>Bowles 5th edition</v>
      </c>
      <c r="CF427">
        <f t="shared" si="263"/>
        <v>461</v>
      </c>
      <c r="CG427" t="str">
        <f t="shared" si="282"/>
        <v/>
      </c>
      <c r="CH427" t="str">
        <f t="shared" si="264"/>
        <v/>
      </c>
      <c r="CI427" t="str">
        <f t="shared" si="283"/>
        <v/>
      </c>
      <c r="CJ427" t="str">
        <f t="shared" si="292"/>
        <v/>
      </c>
    </row>
    <row r="428" spans="2:88" x14ac:dyDescent="0.3">
      <c r="B428" t="str">
        <f t="shared" si="284"/>
        <v>36.83243-76.123058</v>
      </c>
      <c r="C428" s="30" t="s">
        <v>128</v>
      </c>
      <c r="D428">
        <v>36.832430000000002</v>
      </c>
      <c r="E428">
        <v>-76.123058</v>
      </c>
      <c r="F428">
        <v>5</v>
      </c>
      <c r="G428" t="str">
        <f t="shared" si="285"/>
        <v>1-136.83243-76.123058</v>
      </c>
      <c r="H428">
        <v>1</v>
      </c>
      <c r="I428">
        <v>-1</v>
      </c>
      <c r="J428" s="30" t="s">
        <v>21</v>
      </c>
      <c r="L428" t="s">
        <v>16</v>
      </c>
      <c r="M428">
        <v>60</v>
      </c>
      <c r="S428" t="str">
        <f t="shared" si="297"/>
        <v>Sand</v>
      </c>
      <c r="T428">
        <f t="shared" si="286"/>
        <v>1</v>
      </c>
      <c r="AA428">
        <v>80</v>
      </c>
      <c r="AB428" s="1">
        <f t="shared" si="293"/>
        <v>80</v>
      </c>
      <c r="AC428">
        <f t="shared" si="294"/>
        <v>142</v>
      </c>
      <c r="AD428" t="str">
        <f t="shared" si="287"/>
        <v/>
      </c>
      <c r="AG428" s="21" t="str">
        <f t="shared" si="265"/>
        <v/>
      </c>
      <c r="AI428" s="6" t="str">
        <f t="shared" si="266"/>
        <v/>
      </c>
      <c r="AM428" s="7" t="str">
        <f t="shared" si="267"/>
        <v/>
      </c>
      <c r="AQ428" s="8" t="str">
        <f t="shared" si="268"/>
        <v/>
      </c>
      <c r="AW428" s="25" t="str">
        <f t="shared" si="269"/>
        <v/>
      </c>
      <c r="AZ428" s="12" t="str">
        <f t="shared" si="270"/>
        <v/>
      </c>
      <c r="BI428" s="17" t="str">
        <f t="shared" si="271"/>
        <v/>
      </c>
      <c r="BM428" t="str">
        <f t="shared" si="272"/>
        <v>SPT Relationship</v>
      </c>
      <c r="BN428">
        <f t="shared" si="260"/>
        <v>140</v>
      </c>
      <c r="BO428" t="str">
        <f t="shared" si="273"/>
        <v>Wolff, 1989</v>
      </c>
      <c r="BP428">
        <f t="shared" si="295"/>
        <v>58</v>
      </c>
      <c r="BQ428" t="str">
        <f t="shared" si="274"/>
        <v/>
      </c>
      <c r="BR428" t="str">
        <f t="shared" si="288"/>
        <v/>
      </c>
      <c r="BS428" t="str">
        <f t="shared" si="275"/>
        <v/>
      </c>
      <c r="BT428" t="str">
        <f t="shared" si="296"/>
        <v/>
      </c>
      <c r="BU428" t="str">
        <f t="shared" si="276"/>
        <v/>
      </c>
      <c r="BV428" t="str">
        <f t="shared" si="289"/>
        <v/>
      </c>
      <c r="BW428" t="str">
        <f t="shared" si="277"/>
        <v/>
      </c>
      <c r="BX428" t="str">
        <f t="shared" si="290"/>
        <v/>
      </c>
      <c r="BY428" t="str">
        <f t="shared" si="278"/>
        <v/>
      </c>
      <c r="BZ428" t="str">
        <f t="shared" si="291"/>
        <v/>
      </c>
      <c r="CA428" t="str">
        <f t="shared" si="279"/>
        <v/>
      </c>
      <c r="CB428" t="str">
        <f t="shared" si="261"/>
        <v/>
      </c>
      <c r="CC428" t="str">
        <f t="shared" si="280"/>
        <v/>
      </c>
      <c r="CD428" t="str">
        <f t="shared" si="262"/>
        <v/>
      </c>
      <c r="CE428" t="str">
        <f t="shared" si="281"/>
        <v>Bowles 5th edition</v>
      </c>
      <c r="CF428">
        <f t="shared" si="263"/>
        <v>608</v>
      </c>
      <c r="CG428" t="str">
        <f t="shared" si="282"/>
        <v/>
      </c>
      <c r="CH428" t="str">
        <f t="shared" si="264"/>
        <v/>
      </c>
      <c r="CI428" t="str">
        <f t="shared" si="283"/>
        <v/>
      </c>
      <c r="CJ428" t="str">
        <f t="shared" si="292"/>
        <v/>
      </c>
    </row>
    <row r="429" spans="2:88" x14ac:dyDescent="0.3">
      <c r="B429" t="str">
        <f t="shared" si="284"/>
        <v>36.83243-76.123058</v>
      </c>
      <c r="C429" s="30" t="s">
        <v>128</v>
      </c>
      <c r="D429">
        <v>36.832430000000002</v>
      </c>
      <c r="E429">
        <v>-76.123058</v>
      </c>
      <c r="F429">
        <v>5</v>
      </c>
      <c r="G429" t="str">
        <f t="shared" si="285"/>
        <v>-1-336.83243-76.123058</v>
      </c>
      <c r="H429">
        <v>-1</v>
      </c>
      <c r="I429">
        <v>-3</v>
      </c>
      <c r="J429" s="30" t="s">
        <v>21</v>
      </c>
      <c r="L429" t="s">
        <v>16</v>
      </c>
      <c r="M429">
        <v>55</v>
      </c>
      <c r="S429" t="str">
        <f t="shared" si="297"/>
        <v>Sand</v>
      </c>
      <c r="T429">
        <f t="shared" si="286"/>
        <v>1</v>
      </c>
      <c r="AA429">
        <v>80</v>
      </c>
      <c r="AB429" s="1">
        <f t="shared" si="293"/>
        <v>73</v>
      </c>
      <c r="AC429">
        <f t="shared" si="294"/>
        <v>112</v>
      </c>
      <c r="AD429" t="str">
        <f t="shared" si="287"/>
        <v/>
      </c>
      <c r="AG429" s="21" t="str">
        <f t="shared" si="265"/>
        <v/>
      </c>
      <c r="AI429" s="6" t="str">
        <f t="shared" si="266"/>
        <v/>
      </c>
      <c r="AM429" s="7" t="str">
        <f t="shared" si="267"/>
        <v/>
      </c>
      <c r="AQ429" s="8" t="str">
        <f t="shared" si="268"/>
        <v/>
      </c>
      <c r="AW429" s="25" t="str">
        <f t="shared" si="269"/>
        <v/>
      </c>
      <c r="AZ429" s="12" t="str">
        <f t="shared" si="270"/>
        <v/>
      </c>
      <c r="BI429" s="17" t="str">
        <f t="shared" si="271"/>
        <v/>
      </c>
      <c r="BM429" t="str">
        <f t="shared" si="272"/>
        <v>SPT Relationship</v>
      </c>
      <c r="BN429">
        <f t="shared" si="260"/>
        <v>139</v>
      </c>
      <c r="BO429" t="str">
        <f t="shared" si="273"/>
        <v>Wolff, 1989</v>
      </c>
      <c r="BP429">
        <f t="shared" si="295"/>
        <v>53</v>
      </c>
      <c r="BQ429" t="str">
        <f t="shared" si="274"/>
        <v/>
      </c>
      <c r="BR429" t="str">
        <f t="shared" si="288"/>
        <v/>
      </c>
      <c r="BS429" t="str">
        <f t="shared" si="275"/>
        <v/>
      </c>
      <c r="BT429" t="str">
        <f t="shared" si="296"/>
        <v/>
      </c>
      <c r="BU429" t="str">
        <f t="shared" si="276"/>
        <v/>
      </c>
      <c r="BV429" t="str">
        <f t="shared" si="289"/>
        <v/>
      </c>
      <c r="BW429" t="str">
        <f t="shared" si="277"/>
        <v/>
      </c>
      <c r="BX429" t="str">
        <f t="shared" si="290"/>
        <v/>
      </c>
      <c r="BY429" t="str">
        <f t="shared" si="278"/>
        <v/>
      </c>
      <c r="BZ429" t="str">
        <f t="shared" si="291"/>
        <v/>
      </c>
      <c r="CA429" t="str">
        <f t="shared" si="279"/>
        <v/>
      </c>
      <c r="CB429" t="str">
        <f t="shared" si="261"/>
        <v/>
      </c>
      <c r="CC429" t="str">
        <f t="shared" si="280"/>
        <v/>
      </c>
      <c r="CD429" t="str">
        <f t="shared" si="262"/>
        <v/>
      </c>
      <c r="CE429" t="str">
        <f t="shared" si="281"/>
        <v>Bowles 5th edition</v>
      </c>
      <c r="CF429">
        <f t="shared" si="263"/>
        <v>563</v>
      </c>
      <c r="CG429" t="str">
        <f t="shared" si="282"/>
        <v/>
      </c>
      <c r="CH429" t="str">
        <f t="shared" si="264"/>
        <v/>
      </c>
      <c r="CI429" t="str">
        <f t="shared" si="283"/>
        <v/>
      </c>
      <c r="CJ429" t="str">
        <f t="shared" si="292"/>
        <v/>
      </c>
    </row>
    <row r="430" spans="2:88" x14ac:dyDescent="0.3">
      <c r="B430" t="str">
        <f t="shared" si="284"/>
        <v>36.83243-76.123058</v>
      </c>
      <c r="C430" s="30" t="s">
        <v>128</v>
      </c>
      <c r="D430">
        <v>36.832430000000002</v>
      </c>
      <c r="E430">
        <v>-76.123058</v>
      </c>
      <c r="F430">
        <v>5</v>
      </c>
      <c r="G430" t="str">
        <f t="shared" si="285"/>
        <v>-3-536.83243-76.123058</v>
      </c>
      <c r="H430">
        <v>-3</v>
      </c>
      <c r="I430">
        <v>-5</v>
      </c>
      <c r="J430" s="30" t="s">
        <v>21</v>
      </c>
      <c r="L430" t="s">
        <v>16</v>
      </c>
      <c r="M430">
        <v>40</v>
      </c>
      <c r="S430" t="str">
        <f t="shared" si="297"/>
        <v>Sand</v>
      </c>
      <c r="T430">
        <f t="shared" si="286"/>
        <v>1</v>
      </c>
      <c r="AA430">
        <v>80</v>
      </c>
      <c r="AB430" s="1">
        <f t="shared" si="293"/>
        <v>53</v>
      </c>
      <c r="AC430">
        <f t="shared" si="294"/>
        <v>73</v>
      </c>
      <c r="AD430" t="str">
        <f t="shared" si="287"/>
        <v/>
      </c>
      <c r="AG430" s="21" t="str">
        <f t="shared" si="265"/>
        <v/>
      </c>
      <c r="AI430" s="6" t="str">
        <f t="shared" si="266"/>
        <v/>
      </c>
      <c r="AM430" s="7" t="str">
        <f t="shared" si="267"/>
        <v/>
      </c>
      <c r="AQ430" s="8" t="str">
        <f t="shared" si="268"/>
        <v/>
      </c>
      <c r="AW430" s="25" t="str">
        <f t="shared" si="269"/>
        <v/>
      </c>
      <c r="AZ430" s="12" t="str">
        <f t="shared" si="270"/>
        <v/>
      </c>
      <c r="BI430" s="17" t="str">
        <f t="shared" si="271"/>
        <v/>
      </c>
      <c r="BM430" t="str">
        <f t="shared" si="272"/>
        <v>SPT Relationship</v>
      </c>
      <c r="BN430">
        <f t="shared" si="260"/>
        <v>135</v>
      </c>
      <c r="BO430" t="str">
        <f t="shared" si="273"/>
        <v>Wolff, 1989</v>
      </c>
      <c r="BP430">
        <f t="shared" si="295"/>
        <v>46</v>
      </c>
      <c r="BQ430" t="str">
        <f t="shared" si="274"/>
        <v/>
      </c>
      <c r="BR430" t="str">
        <f t="shared" si="288"/>
        <v/>
      </c>
      <c r="BS430" t="str">
        <f t="shared" si="275"/>
        <v/>
      </c>
      <c r="BT430" t="str">
        <f t="shared" si="296"/>
        <v/>
      </c>
      <c r="BU430" t="str">
        <f t="shared" si="276"/>
        <v/>
      </c>
      <c r="BV430" t="str">
        <f t="shared" si="289"/>
        <v/>
      </c>
      <c r="BW430" t="str">
        <f t="shared" si="277"/>
        <v/>
      </c>
      <c r="BX430" t="str">
        <f t="shared" si="290"/>
        <v/>
      </c>
      <c r="BY430" t="str">
        <f t="shared" si="278"/>
        <v/>
      </c>
      <c r="BZ430" t="str">
        <f t="shared" si="291"/>
        <v/>
      </c>
      <c r="CA430" t="str">
        <f t="shared" si="279"/>
        <v/>
      </c>
      <c r="CB430" t="str">
        <f t="shared" si="261"/>
        <v/>
      </c>
      <c r="CC430" t="str">
        <f t="shared" si="280"/>
        <v/>
      </c>
      <c r="CD430" t="str">
        <f t="shared" si="262"/>
        <v/>
      </c>
      <c r="CE430" t="str">
        <f t="shared" si="281"/>
        <v>Bowles 5th edition</v>
      </c>
      <c r="CF430">
        <f t="shared" si="263"/>
        <v>435</v>
      </c>
      <c r="CG430" t="str">
        <f t="shared" si="282"/>
        <v/>
      </c>
      <c r="CH430" t="str">
        <f t="shared" si="264"/>
        <v/>
      </c>
      <c r="CI430" t="str">
        <f t="shared" si="283"/>
        <v/>
      </c>
      <c r="CJ430" t="str">
        <f t="shared" si="292"/>
        <v/>
      </c>
    </row>
    <row r="431" spans="2:88" x14ac:dyDescent="0.3">
      <c r="B431" t="str">
        <f t="shared" si="284"/>
        <v>36.83243-76.123058</v>
      </c>
      <c r="C431" s="30" t="s">
        <v>128</v>
      </c>
      <c r="D431">
        <v>36.832430000000002</v>
      </c>
      <c r="E431">
        <v>-76.123058</v>
      </c>
      <c r="F431">
        <v>5</v>
      </c>
      <c r="G431" t="str">
        <f t="shared" si="285"/>
        <v>-5-736.83243-76.123058</v>
      </c>
      <c r="H431">
        <v>-5</v>
      </c>
      <c r="I431">
        <v>-7</v>
      </c>
      <c r="J431" s="30" t="s">
        <v>21</v>
      </c>
      <c r="L431" t="s">
        <v>8</v>
      </c>
      <c r="M431">
        <v>15</v>
      </c>
      <c r="S431" t="str">
        <f t="shared" si="297"/>
        <v>Sand</v>
      </c>
      <c r="T431">
        <f t="shared" si="286"/>
        <v>1</v>
      </c>
      <c r="AA431">
        <v>80</v>
      </c>
      <c r="AB431" s="1">
        <f t="shared" si="293"/>
        <v>20</v>
      </c>
      <c r="AC431">
        <f t="shared" si="294"/>
        <v>25</v>
      </c>
      <c r="AD431" t="str">
        <f t="shared" si="287"/>
        <v/>
      </c>
      <c r="AG431" s="21" t="str">
        <f t="shared" si="265"/>
        <v/>
      </c>
      <c r="AI431" s="6" t="str">
        <f t="shared" si="266"/>
        <v/>
      </c>
      <c r="AM431" s="7" t="str">
        <f t="shared" si="267"/>
        <v/>
      </c>
      <c r="AQ431" s="8" t="str">
        <f t="shared" si="268"/>
        <v/>
      </c>
      <c r="AW431" s="25" t="str">
        <f t="shared" si="269"/>
        <v/>
      </c>
      <c r="AZ431" s="12" t="str">
        <f t="shared" si="270"/>
        <v/>
      </c>
      <c r="BI431" s="17" t="str">
        <f t="shared" si="271"/>
        <v/>
      </c>
      <c r="BM431" t="str">
        <f t="shared" si="272"/>
        <v>SPT Relationship</v>
      </c>
      <c r="BN431">
        <f t="shared" si="260"/>
        <v>123</v>
      </c>
      <c r="BO431" t="str">
        <f t="shared" si="273"/>
        <v>Wolff, 1989</v>
      </c>
      <c r="BP431">
        <f t="shared" si="295"/>
        <v>34</v>
      </c>
      <c r="BQ431" t="str">
        <f t="shared" si="274"/>
        <v/>
      </c>
      <c r="BR431" t="str">
        <f t="shared" si="288"/>
        <v/>
      </c>
      <c r="BS431" t="str">
        <f t="shared" si="275"/>
        <v/>
      </c>
      <c r="BT431" t="str">
        <f t="shared" si="296"/>
        <v/>
      </c>
      <c r="BU431" t="str">
        <f t="shared" si="276"/>
        <v/>
      </c>
      <c r="BV431" t="str">
        <f t="shared" si="289"/>
        <v/>
      </c>
      <c r="BW431" t="str">
        <f t="shared" si="277"/>
        <v/>
      </c>
      <c r="BX431" t="str">
        <f t="shared" si="290"/>
        <v/>
      </c>
      <c r="BY431" t="str">
        <f t="shared" si="278"/>
        <v/>
      </c>
      <c r="BZ431" t="str">
        <f t="shared" si="291"/>
        <v/>
      </c>
      <c r="CA431" t="str">
        <f t="shared" si="279"/>
        <v/>
      </c>
      <c r="CB431" t="str">
        <f t="shared" si="261"/>
        <v/>
      </c>
      <c r="CC431" t="str">
        <f t="shared" si="280"/>
        <v/>
      </c>
      <c r="CD431" t="str">
        <f t="shared" si="262"/>
        <v/>
      </c>
      <c r="CE431" t="str">
        <f t="shared" si="281"/>
        <v>Bowles 5th edition</v>
      </c>
      <c r="CF431">
        <f t="shared" si="263"/>
        <v>224</v>
      </c>
      <c r="CG431" t="str">
        <f t="shared" si="282"/>
        <v/>
      </c>
      <c r="CH431" t="str">
        <f t="shared" si="264"/>
        <v/>
      </c>
      <c r="CI431" t="str">
        <f t="shared" si="283"/>
        <v/>
      </c>
      <c r="CJ431" t="str">
        <f t="shared" si="292"/>
        <v/>
      </c>
    </row>
    <row r="432" spans="2:88" x14ac:dyDescent="0.3">
      <c r="B432" t="str">
        <f t="shared" si="284"/>
        <v>36.83243-76.123058</v>
      </c>
      <c r="C432" s="30" t="s">
        <v>128</v>
      </c>
      <c r="D432">
        <v>36.832430000000002</v>
      </c>
      <c r="E432">
        <v>-76.123058</v>
      </c>
      <c r="F432">
        <v>5</v>
      </c>
      <c r="G432" t="str">
        <f t="shared" si="285"/>
        <v>-8-1036.83243-76.123058</v>
      </c>
      <c r="H432">
        <v>-8</v>
      </c>
      <c r="I432">
        <v>-10</v>
      </c>
      <c r="J432" s="30" t="s">
        <v>21</v>
      </c>
      <c r="L432" t="s">
        <v>8</v>
      </c>
      <c r="M432">
        <v>12</v>
      </c>
      <c r="S432" t="str">
        <f t="shared" si="297"/>
        <v>Sand</v>
      </c>
      <c r="T432">
        <f t="shared" si="286"/>
        <v>1</v>
      </c>
      <c r="AA432">
        <v>80</v>
      </c>
      <c r="AB432" s="1">
        <f t="shared" si="293"/>
        <v>16</v>
      </c>
      <c r="AC432">
        <f t="shared" si="294"/>
        <v>18</v>
      </c>
      <c r="AD432" t="str">
        <f t="shared" si="287"/>
        <v/>
      </c>
      <c r="AG432" s="21" t="str">
        <f t="shared" si="265"/>
        <v/>
      </c>
      <c r="AI432" s="6" t="str">
        <f t="shared" si="266"/>
        <v/>
      </c>
      <c r="AM432" s="7" t="str">
        <f t="shared" si="267"/>
        <v/>
      </c>
      <c r="AQ432" s="8" t="str">
        <f t="shared" si="268"/>
        <v/>
      </c>
      <c r="AW432" s="25" t="str">
        <f t="shared" si="269"/>
        <v/>
      </c>
      <c r="AZ432" s="12" t="str">
        <f t="shared" si="270"/>
        <v/>
      </c>
      <c r="BI432" s="17" t="str">
        <f t="shared" si="271"/>
        <v/>
      </c>
      <c r="BM432" t="str">
        <f t="shared" si="272"/>
        <v>SPT Relationship</v>
      </c>
      <c r="BN432">
        <f t="shared" si="260"/>
        <v>120</v>
      </c>
      <c r="BO432" t="str">
        <f t="shared" si="273"/>
        <v>Wolff, 1989</v>
      </c>
      <c r="BP432">
        <f t="shared" si="295"/>
        <v>32</v>
      </c>
      <c r="BQ432" t="str">
        <f t="shared" si="274"/>
        <v/>
      </c>
      <c r="BR432" t="str">
        <f t="shared" si="288"/>
        <v/>
      </c>
      <c r="BS432" t="str">
        <f t="shared" si="275"/>
        <v/>
      </c>
      <c r="BT432" t="str">
        <f t="shared" si="296"/>
        <v/>
      </c>
      <c r="BU432" t="str">
        <f t="shared" si="276"/>
        <v/>
      </c>
      <c r="BV432" t="str">
        <f t="shared" si="289"/>
        <v/>
      </c>
      <c r="BW432" t="str">
        <f t="shared" si="277"/>
        <v/>
      </c>
      <c r="BX432" t="str">
        <f t="shared" si="290"/>
        <v/>
      </c>
      <c r="BY432" t="str">
        <f t="shared" si="278"/>
        <v/>
      </c>
      <c r="BZ432" t="str">
        <f t="shared" si="291"/>
        <v/>
      </c>
      <c r="CA432" t="str">
        <f t="shared" si="279"/>
        <v/>
      </c>
      <c r="CB432" t="str">
        <f t="shared" si="261"/>
        <v/>
      </c>
      <c r="CC432" t="str">
        <f t="shared" si="280"/>
        <v/>
      </c>
      <c r="CD432" t="str">
        <f t="shared" si="262"/>
        <v/>
      </c>
      <c r="CE432" t="str">
        <f t="shared" si="281"/>
        <v>Bowles 5th edition</v>
      </c>
      <c r="CF432">
        <f t="shared" si="263"/>
        <v>198</v>
      </c>
      <c r="CG432" t="str">
        <f t="shared" si="282"/>
        <v/>
      </c>
      <c r="CH432" t="str">
        <f t="shared" si="264"/>
        <v/>
      </c>
      <c r="CI432" t="str">
        <f t="shared" si="283"/>
        <v/>
      </c>
      <c r="CJ432" t="str">
        <f t="shared" si="292"/>
        <v/>
      </c>
    </row>
    <row r="433" spans="2:88" x14ac:dyDescent="0.3">
      <c r="B433" t="str">
        <f t="shared" si="284"/>
        <v>36.83243-76.123058</v>
      </c>
      <c r="C433" s="30" t="s">
        <v>128</v>
      </c>
      <c r="D433">
        <v>36.832430000000002</v>
      </c>
      <c r="E433">
        <v>-76.123058</v>
      </c>
      <c r="F433">
        <v>5</v>
      </c>
      <c r="G433" t="str">
        <f t="shared" si="285"/>
        <v>-13-1536.83243-76.123058</v>
      </c>
      <c r="H433">
        <v>-13</v>
      </c>
      <c r="I433">
        <v>-15</v>
      </c>
      <c r="J433" s="30" t="s">
        <v>21</v>
      </c>
      <c r="L433" t="s">
        <v>16</v>
      </c>
      <c r="M433">
        <v>11</v>
      </c>
      <c r="S433" t="str">
        <f t="shared" si="297"/>
        <v>Sand</v>
      </c>
      <c r="T433">
        <f t="shared" si="286"/>
        <v>1</v>
      </c>
      <c r="AA433">
        <v>80</v>
      </c>
      <c r="AB433" s="1">
        <f t="shared" si="293"/>
        <v>15</v>
      </c>
      <c r="AC433">
        <f t="shared" si="294"/>
        <v>14</v>
      </c>
      <c r="AD433" t="str">
        <f t="shared" si="287"/>
        <v/>
      </c>
      <c r="AG433" s="21" t="str">
        <f t="shared" si="265"/>
        <v/>
      </c>
      <c r="AI433" s="6" t="str">
        <f t="shared" si="266"/>
        <v/>
      </c>
      <c r="AM433" s="7" t="str">
        <f t="shared" si="267"/>
        <v/>
      </c>
      <c r="AQ433" s="8" t="str">
        <f t="shared" si="268"/>
        <v/>
      </c>
      <c r="AW433" s="25" t="str">
        <f t="shared" si="269"/>
        <v/>
      </c>
      <c r="AZ433" s="12" t="str">
        <f t="shared" si="270"/>
        <v/>
      </c>
      <c r="BI433" s="17" t="str">
        <f t="shared" si="271"/>
        <v/>
      </c>
      <c r="BM433" t="str">
        <f t="shared" si="272"/>
        <v>SPT Relationship</v>
      </c>
      <c r="BN433">
        <f t="shared" si="260"/>
        <v>119</v>
      </c>
      <c r="BO433" t="str">
        <f t="shared" si="273"/>
        <v>Wolff, 1989</v>
      </c>
      <c r="BP433">
        <f t="shared" si="295"/>
        <v>31</v>
      </c>
      <c r="BQ433" t="str">
        <f t="shared" si="274"/>
        <v/>
      </c>
      <c r="BR433" t="str">
        <f t="shared" si="288"/>
        <v/>
      </c>
      <c r="BS433" t="str">
        <f t="shared" si="275"/>
        <v/>
      </c>
      <c r="BT433" t="str">
        <f t="shared" si="296"/>
        <v/>
      </c>
      <c r="BU433" t="str">
        <f t="shared" si="276"/>
        <v/>
      </c>
      <c r="BV433" t="str">
        <f t="shared" si="289"/>
        <v/>
      </c>
      <c r="BW433" t="str">
        <f t="shared" si="277"/>
        <v/>
      </c>
      <c r="BX433" t="str">
        <f t="shared" si="290"/>
        <v/>
      </c>
      <c r="BY433" t="str">
        <f t="shared" si="278"/>
        <v/>
      </c>
      <c r="BZ433" t="str">
        <f t="shared" si="291"/>
        <v/>
      </c>
      <c r="CA433" t="str">
        <f t="shared" si="279"/>
        <v/>
      </c>
      <c r="CB433" t="str">
        <f t="shared" si="261"/>
        <v/>
      </c>
      <c r="CC433" t="str">
        <f t="shared" si="280"/>
        <v/>
      </c>
      <c r="CD433" t="str">
        <f t="shared" si="262"/>
        <v/>
      </c>
      <c r="CE433" t="str">
        <f t="shared" si="281"/>
        <v>Bowles 5th edition</v>
      </c>
      <c r="CF433">
        <f t="shared" si="263"/>
        <v>192</v>
      </c>
      <c r="CG433" t="str">
        <f t="shared" si="282"/>
        <v/>
      </c>
      <c r="CH433" t="str">
        <f t="shared" si="264"/>
        <v/>
      </c>
      <c r="CI433" t="str">
        <f t="shared" si="283"/>
        <v/>
      </c>
      <c r="CJ433" t="str">
        <f t="shared" si="292"/>
        <v/>
      </c>
    </row>
    <row r="434" spans="2:88" x14ac:dyDescent="0.3">
      <c r="B434" t="str">
        <f t="shared" si="284"/>
        <v>36.83243-76.123058</v>
      </c>
      <c r="C434" s="30" t="s">
        <v>128</v>
      </c>
      <c r="D434">
        <v>36.832430000000002</v>
      </c>
      <c r="E434">
        <v>-76.123058</v>
      </c>
      <c r="F434">
        <v>5</v>
      </c>
      <c r="G434" t="str">
        <f t="shared" si="285"/>
        <v>-18-2036.83243-76.123058</v>
      </c>
      <c r="H434">
        <v>-18</v>
      </c>
      <c r="I434">
        <v>-20</v>
      </c>
      <c r="J434" s="30" t="s">
        <v>21</v>
      </c>
      <c r="L434" t="s">
        <v>16</v>
      </c>
      <c r="M434">
        <v>7</v>
      </c>
      <c r="S434" t="str">
        <f t="shared" si="297"/>
        <v>Sand</v>
      </c>
      <c r="T434">
        <f t="shared" si="286"/>
        <v>1</v>
      </c>
      <c r="AA434">
        <v>80</v>
      </c>
      <c r="AB434" s="1">
        <f t="shared" si="293"/>
        <v>9</v>
      </c>
      <c r="AC434">
        <f t="shared" si="294"/>
        <v>7</v>
      </c>
      <c r="AD434" t="str">
        <f t="shared" si="287"/>
        <v/>
      </c>
      <c r="AG434" s="21" t="str">
        <f t="shared" si="265"/>
        <v/>
      </c>
      <c r="AI434" s="6" t="str">
        <f t="shared" si="266"/>
        <v/>
      </c>
      <c r="AM434" s="7" t="str">
        <f t="shared" si="267"/>
        <v/>
      </c>
      <c r="AQ434" s="8" t="str">
        <f t="shared" si="268"/>
        <v/>
      </c>
      <c r="AW434" s="25" t="str">
        <f t="shared" si="269"/>
        <v/>
      </c>
      <c r="AZ434" s="12" t="str">
        <f t="shared" si="270"/>
        <v/>
      </c>
      <c r="BI434" s="17" t="str">
        <f t="shared" si="271"/>
        <v/>
      </c>
      <c r="BM434" t="str">
        <f t="shared" si="272"/>
        <v>SPT Relationship</v>
      </c>
      <c r="BN434">
        <f t="shared" si="260"/>
        <v>114</v>
      </c>
      <c r="BO434" t="str">
        <f t="shared" si="273"/>
        <v>Wolff, 1989</v>
      </c>
      <c r="BP434">
        <f t="shared" si="295"/>
        <v>29</v>
      </c>
      <c r="BQ434" t="str">
        <f t="shared" si="274"/>
        <v/>
      </c>
      <c r="BR434" t="str">
        <f t="shared" si="288"/>
        <v/>
      </c>
      <c r="BS434" t="str">
        <f t="shared" si="275"/>
        <v/>
      </c>
      <c r="BT434" t="str">
        <f t="shared" si="296"/>
        <v/>
      </c>
      <c r="BU434" t="str">
        <f t="shared" si="276"/>
        <v/>
      </c>
      <c r="BV434" t="str">
        <f t="shared" si="289"/>
        <v/>
      </c>
      <c r="BW434" t="str">
        <f t="shared" si="277"/>
        <v/>
      </c>
      <c r="BX434" t="str">
        <f t="shared" si="290"/>
        <v/>
      </c>
      <c r="BY434" t="str">
        <f t="shared" si="278"/>
        <v/>
      </c>
      <c r="BZ434" t="str">
        <f t="shared" si="291"/>
        <v/>
      </c>
      <c r="CA434" t="str">
        <f t="shared" si="279"/>
        <v/>
      </c>
      <c r="CB434" t="str">
        <f t="shared" si="261"/>
        <v/>
      </c>
      <c r="CC434" t="str">
        <f t="shared" si="280"/>
        <v/>
      </c>
      <c r="CD434" t="str">
        <f t="shared" si="262"/>
        <v/>
      </c>
      <c r="CE434" t="str">
        <f t="shared" si="281"/>
        <v>Bowles 5th edition</v>
      </c>
      <c r="CF434">
        <f t="shared" si="263"/>
        <v>154</v>
      </c>
      <c r="CG434" t="str">
        <f t="shared" si="282"/>
        <v/>
      </c>
      <c r="CH434" t="str">
        <f t="shared" si="264"/>
        <v/>
      </c>
      <c r="CI434" t="str">
        <f t="shared" si="283"/>
        <v/>
      </c>
      <c r="CJ434" t="str">
        <f t="shared" si="292"/>
        <v/>
      </c>
    </row>
    <row r="435" spans="2:88" x14ac:dyDescent="0.3">
      <c r="B435" t="str">
        <f t="shared" si="284"/>
        <v>36.83243-76.123058</v>
      </c>
      <c r="C435" s="30" t="s">
        <v>128</v>
      </c>
      <c r="D435">
        <v>36.832430000000002</v>
      </c>
      <c r="E435">
        <v>-76.123058</v>
      </c>
      <c r="F435">
        <v>5</v>
      </c>
      <c r="G435" t="str">
        <f t="shared" si="285"/>
        <v>-23-2536.83243-76.123058</v>
      </c>
      <c r="H435">
        <v>-23</v>
      </c>
      <c r="I435">
        <v>-25</v>
      </c>
      <c r="J435" s="30" t="s">
        <v>21</v>
      </c>
      <c r="L435" t="s">
        <v>16</v>
      </c>
      <c r="M435">
        <v>10</v>
      </c>
      <c r="S435" t="str">
        <f t="shared" si="297"/>
        <v>Sand</v>
      </c>
      <c r="T435">
        <f t="shared" si="286"/>
        <v>1</v>
      </c>
      <c r="AA435">
        <v>80</v>
      </c>
      <c r="AB435" s="1">
        <f t="shared" si="293"/>
        <v>13</v>
      </c>
      <c r="AC435">
        <f t="shared" si="294"/>
        <v>10</v>
      </c>
      <c r="AD435" t="str">
        <f t="shared" si="287"/>
        <v/>
      </c>
      <c r="AG435" s="21" t="str">
        <f t="shared" si="265"/>
        <v/>
      </c>
      <c r="AI435" s="6" t="str">
        <f t="shared" si="266"/>
        <v/>
      </c>
      <c r="AM435" s="7" t="str">
        <f t="shared" si="267"/>
        <v/>
      </c>
      <c r="AQ435" s="8" t="str">
        <f t="shared" si="268"/>
        <v/>
      </c>
      <c r="AW435" s="25" t="str">
        <f t="shared" si="269"/>
        <v/>
      </c>
      <c r="AZ435" s="12" t="str">
        <f t="shared" si="270"/>
        <v/>
      </c>
      <c r="BI435" s="17" t="str">
        <f t="shared" si="271"/>
        <v/>
      </c>
      <c r="BM435" t="str">
        <f t="shared" si="272"/>
        <v>SPT Relationship</v>
      </c>
      <c r="BN435">
        <f t="shared" si="260"/>
        <v>118</v>
      </c>
      <c r="BO435" t="str">
        <f t="shared" si="273"/>
        <v>Wolff, 1989</v>
      </c>
      <c r="BP435">
        <f t="shared" si="295"/>
        <v>30</v>
      </c>
      <c r="BQ435" t="str">
        <f t="shared" si="274"/>
        <v/>
      </c>
      <c r="BR435" t="str">
        <f t="shared" si="288"/>
        <v/>
      </c>
      <c r="BS435" t="str">
        <f t="shared" si="275"/>
        <v/>
      </c>
      <c r="BT435" t="str">
        <f t="shared" si="296"/>
        <v/>
      </c>
      <c r="BU435" t="str">
        <f t="shared" si="276"/>
        <v/>
      </c>
      <c r="BV435" t="str">
        <f t="shared" si="289"/>
        <v/>
      </c>
      <c r="BW435" t="str">
        <f t="shared" si="277"/>
        <v/>
      </c>
      <c r="BX435" t="str">
        <f t="shared" si="290"/>
        <v/>
      </c>
      <c r="BY435" t="str">
        <f t="shared" si="278"/>
        <v/>
      </c>
      <c r="BZ435" t="str">
        <f t="shared" si="291"/>
        <v/>
      </c>
      <c r="CA435" t="str">
        <f t="shared" si="279"/>
        <v/>
      </c>
      <c r="CB435" t="str">
        <f t="shared" si="261"/>
        <v/>
      </c>
      <c r="CC435" t="str">
        <f t="shared" si="280"/>
        <v/>
      </c>
      <c r="CD435" t="str">
        <f t="shared" si="262"/>
        <v/>
      </c>
      <c r="CE435" t="str">
        <f t="shared" si="281"/>
        <v>Bowles 5th edition</v>
      </c>
      <c r="CF435">
        <f t="shared" si="263"/>
        <v>179</v>
      </c>
      <c r="CG435" t="str">
        <f t="shared" si="282"/>
        <v/>
      </c>
      <c r="CH435" t="str">
        <f t="shared" si="264"/>
        <v/>
      </c>
      <c r="CI435" t="str">
        <f t="shared" si="283"/>
        <v/>
      </c>
      <c r="CJ435" t="str">
        <f t="shared" si="292"/>
        <v/>
      </c>
    </row>
    <row r="436" spans="2:88" x14ac:dyDescent="0.3">
      <c r="B436" t="str">
        <f t="shared" si="284"/>
        <v>36.83243-76.123058</v>
      </c>
      <c r="C436" s="30" t="s">
        <v>128</v>
      </c>
      <c r="D436">
        <v>36.832430000000002</v>
      </c>
      <c r="E436">
        <v>-76.123058</v>
      </c>
      <c r="F436">
        <v>5</v>
      </c>
      <c r="G436" t="str">
        <f t="shared" si="285"/>
        <v>-28-3036.83243-76.123058</v>
      </c>
      <c r="H436">
        <v>-28</v>
      </c>
      <c r="I436">
        <v>-30</v>
      </c>
      <c r="J436" s="30" t="s">
        <v>21</v>
      </c>
      <c r="L436" t="s">
        <v>16</v>
      </c>
      <c r="M436">
        <v>6</v>
      </c>
      <c r="S436" t="str">
        <f t="shared" si="297"/>
        <v>Sand</v>
      </c>
      <c r="T436">
        <f t="shared" si="286"/>
        <v>1</v>
      </c>
      <c r="AA436">
        <v>80</v>
      </c>
      <c r="AB436" s="1">
        <f t="shared" si="293"/>
        <v>8</v>
      </c>
      <c r="AC436">
        <f t="shared" si="294"/>
        <v>5</v>
      </c>
      <c r="AD436" t="str">
        <f t="shared" si="287"/>
        <v/>
      </c>
      <c r="AG436" s="21" t="str">
        <f t="shared" si="265"/>
        <v/>
      </c>
      <c r="AI436" s="6" t="str">
        <f t="shared" si="266"/>
        <v/>
      </c>
      <c r="AM436" s="7" t="str">
        <f t="shared" si="267"/>
        <v/>
      </c>
      <c r="AQ436" s="8" t="str">
        <f t="shared" si="268"/>
        <v/>
      </c>
      <c r="AW436" s="25" t="str">
        <f t="shared" si="269"/>
        <v/>
      </c>
      <c r="AZ436" s="12" t="str">
        <f t="shared" si="270"/>
        <v/>
      </c>
      <c r="BI436" s="17" t="str">
        <f t="shared" si="271"/>
        <v/>
      </c>
      <c r="BM436" t="str">
        <f t="shared" si="272"/>
        <v>SPT Relationship</v>
      </c>
      <c r="BN436">
        <f t="shared" si="260"/>
        <v>113</v>
      </c>
      <c r="BO436" t="str">
        <f t="shared" si="273"/>
        <v>Wolff, 1989</v>
      </c>
      <c r="BP436">
        <f t="shared" si="295"/>
        <v>28</v>
      </c>
      <c r="BQ436" t="str">
        <f t="shared" si="274"/>
        <v/>
      </c>
      <c r="BR436" t="str">
        <f t="shared" si="288"/>
        <v/>
      </c>
      <c r="BS436" t="str">
        <f t="shared" si="275"/>
        <v/>
      </c>
      <c r="BT436" t="str">
        <f t="shared" si="296"/>
        <v/>
      </c>
      <c r="BU436" t="str">
        <f t="shared" si="276"/>
        <v/>
      </c>
      <c r="BV436" t="str">
        <f t="shared" si="289"/>
        <v/>
      </c>
      <c r="BW436" t="str">
        <f t="shared" si="277"/>
        <v/>
      </c>
      <c r="BX436" t="str">
        <f t="shared" si="290"/>
        <v/>
      </c>
      <c r="BY436" t="str">
        <f t="shared" si="278"/>
        <v/>
      </c>
      <c r="BZ436" t="str">
        <f t="shared" si="291"/>
        <v/>
      </c>
      <c r="CA436" t="str">
        <f t="shared" si="279"/>
        <v/>
      </c>
      <c r="CB436" t="str">
        <f t="shared" si="261"/>
        <v/>
      </c>
      <c r="CC436" t="str">
        <f t="shared" si="280"/>
        <v/>
      </c>
      <c r="CD436" t="str">
        <f t="shared" si="262"/>
        <v/>
      </c>
      <c r="CE436" t="str">
        <f t="shared" si="281"/>
        <v>Bowles 5th edition</v>
      </c>
      <c r="CF436">
        <f t="shared" si="263"/>
        <v>147</v>
      </c>
      <c r="CG436" t="str">
        <f t="shared" si="282"/>
        <v/>
      </c>
      <c r="CH436" t="str">
        <f t="shared" si="264"/>
        <v/>
      </c>
      <c r="CI436" t="str">
        <f t="shared" si="283"/>
        <v/>
      </c>
      <c r="CJ436" t="str">
        <f t="shared" si="292"/>
        <v/>
      </c>
    </row>
    <row r="437" spans="2:88" x14ac:dyDescent="0.3">
      <c r="B437" t="str">
        <f t="shared" si="284"/>
        <v>36.832286-76.121398</v>
      </c>
      <c r="C437" s="30" t="s">
        <v>129</v>
      </c>
      <c r="D437">
        <v>36.832286000000003</v>
      </c>
      <c r="E437">
        <v>-76.121397999999999</v>
      </c>
      <c r="F437">
        <v>5</v>
      </c>
      <c r="G437" t="str">
        <f t="shared" si="285"/>
        <v>5336.832286-76.121398</v>
      </c>
      <c r="H437">
        <v>5</v>
      </c>
      <c r="I437">
        <v>3</v>
      </c>
      <c r="J437" s="30" t="s">
        <v>21</v>
      </c>
      <c r="L437" t="s">
        <v>17</v>
      </c>
      <c r="M437">
        <v>16</v>
      </c>
      <c r="S437" t="str">
        <f t="shared" si="297"/>
        <v>Sand</v>
      </c>
      <c r="T437">
        <f t="shared" si="286"/>
        <v>1</v>
      </c>
      <c r="AA437">
        <v>80</v>
      </c>
      <c r="AB437" s="1">
        <f t="shared" si="293"/>
        <v>21</v>
      </c>
      <c r="AC437">
        <f t="shared" si="294"/>
        <v>64</v>
      </c>
      <c r="AD437" t="str">
        <f t="shared" si="287"/>
        <v/>
      </c>
      <c r="AG437" s="21" t="str">
        <f t="shared" si="265"/>
        <v/>
      </c>
      <c r="AI437" s="6" t="str">
        <f t="shared" si="266"/>
        <v/>
      </c>
      <c r="AM437" s="7" t="str">
        <f t="shared" si="267"/>
        <v/>
      </c>
      <c r="AQ437" s="8" t="str">
        <f t="shared" si="268"/>
        <v/>
      </c>
      <c r="AW437" s="25" t="str">
        <f t="shared" si="269"/>
        <v/>
      </c>
      <c r="AZ437" s="12" t="str">
        <f t="shared" si="270"/>
        <v/>
      </c>
      <c r="BI437" s="17" t="str">
        <f t="shared" si="271"/>
        <v/>
      </c>
      <c r="BM437" t="str">
        <f t="shared" si="272"/>
        <v>SPT Relationship</v>
      </c>
      <c r="BN437">
        <f t="shared" si="260"/>
        <v>124</v>
      </c>
      <c r="BO437" t="str">
        <f t="shared" si="273"/>
        <v>Wolff, 1989</v>
      </c>
      <c r="BP437">
        <f t="shared" si="295"/>
        <v>44</v>
      </c>
      <c r="BQ437" t="str">
        <f t="shared" si="274"/>
        <v/>
      </c>
      <c r="BR437" t="str">
        <f t="shared" si="288"/>
        <v/>
      </c>
      <c r="BS437" t="str">
        <f t="shared" si="275"/>
        <v/>
      </c>
      <c r="BT437" t="str">
        <f t="shared" si="296"/>
        <v/>
      </c>
      <c r="BU437" t="str">
        <f t="shared" si="276"/>
        <v/>
      </c>
      <c r="BV437" t="str">
        <f t="shared" si="289"/>
        <v/>
      </c>
      <c r="BW437" t="str">
        <f t="shared" si="277"/>
        <v/>
      </c>
      <c r="BX437" t="str">
        <f t="shared" si="290"/>
        <v/>
      </c>
      <c r="BY437" t="str">
        <f t="shared" si="278"/>
        <v/>
      </c>
      <c r="BZ437" t="str">
        <f t="shared" si="291"/>
        <v/>
      </c>
      <c r="CA437" t="str">
        <f t="shared" si="279"/>
        <v/>
      </c>
      <c r="CB437" t="str">
        <f t="shared" si="261"/>
        <v/>
      </c>
      <c r="CC437" t="str">
        <f t="shared" si="280"/>
        <v/>
      </c>
      <c r="CD437" t="str">
        <f t="shared" si="262"/>
        <v/>
      </c>
      <c r="CE437" t="str">
        <f t="shared" si="281"/>
        <v>Bowles 5th edition</v>
      </c>
      <c r="CF437">
        <f t="shared" si="263"/>
        <v>230</v>
      </c>
      <c r="CG437" t="str">
        <f t="shared" si="282"/>
        <v/>
      </c>
      <c r="CH437" t="str">
        <f t="shared" si="264"/>
        <v/>
      </c>
      <c r="CI437" t="str">
        <f t="shared" si="283"/>
        <v/>
      </c>
      <c r="CJ437" t="str">
        <f t="shared" si="292"/>
        <v/>
      </c>
    </row>
    <row r="438" spans="2:88" x14ac:dyDescent="0.3">
      <c r="B438" t="str">
        <f t="shared" si="284"/>
        <v>36.832286-76.121398</v>
      </c>
      <c r="C438" s="30" t="s">
        <v>129</v>
      </c>
      <c r="D438">
        <v>36.832286000000003</v>
      </c>
      <c r="E438">
        <v>-76.121397999999999</v>
      </c>
      <c r="F438">
        <v>5</v>
      </c>
      <c r="G438" t="str">
        <f t="shared" si="285"/>
        <v>3136.832286-76.121398</v>
      </c>
      <c r="H438">
        <v>3</v>
      </c>
      <c r="I438">
        <v>1</v>
      </c>
      <c r="J438" s="30" t="s">
        <v>21</v>
      </c>
      <c r="L438" t="s">
        <v>17</v>
      </c>
      <c r="M438">
        <v>31</v>
      </c>
      <c r="S438" t="str">
        <f t="shared" si="297"/>
        <v>Sand</v>
      </c>
      <c r="T438">
        <f t="shared" si="286"/>
        <v>1</v>
      </c>
      <c r="AA438">
        <v>80</v>
      </c>
      <c r="AB438" s="1">
        <f t="shared" si="293"/>
        <v>41</v>
      </c>
      <c r="AC438">
        <f t="shared" si="294"/>
        <v>89</v>
      </c>
      <c r="AD438" t="str">
        <f t="shared" si="287"/>
        <v/>
      </c>
      <c r="AG438" s="21" t="str">
        <f t="shared" si="265"/>
        <v/>
      </c>
      <c r="AI438" s="6" t="str">
        <f t="shared" si="266"/>
        <v/>
      </c>
      <c r="AM438" s="7" t="str">
        <f t="shared" si="267"/>
        <v/>
      </c>
      <c r="AQ438" s="8" t="str">
        <f t="shared" si="268"/>
        <v/>
      </c>
      <c r="AW438" s="25" t="str">
        <f t="shared" si="269"/>
        <v/>
      </c>
      <c r="AZ438" s="12" t="str">
        <f t="shared" si="270"/>
        <v/>
      </c>
      <c r="BI438" s="17" t="str">
        <f t="shared" si="271"/>
        <v/>
      </c>
      <c r="BM438" t="str">
        <f t="shared" si="272"/>
        <v>SPT Relationship</v>
      </c>
      <c r="BN438">
        <f t="shared" si="260"/>
        <v>132</v>
      </c>
      <c r="BO438" t="str">
        <f t="shared" si="273"/>
        <v>Wolff, 1989</v>
      </c>
      <c r="BP438">
        <f t="shared" si="295"/>
        <v>49</v>
      </c>
      <c r="BQ438" t="str">
        <f t="shared" si="274"/>
        <v/>
      </c>
      <c r="BR438" t="str">
        <f t="shared" si="288"/>
        <v/>
      </c>
      <c r="BS438" t="str">
        <f t="shared" si="275"/>
        <v/>
      </c>
      <c r="BT438" t="str">
        <f t="shared" si="296"/>
        <v/>
      </c>
      <c r="BU438" t="str">
        <f t="shared" si="276"/>
        <v/>
      </c>
      <c r="BV438" t="str">
        <f t="shared" si="289"/>
        <v/>
      </c>
      <c r="BW438" t="str">
        <f t="shared" si="277"/>
        <v/>
      </c>
      <c r="BX438" t="str">
        <f t="shared" si="290"/>
        <v/>
      </c>
      <c r="BY438" t="str">
        <f t="shared" si="278"/>
        <v/>
      </c>
      <c r="BZ438" t="str">
        <f t="shared" si="291"/>
        <v/>
      </c>
      <c r="CA438" t="str">
        <f t="shared" si="279"/>
        <v/>
      </c>
      <c r="CB438" t="str">
        <f t="shared" si="261"/>
        <v/>
      </c>
      <c r="CC438" t="str">
        <f t="shared" si="280"/>
        <v/>
      </c>
      <c r="CD438" t="str">
        <f t="shared" si="262"/>
        <v/>
      </c>
      <c r="CE438" t="str">
        <f t="shared" si="281"/>
        <v>Bowles 5th edition</v>
      </c>
      <c r="CF438">
        <f t="shared" si="263"/>
        <v>358</v>
      </c>
      <c r="CG438" t="str">
        <f t="shared" si="282"/>
        <v/>
      </c>
      <c r="CH438" t="str">
        <f t="shared" si="264"/>
        <v/>
      </c>
      <c r="CI438" t="str">
        <f t="shared" si="283"/>
        <v/>
      </c>
      <c r="CJ438" t="str">
        <f t="shared" si="292"/>
        <v/>
      </c>
    </row>
    <row r="439" spans="2:88" x14ac:dyDescent="0.3">
      <c r="B439" t="str">
        <f t="shared" si="284"/>
        <v>36.832286-76.121398</v>
      </c>
      <c r="C439" s="30" t="s">
        <v>129</v>
      </c>
      <c r="D439">
        <v>36.832286000000003</v>
      </c>
      <c r="E439">
        <v>-76.121397999999999</v>
      </c>
      <c r="F439">
        <v>5</v>
      </c>
      <c r="G439" t="str">
        <f t="shared" si="285"/>
        <v>1-136.832286-76.121398</v>
      </c>
      <c r="H439">
        <v>1</v>
      </c>
      <c r="I439">
        <v>-1</v>
      </c>
      <c r="J439" s="30" t="s">
        <v>21</v>
      </c>
      <c r="L439" t="s">
        <v>17</v>
      </c>
      <c r="M439">
        <v>16</v>
      </c>
      <c r="S439" t="str">
        <f t="shared" si="297"/>
        <v>Sand</v>
      </c>
      <c r="T439">
        <f t="shared" si="286"/>
        <v>1</v>
      </c>
      <c r="AA439">
        <v>80</v>
      </c>
      <c r="AB439" s="1">
        <f t="shared" si="293"/>
        <v>21</v>
      </c>
      <c r="AC439">
        <f t="shared" si="294"/>
        <v>37</v>
      </c>
      <c r="AD439" t="str">
        <f t="shared" si="287"/>
        <v/>
      </c>
      <c r="AG439" s="21" t="str">
        <f t="shared" si="265"/>
        <v/>
      </c>
      <c r="AI439" s="6" t="str">
        <f t="shared" si="266"/>
        <v/>
      </c>
      <c r="AM439" s="7" t="str">
        <f t="shared" si="267"/>
        <v/>
      </c>
      <c r="AQ439" s="8" t="str">
        <f t="shared" si="268"/>
        <v/>
      </c>
      <c r="AW439" s="25" t="str">
        <f t="shared" si="269"/>
        <v/>
      </c>
      <c r="AZ439" s="12" t="str">
        <f t="shared" si="270"/>
        <v/>
      </c>
      <c r="BI439" s="17" t="str">
        <f t="shared" si="271"/>
        <v/>
      </c>
      <c r="BM439" t="str">
        <f t="shared" si="272"/>
        <v>SPT Relationship</v>
      </c>
      <c r="BN439">
        <f t="shared" si="260"/>
        <v>124</v>
      </c>
      <c r="BO439" t="str">
        <f t="shared" si="273"/>
        <v>Wolff, 1989</v>
      </c>
      <c r="BP439">
        <f t="shared" si="295"/>
        <v>37</v>
      </c>
      <c r="BQ439" t="str">
        <f t="shared" si="274"/>
        <v/>
      </c>
      <c r="BR439" t="str">
        <f t="shared" si="288"/>
        <v/>
      </c>
      <c r="BS439" t="str">
        <f t="shared" si="275"/>
        <v/>
      </c>
      <c r="BT439" t="str">
        <f t="shared" si="296"/>
        <v/>
      </c>
      <c r="BU439" t="str">
        <f t="shared" si="276"/>
        <v/>
      </c>
      <c r="BV439" t="str">
        <f t="shared" si="289"/>
        <v/>
      </c>
      <c r="BW439" t="str">
        <f t="shared" si="277"/>
        <v/>
      </c>
      <c r="BX439" t="str">
        <f t="shared" si="290"/>
        <v/>
      </c>
      <c r="BY439" t="str">
        <f t="shared" si="278"/>
        <v/>
      </c>
      <c r="BZ439" t="str">
        <f t="shared" si="291"/>
        <v/>
      </c>
      <c r="CA439" t="str">
        <f t="shared" si="279"/>
        <v/>
      </c>
      <c r="CB439" t="str">
        <f t="shared" si="261"/>
        <v/>
      </c>
      <c r="CC439" t="str">
        <f t="shared" si="280"/>
        <v/>
      </c>
      <c r="CD439" t="str">
        <f t="shared" si="262"/>
        <v/>
      </c>
      <c r="CE439" t="str">
        <f t="shared" si="281"/>
        <v>Bowles 5th edition</v>
      </c>
      <c r="CF439">
        <f t="shared" si="263"/>
        <v>230</v>
      </c>
      <c r="CG439" t="str">
        <f t="shared" si="282"/>
        <v/>
      </c>
      <c r="CH439" t="str">
        <f t="shared" si="264"/>
        <v/>
      </c>
      <c r="CI439" t="str">
        <f t="shared" si="283"/>
        <v/>
      </c>
      <c r="CJ439" t="str">
        <f t="shared" si="292"/>
        <v/>
      </c>
    </row>
    <row r="440" spans="2:88" x14ac:dyDescent="0.3">
      <c r="B440" t="str">
        <f t="shared" si="284"/>
        <v>36.832286-76.121398</v>
      </c>
      <c r="C440" s="30" t="s">
        <v>129</v>
      </c>
      <c r="D440">
        <v>36.832286000000003</v>
      </c>
      <c r="E440">
        <v>-76.121397999999999</v>
      </c>
      <c r="F440">
        <v>5</v>
      </c>
      <c r="G440" t="str">
        <f t="shared" si="285"/>
        <v>-1-336.832286-76.121398</v>
      </c>
      <c r="H440">
        <v>-1</v>
      </c>
      <c r="I440">
        <v>-3</v>
      </c>
      <c r="J440" s="30" t="s">
        <v>21</v>
      </c>
      <c r="L440" t="s">
        <v>17</v>
      </c>
      <c r="M440">
        <v>16</v>
      </c>
      <c r="S440" t="str">
        <f t="shared" si="297"/>
        <v>Sand</v>
      </c>
      <c r="T440">
        <f t="shared" si="286"/>
        <v>1</v>
      </c>
      <c r="AA440">
        <v>80</v>
      </c>
      <c r="AB440" s="1">
        <f t="shared" si="293"/>
        <v>21</v>
      </c>
      <c r="AC440">
        <f t="shared" si="294"/>
        <v>32</v>
      </c>
      <c r="AD440" t="str">
        <f t="shared" si="287"/>
        <v/>
      </c>
      <c r="AG440" s="21" t="str">
        <f t="shared" si="265"/>
        <v/>
      </c>
      <c r="AI440" s="6" t="str">
        <f t="shared" si="266"/>
        <v/>
      </c>
      <c r="AM440" s="7" t="str">
        <f t="shared" si="267"/>
        <v/>
      </c>
      <c r="AQ440" s="8" t="str">
        <f t="shared" si="268"/>
        <v/>
      </c>
      <c r="AW440" s="25" t="str">
        <f t="shared" si="269"/>
        <v/>
      </c>
      <c r="AZ440" s="12" t="str">
        <f t="shared" si="270"/>
        <v/>
      </c>
      <c r="BI440" s="17" t="str">
        <f t="shared" si="271"/>
        <v/>
      </c>
      <c r="BM440" t="str">
        <f t="shared" si="272"/>
        <v>SPT Relationship</v>
      </c>
      <c r="BN440">
        <f t="shared" si="260"/>
        <v>124</v>
      </c>
      <c r="BO440" t="str">
        <f t="shared" si="273"/>
        <v>Wolff, 1989</v>
      </c>
      <c r="BP440">
        <f t="shared" si="295"/>
        <v>36</v>
      </c>
      <c r="BQ440" t="str">
        <f t="shared" si="274"/>
        <v/>
      </c>
      <c r="BR440" t="str">
        <f t="shared" si="288"/>
        <v/>
      </c>
      <c r="BS440" t="str">
        <f t="shared" si="275"/>
        <v/>
      </c>
      <c r="BT440" t="str">
        <f t="shared" si="296"/>
        <v/>
      </c>
      <c r="BU440" t="str">
        <f t="shared" si="276"/>
        <v/>
      </c>
      <c r="BV440" t="str">
        <f t="shared" si="289"/>
        <v/>
      </c>
      <c r="BW440" t="str">
        <f t="shared" si="277"/>
        <v/>
      </c>
      <c r="BX440" t="str">
        <f t="shared" si="290"/>
        <v/>
      </c>
      <c r="BY440" t="str">
        <f t="shared" si="278"/>
        <v/>
      </c>
      <c r="BZ440" t="str">
        <f t="shared" si="291"/>
        <v/>
      </c>
      <c r="CA440" t="str">
        <f t="shared" si="279"/>
        <v/>
      </c>
      <c r="CB440" t="str">
        <f t="shared" si="261"/>
        <v/>
      </c>
      <c r="CC440" t="str">
        <f t="shared" si="280"/>
        <v/>
      </c>
      <c r="CD440" t="str">
        <f t="shared" si="262"/>
        <v/>
      </c>
      <c r="CE440" t="str">
        <f t="shared" si="281"/>
        <v>Bowles 5th edition</v>
      </c>
      <c r="CF440">
        <f t="shared" si="263"/>
        <v>230</v>
      </c>
      <c r="CG440" t="str">
        <f t="shared" si="282"/>
        <v/>
      </c>
      <c r="CH440" t="str">
        <f t="shared" si="264"/>
        <v/>
      </c>
      <c r="CI440" t="str">
        <f t="shared" si="283"/>
        <v/>
      </c>
      <c r="CJ440" t="str">
        <f t="shared" si="292"/>
        <v/>
      </c>
    </row>
    <row r="441" spans="2:88" x14ac:dyDescent="0.3">
      <c r="B441" t="str">
        <f t="shared" si="284"/>
        <v>36.832286-76.121398</v>
      </c>
      <c r="C441" s="30" t="s">
        <v>129</v>
      </c>
      <c r="D441">
        <v>36.832286000000003</v>
      </c>
      <c r="E441">
        <v>-76.121397999999999</v>
      </c>
      <c r="F441">
        <v>5</v>
      </c>
      <c r="G441" t="str">
        <f t="shared" si="285"/>
        <v>-3-536.832286-76.121398</v>
      </c>
      <c r="H441">
        <v>-3</v>
      </c>
      <c r="I441">
        <v>-5</v>
      </c>
      <c r="J441" s="30" t="s">
        <v>21</v>
      </c>
      <c r="L441" t="s">
        <v>16</v>
      </c>
      <c r="M441">
        <v>7</v>
      </c>
      <c r="S441" t="str">
        <f t="shared" si="297"/>
        <v>Sand</v>
      </c>
      <c r="T441">
        <f t="shared" si="286"/>
        <v>1</v>
      </c>
      <c r="AA441">
        <v>80</v>
      </c>
      <c r="AB441" s="1">
        <f t="shared" si="293"/>
        <v>9</v>
      </c>
      <c r="AC441">
        <f t="shared" si="294"/>
        <v>12</v>
      </c>
      <c r="AD441" t="str">
        <f t="shared" si="287"/>
        <v/>
      </c>
      <c r="AG441" s="21" t="str">
        <f t="shared" si="265"/>
        <v/>
      </c>
      <c r="AI441" s="6" t="str">
        <f t="shared" si="266"/>
        <v/>
      </c>
      <c r="AM441" s="7" t="str">
        <f t="shared" si="267"/>
        <v/>
      </c>
      <c r="AQ441" s="8" t="str">
        <f t="shared" si="268"/>
        <v/>
      </c>
      <c r="AW441" s="25" t="str">
        <f t="shared" si="269"/>
        <v/>
      </c>
      <c r="AZ441" s="12" t="str">
        <f t="shared" si="270"/>
        <v/>
      </c>
      <c r="BI441" s="17" t="str">
        <f t="shared" si="271"/>
        <v/>
      </c>
      <c r="BM441" t="str">
        <f t="shared" si="272"/>
        <v>SPT Relationship</v>
      </c>
      <c r="BN441">
        <f t="shared" si="260"/>
        <v>114</v>
      </c>
      <c r="BO441" t="str">
        <f t="shared" si="273"/>
        <v>Wolff, 1989</v>
      </c>
      <c r="BP441">
        <f t="shared" si="295"/>
        <v>30</v>
      </c>
      <c r="BQ441" t="str">
        <f t="shared" si="274"/>
        <v/>
      </c>
      <c r="BR441" t="str">
        <f t="shared" si="288"/>
        <v/>
      </c>
      <c r="BS441" t="str">
        <f t="shared" si="275"/>
        <v/>
      </c>
      <c r="BT441" t="str">
        <f t="shared" si="296"/>
        <v/>
      </c>
      <c r="BU441" t="str">
        <f t="shared" si="276"/>
        <v/>
      </c>
      <c r="BV441" t="str">
        <f t="shared" si="289"/>
        <v/>
      </c>
      <c r="BW441" t="str">
        <f t="shared" si="277"/>
        <v/>
      </c>
      <c r="BX441" t="str">
        <f t="shared" si="290"/>
        <v/>
      </c>
      <c r="BY441" t="str">
        <f t="shared" si="278"/>
        <v/>
      </c>
      <c r="BZ441" t="str">
        <f t="shared" si="291"/>
        <v/>
      </c>
      <c r="CA441" t="str">
        <f t="shared" si="279"/>
        <v/>
      </c>
      <c r="CB441" t="str">
        <f t="shared" si="261"/>
        <v/>
      </c>
      <c r="CC441" t="str">
        <f t="shared" si="280"/>
        <v/>
      </c>
      <c r="CD441" t="str">
        <f t="shared" si="262"/>
        <v/>
      </c>
      <c r="CE441" t="str">
        <f t="shared" si="281"/>
        <v>Bowles 5th edition</v>
      </c>
      <c r="CF441">
        <f t="shared" si="263"/>
        <v>154</v>
      </c>
      <c r="CG441" t="str">
        <f t="shared" si="282"/>
        <v/>
      </c>
      <c r="CH441" t="str">
        <f t="shared" si="264"/>
        <v/>
      </c>
      <c r="CI441" t="str">
        <f t="shared" si="283"/>
        <v/>
      </c>
      <c r="CJ441" t="str">
        <f t="shared" si="292"/>
        <v/>
      </c>
    </row>
    <row r="442" spans="2:88" x14ac:dyDescent="0.3">
      <c r="B442" t="str">
        <f t="shared" si="284"/>
        <v>36.832286-76.121398</v>
      </c>
      <c r="C442" s="30" t="s">
        <v>129</v>
      </c>
      <c r="D442">
        <v>36.832286000000003</v>
      </c>
      <c r="E442">
        <v>-76.121397999999999</v>
      </c>
      <c r="F442">
        <v>5</v>
      </c>
      <c r="G442" t="str">
        <f t="shared" si="285"/>
        <v>-5-736.832286-76.121398</v>
      </c>
      <c r="H442">
        <v>-5</v>
      </c>
      <c r="I442">
        <v>-7</v>
      </c>
      <c r="J442" s="30" t="s">
        <v>21</v>
      </c>
      <c r="L442" t="s">
        <v>16</v>
      </c>
      <c r="M442">
        <v>2</v>
      </c>
      <c r="S442" t="str">
        <f t="shared" si="297"/>
        <v>Sand</v>
      </c>
      <c r="T442">
        <f t="shared" si="286"/>
        <v>1</v>
      </c>
      <c r="AA442">
        <v>80</v>
      </c>
      <c r="AB442" s="1">
        <f t="shared" si="293"/>
        <v>3</v>
      </c>
      <c r="AC442">
        <f t="shared" si="294"/>
        <v>3</v>
      </c>
      <c r="AD442" t="str">
        <f t="shared" si="287"/>
        <v/>
      </c>
      <c r="AG442" s="21" t="str">
        <f t="shared" si="265"/>
        <v/>
      </c>
      <c r="AI442" s="6" t="str">
        <f t="shared" si="266"/>
        <v/>
      </c>
      <c r="AM442" s="7" t="str">
        <f t="shared" si="267"/>
        <v/>
      </c>
      <c r="AQ442" s="8" t="str">
        <f t="shared" si="268"/>
        <v/>
      </c>
      <c r="AW442" s="25" t="str">
        <f t="shared" si="269"/>
        <v/>
      </c>
      <c r="AZ442" s="12" t="str">
        <f t="shared" si="270"/>
        <v/>
      </c>
      <c r="BI442" s="17" t="str">
        <f t="shared" si="271"/>
        <v/>
      </c>
      <c r="BM442" t="str">
        <f t="shared" si="272"/>
        <v>SPT Relationship</v>
      </c>
      <c r="BN442">
        <f t="shared" si="260"/>
        <v>101</v>
      </c>
      <c r="BO442" t="str">
        <f t="shared" si="273"/>
        <v>Wolff, 1989</v>
      </c>
      <c r="BP442">
        <f t="shared" si="295"/>
        <v>27</v>
      </c>
      <c r="BQ442" t="str">
        <f t="shared" si="274"/>
        <v/>
      </c>
      <c r="BR442" t="str">
        <f t="shared" si="288"/>
        <v/>
      </c>
      <c r="BS442" t="str">
        <f t="shared" si="275"/>
        <v/>
      </c>
      <c r="BT442" t="str">
        <f t="shared" si="296"/>
        <v/>
      </c>
      <c r="BU442" t="str">
        <f t="shared" si="276"/>
        <v/>
      </c>
      <c r="BV442" t="str">
        <f t="shared" si="289"/>
        <v/>
      </c>
      <c r="BW442" t="str">
        <f t="shared" si="277"/>
        <v/>
      </c>
      <c r="BX442" t="str">
        <f t="shared" si="290"/>
        <v/>
      </c>
      <c r="BY442" t="str">
        <f t="shared" si="278"/>
        <v/>
      </c>
      <c r="BZ442" t="str">
        <f t="shared" si="291"/>
        <v/>
      </c>
      <c r="CA442" t="str">
        <f t="shared" si="279"/>
        <v/>
      </c>
      <c r="CB442" t="str">
        <f t="shared" si="261"/>
        <v/>
      </c>
      <c r="CC442" t="str">
        <f t="shared" si="280"/>
        <v/>
      </c>
      <c r="CD442" t="str">
        <f t="shared" si="262"/>
        <v/>
      </c>
      <c r="CE442" t="str">
        <f t="shared" si="281"/>
        <v>Bowles 5th edition</v>
      </c>
      <c r="CF442">
        <f t="shared" si="263"/>
        <v>115</v>
      </c>
      <c r="CG442" t="str">
        <f t="shared" si="282"/>
        <v/>
      </c>
      <c r="CH442" t="str">
        <f t="shared" si="264"/>
        <v/>
      </c>
      <c r="CI442" t="str">
        <f t="shared" si="283"/>
        <v/>
      </c>
      <c r="CJ442" t="str">
        <f t="shared" si="292"/>
        <v/>
      </c>
    </row>
    <row r="443" spans="2:88" x14ac:dyDescent="0.3">
      <c r="B443" t="str">
        <f t="shared" si="284"/>
        <v>36.832286-76.121398</v>
      </c>
      <c r="C443" s="30" t="s">
        <v>129</v>
      </c>
      <c r="D443">
        <v>36.832286000000003</v>
      </c>
      <c r="E443">
        <v>-76.121397999999999</v>
      </c>
      <c r="F443">
        <v>5</v>
      </c>
      <c r="G443" t="str">
        <f t="shared" si="285"/>
        <v>-8-1036.832286-76.121398</v>
      </c>
      <c r="H443">
        <v>-8</v>
      </c>
      <c r="I443">
        <v>-10</v>
      </c>
      <c r="J443" s="30" t="s">
        <v>21</v>
      </c>
      <c r="L443" t="s">
        <v>16</v>
      </c>
      <c r="M443">
        <v>8</v>
      </c>
      <c r="S443" t="str">
        <f t="shared" si="297"/>
        <v>Sand</v>
      </c>
      <c r="T443">
        <f t="shared" si="286"/>
        <v>1</v>
      </c>
      <c r="AA443">
        <v>80</v>
      </c>
      <c r="AB443" s="1">
        <f t="shared" si="293"/>
        <v>11</v>
      </c>
      <c r="AC443">
        <f t="shared" si="294"/>
        <v>12</v>
      </c>
      <c r="AD443" t="str">
        <f t="shared" si="287"/>
        <v/>
      </c>
      <c r="AG443" s="21" t="str">
        <f t="shared" si="265"/>
        <v/>
      </c>
      <c r="AI443" s="6" t="str">
        <f t="shared" si="266"/>
        <v/>
      </c>
      <c r="AM443" s="7" t="str">
        <f t="shared" si="267"/>
        <v/>
      </c>
      <c r="AQ443" s="8" t="str">
        <f t="shared" si="268"/>
        <v/>
      </c>
      <c r="AW443" s="25" t="str">
        <f t="shared" si="269"/>
        <v/>
      </c>
      <c r="AZ443" s="12" t="str">
        <f t="shared" si="270"/>
        <v/>
      </c>
      <c r="BI443" s="17" t="str">
        <f t="shared" si="271"/>
        <v/>
      </c>
      <c r="BM443" t="str">
        <f t="shared" si="272"/>
        <v>SPT Relationship</v>
      </c>
      <c r="BN443">
        <f t="shared" si="260"/>
        <v>116</v>
      </c>
      <c r="BO443" t="str">
        <f t="shared" si="273"/>
        <v>Wolff, 1989</v>
      </c>
      <c r="BP443">
        <f t="shared" si="295"/>
        <v>30</v>
      </c>
      <c r="BQ443" t="str">
        <f t="shared" si="274"/>
        <v/>
      </c>
      <c r="BR443" t="str">
        <f t="shared" si="288"/>
        <v/>
      </c>
      <c r="BS443" t="str">
        <f t="shared" si="275"/>
        <v/>
      </c>
      <c r="BT443" t="str">
        <f t="shared" si="296"/>
        <v/>
      </c>
      <c r="BU443" t="str">
        <f t="shared" si="276"/>
        <v/>
      </c>
      <c r="BV443" t="str">
        <f t="shared" si="289"/>
        <v/>
      </c>
      <c r="BW443" t="str">
        <f t="shared" si="277"/>
        <v/>
      </c>
      <c r="BX443" t="str">
        <f t="shared" si="290"/>
        <v/>
      </c>
      <c r="BY443" t="str">
        <f t="shared" si="278"/>
        <v/>
      </c>
      <c r="BZ443" t="str">
        <f t="shared" si="291"/>
        <v/>
      </c>
      <c r="CA443" t="str">
        <f t="shared" si="279"/>
        <v/>
      </c>
      <c r="CB443" t="str">
        <f t="shared" si="261"/>
        <v/>
      </c>
      <c r="CC443" t="str">
        <f t="shared" si="280"/>
        <v/>
      </c>
      <c r="CD443" t="str">
        <f t="shared" si="262"/>
        <v/>
      </c>
      <c r="CE443" t="str">
        <f t="shared" si="281"/>
        <v>Bowles 5th edition</v>
      </c>
      <c r="CF443">
        <f t="shared" si="263"/>
        <v>166</v>
      </c>
      <c r="CG443" t="str">
        <f t="shared" si="282"/>
        <v/>
      </c>
      <c r="CH443" t="str">
        <f t="shared" si="264"/>
        <v/>
      </c>
      <c r="CI443" t="str">
        <f t="shared" si="283"/>
        <v/>
      </c>
      <c r="CJ443" t="str">
        <f t="shared" si="292"/>
        <v/>
      </c>
    </row>
    <row r="444" spans="2:88" x14ac:dyDescent="0.3">
      <c r="B444" t="str">
        <f t="shared" si="284"/>
        <v>36.832286-76.121398</v>
      </c>
      <c r="C444" s="30" t="s">
        <v>129</v>
      </c>
      <c r="D444">
        <v>36.832286000000003</v>
      </c>
      <c r="E444">
        <v>-76.121397999999999</v>
      </c>
      <c r="F444">
        <v>5</v>
      </c>
      <c r="G444" t="str">
        <f t="shared" si="285"/>
        <v>-13-1536.832286-76.121398</v>
      </c>
      <c r="H444">
        <v>-13</v>
      </c>
      <c r="I444">
        <v>-15</v>
      </c>
      <c r="J444" s="30" t="s">
        <v>21</v>
      </c>
      <c r="L444" t="s">
        <v>16</v>
      </c>
      <c r="M444">
        <v>8</v>
      </c>
      <c r="S444" t="str">
        <f t="shared" si="297"/>
        <v>Sand</v>
      </c>
      <c r="T444">
        <f t="shared" si="286"/>
        <v>1</v>
      </c>
      <c r="AA444">
        <v>80</v>
      </c>
      <c r="AB444" s="1">
        <f t="shared" si="293"/>
        <v>11</v>
      </c>
      <c r="AC444">
        <f t="shared" si="294"/>
        <v>10</v>
      </c>
      <c r="AD444" t="str">
        <f t="shared" si="287"/>
        <v/>
      </c>
      <c r="AG444" s="21" t="str">
        <f t="shared" si="265"/>
        <v/>
      </c>
      <c r="AI444" s="6" t="str">
        <f t="shared" si="266"/>
        <v/>
      </c>
      <c r="AM444" s="7" t="str">
        <f t="shared" si="267"/>
        <v/>
      </c>
      <c r="AQ444" s="8" t="str">
        <f t="shared" si="268"/>
        <v/>
      </c>
      <c r="AW444" s="25" t="str">
        <f t="shared" si="269"/>
        <v/>
      </c>
      <c r="AZ444" s="12" t="str">
        <f t="shared" si="270"/>
        <v/>
      </c>
      <c r="BI444" s="17" t="str">
        <f t="shared" si="271"/>
        <v/>
      </c>
      <c r="BM444" t="str">
        <f t="shared" si="272"/>
        <v>SPT Relationship</v>
      </c>
      <c r="BN444">
        <f t="shared" si="260"/>
        <v>116</v>
      </c>
      <c r="BO444" t="str">
        <f t="shared" si="273"/>
        <v>Wolff, 1989</v>
      </c>
      <c r="BP444">
        <f t="shared" si="295"/>
        <v>30</v>
      </c>
      <c r="BQ444" t="str">
        <f t="shared" si="274"/>
        <v/>
      </c>
      <c r="BR444" t="str">
        <f t="shared" si="288"/>
        <v/>
      </c>
      <c r="BS444" t="str">
        <f t="shared" si="275"/>
        <v/>
      </c>
      <c r="BT444" t="str">
        <f t="shared" si="296"/>
        <v/>
      </c>
      <c r="BU444" t="str">
        <f t="shared" si="276"/>
        <v/>
      </c>
      <c r="BV444" t="str">
        <f t="shared" si="289"/>
        <v/>
      </c>
      <c r="BW444" t="str">
        <f t="shared" si="277"/>
        <v/>
      </c>
      <c r="BX444" t="str">
        <f t="shared" si="290"/>
        <v/>
      </c>
      <c r="BY444" t="str">
        <f t="shared" si="278"/>
        <v/>
      </c>
      <c r="BZ444" t="str">
        <f t="shared" si="291"/>
        <v/>
      </c>
      <c r="CA444" t="str">
        <f t="shared" si="279"/>
        <v/>
      </c>
      <c r="CB444" t="str">
        <f t="shared" si="261"/>
        <v/>
      </c>
      <c r="CC444" t="str">
        <f t="shared" si="280"/>
        <v/>
      </c>
      <c r="CD444" t="str">
        <f t="shared" si="262"/>
        <v/>
      </c>
      <c r="CE444" t="str">
        <f t="shared" si="281"/>
        <v>Bowles 5th edition</v>
      </c>
      <c r="CF444">
        <f t="shared" si="263"/>
        <v>166</v>
      </c>
      <c r="CG444" t="str">
        <f t="shared" si="282"/>
        <v/>
      </c>
      <c r="CH444" t="str">
        <f t="shared" si="264"/>
        <v/>
      </c>
      <c r="CI444" t="str">
        <f t="shared" si="283"/>
        <v/>
      </c>
      <c r="CJ444" t="str">
        <f t="shared" si="292"/>
        <v/>
      </c>
    </row>
    <row r="445" spans="2:88" x14ac:dyDescent="0.3">
      <c r="B445" t="str">
        <f t="shared" si="284"/>
        <v>36.832286-76.121398</v>
      </c>
      <c r="C445" s="30" t="s">
        <v>129</v>
      </c>
      <c r="D445">
        <v>36.832286000000003</v>
      </c>
      <c r="E445">
        <v>-76.121397999999999</v>
      </c>
      <c r="F445">
        <v>5</v>
      </c>
      <c r="G445" t="str">
        <f t="shared" si="285"/>
        <v>-18-2036.832286-76.121398</v>
      </c>
      <c r="H445">
        <v>-18</v>
      </c>
      <c r="I445">
        <v>-20</v>
      </c>
      <c r="J445" s="30" t="s">
        <v>21</v>
      </c>
      <c r="L445" t="s">
        <v>16</v>
      </c>
      <c r="M445">
        <v>7</v>
      </c>
      <c r="S445" t="str">
        <f t="shared" si="297"/>
        <v>Sand</v>
      </c>
      <c r="T445">
        <f t="shared" si="286"/>
        <v>1</v>
      </c>
      <c r="AA445">
        <v>80</v>
      </c>
      <c r="AB445" s="1">
        <f t="shared" si="293"/>
        <v>9</v>
      </c>
      <c r="AC445">
        <f t="shared" si="294"/>
        <v>7</v>
      </c>
      <c r="AD445" t="str">
        <f t="shared" si="287"/>
        <v/>
      </c>
      <c r="AG445" s="21" t="str">
        <f t="shared" si="265"/>
        <v/>
      </c>
      <c r="AI445" s="6" t="str">
        <f t="shared" si="266"/>
        <v/>
      </c>
      <c r="AM445" s="7" t="str">
        <f t="shared" si="267"/>
        <v/>
      </c>
      <c r="AQ445" s="8" t="str">
        <f t="shared" si="268"/>
        <v/>
      </c>
      <c r="AW445" s="25" t="str">
        <f t="shared" si="269"/>
        <v/>
      </c>
      <c r="AZ445" s="12" t="str">
        <f t="shared" si="270"/>
        <v/>
      </c>
      <c r="BI445" s="17" t="str">
        <f t="shared" si="271"/>
        <v/>
      </c>
      <c r="BM445" t="str">
        <f t="shared" si="272"/>
        <v>SPT Relationship</v>
      </c>
      <c r="BN445">
        <f t="shared" si="260"/>
        <v>114</v>
      </c>
      <c r="BO445" t="str">
        <f t="shared" si="273"/>
        <v>Wolff, 1989</v>
      </c>
      <c r="BP445">
        <f t="shared" si="295"/>
        <v>29</v>
      </c>
      <c r="BQ445" t="str">
        <f t="shared" si="274"/>
        <v/>
      </c>
      <c r="BR445" t="str">
        <f t="shared" si="288"/>
        <v/>
      </c>
      <c r="BS445" t="str">
        <f t="shared" si="275"/>
        <v/>
      </c>
      <c r="BT445" t="str">
        <f t="shared" si="296"/>
        <v/>
      </c>
      <c r="BU445" t="str">
        <f t="shared" si="276"/>
        <v/>
      </c>
      <c r="BV445" t="str">
        <f t="shared" si="289"/>
        <v/>
      </c>
      <c r="BW445" t="str">
        <f t="shared" si="277"/>
        <v/>
      </c>
      <c r="BX445" t="str">
        <f t="shared" si="290"/>
        <v/>
      </c>
      <c r="BY445" t="str">
        <f t="shared" si="278"/>
        <v/>
      </c>
      <c r="BZ445" t="str">
        <f t="shared" si="291"/>
        <v/>
      </c>
      <c r="CA445" t="str">
        <f t="shared" si="279"/>
        <v/>
      </c>
      <c r="CB445" t="str">
        <f t="shared" si="261"/>
        <v/>
      </c>
      <c r="CC445" t="str">
        <f t="shared" si="280"/>
        <v/>
      </c>
      <c r="CD445" t="str">
        <f t="shared" si="262"/>
        <v/>
      </c>
      <c r="CE445" t="str">
        <f t="shared" si="281"/>
        <v>Bowles 5th edition</v>
      </c>
      <c r="CF445">
        <f t="shared" si="263"/>
        <v>154</v>
      </c>
      <c r="CG445" t="str">
        <f t="shared" si="282"/>
        <v/>
      </c>
      <c r="CH445" t="str">
        <f t="shared" si="264"/>
        <v/>
      </c>
      <c r="CI445" t="str">
        <f t="shared" si="283"/>
        <v/>
      </c>
      <c r="CJ445" t="str">
        <f t="shared" si="292"/>
        <v/>
      </c>
    </row>
    <row r="446" spans="2:88" x14ac:dyDescent="0.3">
      <c r="B446" t="str">
        <f t="shared" si="284"/>
        <v>36.832286-76.121398</v>
      </c>
      <c r="C446" s="30" t="s">
        <v>129</v>
      </c>
      <c r="D446">
        <v>36.832286000000003</v>
      </c>
      <c r="E446">
        <v>-76.121397999999999</v>
      </c>
      <c r="F446">
        <v>5</v>
      </c>
      <c r="G446" t="str">
        <f t="shared" si="285"/>
        <v>-23-2536.832286-76.121398</v>
      </c>
      <c r="H446">
        <v>-23</v>
      </c>
      <c r="I446">
        <v>-25</v>
      </c>
      <c r="J446" s="30" t="s">
        <v>21</v>
      </c>
      <c r="L446" t="s">
        <v>16</v>
      </c>
      <c r="M446">
        <v>4</v>
      </c>
      <c r="S446" t="str">
        <f t="shared" si="297"/>
        <v>Sand</v>
      </c>
      <c r="T446">
        <f t="shared" si="286"/>
        <v>1</v>
      </c>
      <c r="AA446">
        <v>80</v>
      </c>
      <c r="AB446" s="1">
        <f t="shared" si="293"/>
        <v>5</v>
      </c>
      <c r="AC446">
        <f t="shared" si="294"/>
        <v>3</v>
      </c>
      <c r="AD446" t="str">
        <f t="shared" si="287"/>
        <v/>
      </c>
      <c r="AG446" s="21" t="str">
        <f t="shared" si="265"/>
        <v/>
      </c>
      <c r="AI446" s="6" t="str">
        <f t="shared" si="266"/>
        <v/>
      </c>
      <c r="AM446" s="7" t="str">
        <f t="shared" si="267"/>
        <v/>
      </c>
      <c r="AQ446" s="8" t="str">
        <f t="shared" si="268"/>
        <v/>
      </c>
      <c r="AW446" s="25" t="str">
        <f t="shared" si="269"/>
        <v/>
      </c>
      <c r="AZ446" s="12" t="str">
        <f t="shared" si="270"/>
        <v/>
      </c>
      <c r="BI446" s="17" t="str">
        <f t="shared" si="271"/>
        <v/>
      </c>
      <c r="BM446" t="str">
        <f t="shared" si="272"/>
        <v>SPT Relationship</v>
      </c>
      <c r="BN446">
        <f t="shared" si="260"/>
        <v>108</v>
      </c>
      <c r="BO446" t="str">
        <f t="shared" si="273"/>
        <v>Wolff, 1989</v>
      </c>
      <c r="BP446">
        <f t="shared" si="295"/>
        <v>27</v>
      </c>
      <c r="BQ446" t="str">
        <f t="shared" si="274"/>
        <v/>
      </c>
      <c r="BR446" t="str">
        <f t="shared" si="288"/>
        <v/>
      </c>
      <c r="BS446" t="str">
        <f t="shared" si="275"/>
        <v/>
      </c>
      <c r="BT446" t="str">
        <f t="shared" si="296"/>
        <v/>
      </c>
      <c r="BU446" t="str">
        <f t="shared" si="276"/>
        <v/>
      </c>
      <c r="BV446" t="str">
        <f t="shared" si="289"/>
        <v/>
      </c>
      <c r="BW446" t="str">
        <f t="shared" si="277"/>
        <v/>
      </c>
      <c r="BX446" t="str">
        <f t="shared" si="290"/>
        <v/>
      </c>
      <c r="BY446" t="str">
        <f t="shared" si="278"/>
        <v/>
      </c>
      <c r="BZ446" t="str">
        <f t="shared" si="291"/>
        <v/>
      </c>
      <c r="CA446" t="str">
        <f t="shared" si="279"/>
        <v/>
      </c>
      <c r="CB446" t="str">
        <f t="shared" si="261"/>
        <v/>
      </c>
      <c r="CC446" t="str">
        <f t="shared" si="280"/>
        <v/>
      </c>
      <c r="CD446" t="str">
        <f t="shared" si="262"/>
        <v/>
      </c>
      <c r="CE446" t="str">
        <f t="shared" si="281"/>
        <v>Bowles 5th edition</v>
      </c>
      <c r="CF446">
        <f t="shared" si="263"/>
        <v>128</v>
      </c>
      <c r="CG446" t="str">
        <f t="shared" si="282"/>
        <v/>
      </c>
      <c r="CH446" t="str">
        <f t="shared" si="264"/>
        <v/>
      </c>
      <c r="CI446" t="str">
        <f t="shared" si="283"/>
        <v/>
      </c>
      <c r="CJ446" t="str">
        <f t="shared" si="292"/>
        <v/>
      </c>
    </row>
    <row r="447" spans="2:88" x14ac:dyDescent="0.3">
      <c r="B447" t="str">
        <f t="shared" si="284"/>
        <v>36.832136-76.119635</v>
      </c>
      <c r="C447" s="30" t="s">
        <v>130</v>
      </c>
      <c r="D447">
        <v>36.832135999999998</v>
      </c>
      <c r="E447">
        <v>-76.119635000000002</v>
      </c>
      <c r="F447">
        <v>5</v>
      </c>
      <c r="G447" t="str">
        <f t="shared" si="285"/>
        <v>5336.832136-76.119635</v>
      </c>
      <c r="H447">
        <v>5</v>
      </c>
      <c r="I447">
        <v>3</v>
      </c>
      <c r="J447" s="30" t="s">
        <v>21</v>
      </c>
      <c r="L447" t="s">
        <v>8</v>
      </c>
      <c r="M447">
        <v>14</v>
      </c>
      <c r="S447" t="str">
        <f t="shared" si="297"/>
        <v>Sand</v>
      </c>
      <c r="T447">
        <f t="shared" si="286"/>
        <v>1</v>
      </c>
      <c r="AA447">
        <v>80</v>
      </c>
      <c r="AB447" s="1">
        <f t="shared" si="293"/>
        <v>19</v>
      </c>
      <c r="AC447">
        <f t="shared" si="294"/>
        <v>58</v>
      </c>
      <c r="AD447" t="str">
        <f t="shared" si="287"/>
        <v/>
      </c>
      <c r="AG447" s="21" t="str">
        <f t="shared" si="265"/>
        <v/>
      </c>
      <c r="AI447" s="6" t="str">
        <f t="shared" si="266"/>
        <v/>
      </c>
      <c r="AM447" s="7" t="str">
        <f t="shared" si="267"/>
        <v/>
      </c>
      <c r="AQ447" s="8" t="str">
        <f t="shared" si="268"/>
        <v/>
      </c>
      <c r="AW447" s="25" t="str">
        <f t="shared" si="269"/>
        <v/>
      </c>
      <c r="AZ447" s="12" t="str">
        <f t="shared" si="270"/>
        <v/>
      </c>
      <c r="BI447" s="17" t="str">
        <f t="shared" si="271"/>
        <v/>
      </c>
      <c r="BM447" t="str">
        <f t="shared" si="272"/>
        <v>SPT Relationship</v>
      </c>
      <c r="BN447">
        <f t="shared" si="260"/>
        <v>122</v>
      </c>
      <c r="BO447" t="str">
        <f t="shared" si="273"/>
        <v>Wolff, 1989</v>
      </c>
      <c r="BP447">
        <f t="shared" si="295"/>
        <v>42</v>
      </c>
      <c r="BQ447" t="str">
        <f t="shared" si="274"/>
        <v/>
      </c>
      <c r="BR447" t="str">
        <f t="shared" si="288"/>
        <v/>
      </c>
      <c r="BS447" t="str">
        <f t="shared" si="275"/>
        <v/>
      </c>
      <c r="BT447" t="str">
        <f t="shared" si="296"/>
        <v/>
      </c>
      <c r="BU447" t="str">
        <f t="shared" si="276"/>
        <v/>
      </c>
      <c r="BV447" t="str">
        <f t="shared" si="289"/>
        <v/>
      </c>
      <c r="BW447" t="str">
        <f t="shared" si="277"/>
        <v/>
      </c>
      <c r="BX447" t="str">
        <f t="shared" si="290"/>
        <v/>
      </c>
      <c r="BY447" t="str">
        <f t="shared" si="278"/>
        <v/>
      </c>
      <c r="BZ447" t="str">
        <f t="shared" si="291"/>
        <v/>
      </c>
      <c r="CA447" t="str">
        <f t="shared" si="279"/>
        <v/>
      </c>
      <c r="CB447" t="str">
        <f t="shared" si="261"/>
        <v/>
      </c>
      <c r="CC447" t="str">
        <f t="shared" si="280"/>
        <v/>
      </c>
      <c r="CD447" t="str">
        <f t="shared" si="262"/>
        <v/>
      </c>
      <c r="CE447" t="str">
        <f t="shared" si="281"/>
        <v>Bowles 5th edition</v>
      </c>
      <c r="CF447">
        <f t="shared" si="263"/>
        <v>218</v>
      </c>
      <c r="CG447" t="str">
        <f t="shared" si="282"/>
        <v/>
      </c>
      <c r="CH447" t="str">
        <f t="shared" si="264"/>
        <v/>
      </c>
      <c r="CI447" t="str">
        <f t="shared" si="283"/>
        <v/>
      </c>
      <c r="CJ447" t="str">
        <f t="shared" si="292"/>
        <v/>
      </c>
    </row>
    <row r="448" spans="2:88" x14ac:dyDescent="0.3">
      <c r="B448" t="str">
        <f t="shared" si="284"/>
        <v>36.832136-76.119635</v>
      </c>
      <c r="C448" s="30" t="s">
        <v>130</v>
      </c>
      <c r="D448">
        <v>36.832135999999998</v>
      </c>
      <c r="E448">
        <v>-76.119635000000002</v>
      </c>
      <c r="F448">
        <v>5</v>
      </c>
      <c r="G448" t="str">
        <f t="shared" si="285"/>
        <v>3136.832136-76.119635</v>
      </c>
      <c r="H448">
        <v>3</v>
      </c>
      <c r="I448">
        <v>1</v>
      </c>
      <c r="J448" s="30" t="s">
        <v>21</v>
      </c>
      <c r="L448" t="s">
        <v>8</v>
      </c>
      <c r="M448">
        <v>5</v>
      </c>
      <c r="S448" t="str">
        <f t="shared" si="297"/>
        <v>Sand</v>
      </c>
      <c r="T448">
        <f t="shared" si="286"/>
        <v>1</v>
      </c>
      <c r="AA448">
        <v>80</v>
      </c>
      <c r="AB448" s="1">
        <f t="shared" si="293"/>
        <v>7</v>
      </c>
      <c r="AC448">
        <f t="shared" si="294"/>
        <v>15</v>
      </c>
      <c r="AD448" t="str">
        <f t="shared" si="287"/>
        <v/>
      </c>
      <c r="AG448" s="21" t="str">
        <f t="shared" si="265"/>
        <v/>
      </c>
      <c r="AI448" s="6" t="str">
        <f t="shared" si="266"/>
        <v/>
      </c>
      <c r="AM448" s="7" t="str">
        <f t="shared" si="267"/>
        <v/>
      </c>
      <c r="AQ448" s="8" t="str">
        <f t="shared" si="268"/>
        <v/>
      </c>
      <c r="AW448" s="25" t="str">
        <f t="shared" si="269"/>
        <v/>
      </c>
      <c r="AZ448" s="12" t="str">
        <f t="shared" si="270"/>
        <v/>
      </c>
      <c r="BI448" s="17" t="str">
        <f t="shared" si="271"/>
        <v/>
      </c>
      <c r="BM448" t="str">
        <f t="shared" si="272"/>
        <v>SPT Relationship</v>
      </c>
      <c r="BN448">
        <f t="shared" ref="BN448:BN511" si="298">IFERROR(IF(M448=0,95,ROUND(95*M448^0.095,0)),"")</f>
        <v>111</v>
      </c>
      <c r="BO448" t="str">
        <f t="shared" si="273"/>
        <v>Wolff, 1989</v>
      </c>
      <c r="BP448">
        <f t="shared" si="295"/>
        <v>31</v>
      </c>
      <c r="BQ448" t="str">
        <f t="shared" si="274"/>
        <v/>
      </c>
      <c r="BR448" t="str">
        <f t="shared" si="288"/>
        <v/>
      </c>
      <c r="BS448" t="str">
        <f t="shared" si="275"/>
        <v/>
      </c>
      <c r="BT448" t="str">
        <f t="shared" si="296"/>
        <v/>
      </c>
      <c r="BU448" t="str">
        <f t="shared" si="276"/>
        <v/>
      </c>
      <c r="BV448" t="str">
        <f t="shared" si="289"/>
        <v/>
      </c>
      <c r="BW448" t="str">
        <f t="shared" si="277"/>
        <v/>
      </c>
      <c r="BX448" t="str">
        <f t="shared" si="290"/>
        <v/>
      </c>
      <c r="BY448" t="str">
        <f t="shared" si="278"/>
        <v/>
      </c>
      <c r="BZ448" t="str">
        <f t="shared" si="291"/>
        <v/>
      </c>
      <c r="CA448" t="str">
        <f t="shared" si="279"/>
        <v/>
      </c>
      <c r="CB448" t="str">
        <f t="shared" ref="CB448:CB511" si="299">IF(P448="","",-0.0000000002*P448^5+0.00000009*P448^4-0.00002*P448^3+0.0019*P448^2-0.0999*P448+2.2178)</f>
        <v/>
      </c>
      <c r="CC448" t="str">
        <f t="shared" si="280"/>
        <v/>
      </c>
      <c r="CD448" t="str">
        <f t="shared" ref="CD448:CD511" si="300">IF(AD448="","",(10^(1.11-1.62*AD448)*100)*20.885434273039)</f>
        <v/>
      </c>
      <c r="CE448" t="str">
        <f t="shared" si="281"/>
        <v>Bowles 5th edition</v>
      </c>
      <c r="CF448">
        <f t="shared" ref="CF448:CF511" si="301">IF(S448="Clay","",IF(AB448="","",ROUND((AB448+15)*6.4,0)))</f>
        <v>141</v>
      </c>
      <c r="CG448" t="str">
        <f t="shared" si="282"/>
        <v/>
      </c>
      <c r="CH448" t="str">
        <f t="shared" ref="CH448:CH511" si="302">IF(N448="","",ROUND(N448/100*2.67,2))</f>
        <v/>
      </c>
      <c r="CI448" t="str">
        <f t="shared" si="283"/>
        <v/>
      </c>
      <c r="CJ448" t="str">
        <f t="shared" si="292"/>
        <v/>
      </c>
    </row>
    <row r="449" spans="2:88" x14ac:dyDescent="0.3">
      <c r="B449" t="str">
        <f t="shared" si="284"/>
        <v>36.832136-76.119635</v>
      </c>
      <c r="C449" s="30" t="s">
        <v>130</v>
      </c>
      <c r="D449">
        <v>36.832135999999998</v>
      </c>
      <c r="E449">
        <v>-76.119635000000002</v>
      </c>
      <c r="F449">
        <v>5</v>
      </c>
      <c r="G449" t="str">
        <f t="shared" si="285"/>
        <v>1-136.832136-76.119635</v>
      </c>
      <c r="H449">
        <v>1</v>
      </c>
      <c r="I449">
        <v>-1</v>
      </c>
      <c r="J449" s="30" t="s">
        <v>21</v>
      </c>
      <c r="L449" t="s">
        <v>17</v>
      </c>
      <c r="M449">
        <v>8</v>
      </c>
      <c r="S449" t="str">
        <f t="shared" si="297"/>
        <v>Sand</v>
      </c>
      <c r="T449">
        <f t="shared" si="286"/>
        <v>1</v>
      </c>
      <c r="AA449">
        <v>80</v>
      </c>
      <c r="AB449" s="1">
        <f t="shared" si="293"/>
        <v>11</v>
      </c>
      <c r="AC449">
        <f t="shared" si="294"/>
        <v>19</v>
      </c>
      <c r="AD449" t="str">
        <f t="shared" si="287"/>
        <v/>
      </c>
      <c r="AG449" s="21" t="str">
        <f t="shared" si="265"/>
        <v/>
      </c>
      <c r="AI449" s="6" t="str">
        <f t="shared" si="266"/>
        <v/>
      </c>
      <c r="AM449" s="7" t="str">
        <f t="shared" si="267"/>
        <v/>
      </c>
      <c r="AQ449" s="8" t="str">
        <f t="shared" si="268"/>
        <v/>
      </c>
      <c r="AW449" s="25" t="str">
        <f t="shared" si="269"/>
        <v/>
      </c>
      <c r="AZ449" s="12" t="str">
        <f t="shared" si="270"/>
        <v/>
      </c>
      <c r="BI449" s="17" t="str">
        <f t="shared" si="271"/>
        <v/>
      </c>
      <c r="BM449" t="str">
        <f t="shared" si="272"/>
        <v>SPT Relationship</v>
      </c>
      <c r="BN449">
        <f t="shared" si="298"/>
        <v>116</v>
      </c>
      <c r="BO449" t="str">
        <f t="shared" si="273"/>
        <v>Wolff, 1989</v>
      </c>
      <c r="BP449">
        <f t="shared" si="295"/>
        <v>32</v>
      </c>
      <c r="BQ449" t="str">
        <f t="shared" si="274"/>
        <v/>
      </c>
      <c r="BR449" t="str">
        <f t="shared" si="288"/>
        <v/>
      </c>
      <c r="BS449" t="str">
        <f t="shared" si="275"/>
        <v/>
      </c>
      <c r="BT449" t="str">
        <f t="shared" si="296"/>
        <v/>
      </c>
      <c r="BU449" t="str">
        <f t="shared" si="276"/>
        <v/>
      </c>
      <c r="BV449" t="str">
        <f t="shared" si="289"/>
        <v/>
      </c>
      <c r="BW449" t="str">
        <f t="shared" si="277"/>
        <v/>
      </c>
      <c r="BX449" t="str">
        <f t="shared" si="290"/>
        <v/>
      </c>
      <c r="BY449" t="str">
        <f t="shared" si="278"/>
        <v/>
      </c>
      <c r="BZ449" t="str">
        <f t="shared" si="291"/>
        <v/>
      </c>
      <c r="CA449" t="str">
        <f t="shared" si="279"/>
        <v/>
      </c>
      <c r="CB449" t="str">
        <f t="shared" si="299"/>
        <v/>
      </c>
      <c r="CC449" t="str">
        <f t="shared" si="280"/>
        <v/>
      </c>
      <c r="CD449" t="str">
        <f t="shared" si="300"/>
        <v/>
      </c>
      <c r="CE449" t="str">
        <f t="shared" si="281"/>
        <v>Bowles 5th edition</v>
      </c>
      <c r="CF449">
        <f t="shared" si="301"/>
        <v>166</v>
      </c>
      <c r="CG449" t="str">
        <f t="shared" si="282"/>
        <v/>
      </c>
      <c r="CH449" t="str">
        <f t="shared" si="302"/>
        <v/>
      </c>
      <c r="CI449" t="str">
        <f t="shared" si="283"/>
        <v/>
      </c>
      <c r="CJ449" t="str">
        <f t="shared" si="292"/>
        <v/>
      </c>
    </row>
    <row r="450" spans="2:88" x14ac:dyDescent="0.3">
      <c r="B450" t="str">
        <f t="shared" si="284"/>
        <v>36.832136-76.119635</v>
      </c>
      <c r="C450" s="30" t="s">
        <v>130</v>
      </c>
      <c r="D450">
        <v>36.832135999999998</v>
      </c>
      <c r="E450">
        <v>-76.119635000000002</v>
      </c>
      <c r="F450">
        <v>5</v>
      </c>
      <c r="G450" t="str">
        <f t="shared" si="285"/>
        <v>-1-336.832136-76.119635</v>
      </c>
      <c r="H450">
        <v>-1</v>
      </c>
      <c r="I450">
        <v>-3</v>
      </c>
      <c r="J450" s="30" t="s">
        <v>21</v>
      </c>
      <c r="L450" t="s">
        <v>16</v>
      </c>
      <c r="M450">
        <v>20</v>
      </c>
      <c r="S450" t="str">
        <f t="shared" si="297"/>
        <v>Sand</v>
      </c>
      <c r="T450">
        <f t="shared" si="286"/>
        <v>1</v>
      </c>
      <c r="AA450">
        <v>80</v>
      </c>
      <c r="AB450" s="1">
        <f t="shared" si="293"/>
        <v>27</v>
      </c>
      <c r="AC450">
        <f t="shared" si="294"/>
        <v>41</v>
      </c>
      <c r="AD450" t="str">
        <f t="shared" si="287"/>
        <v/>
      </c>
      <c r="AG450" s="21" t="str">
        <f t="shared" si="265"/>
        <v/>
      </c>
      <c r="AI450" s="6" t="str">
        <f t="shared" si="266"/>
        <v/>
      </c>
      <c r="AM450" s="7" t="str">
        <f t="shared" si="267"/>
        <v/>
      </c>
      <c r="AQ450" s="8" t="str">
        <f t="shared" si="268"/>
        <v/>
      </c>
      <c r="AW450" s="25" t="str">
        <f t="shared" si="269"/>
        <v/>
      </c>
      <c r="AZ450" s="12" t="str">
        <f t="shared" si="270"/>
        <v/>
      </c>
      <c r="BI450" s="17" t="str">
        <f t="shared" si="271"/>
        <v/>
      </c>
      <c r="BM450" t="str">
        <f t="shared" si="272"/>
        <v>SPT Relationship</v>
      </c>
      <c r="BN450">
        <f t="shared" si="298"/>
        <v>126</v>
      </c>
      <c r="BO450" t="str">
        <f t="shared" si="273"/>
        <v>Wolff, 1989</v>
      </c>
      <c r="BP450">
        <f t="shared" si="295"/>
        <v>38</v>
      </c>
      <c r="BQ450" t="str">
        <f t="shared" si="274"/>
        <v/>
      </c>
      <c r="BR450" t="str">
        <f t="shared" si="288"/>
        <v/>
      </c>
      <c r="BS450" t="str">
        <f t="shared" si="275"/>
        <v/>
      </c>
      <c r="BT450" t="str">
        <f t="shared" si="296"/>
        <v/>
      </c>
      <c r="BU450" t="str">
        <f t="shared" si="276"/>
        <v/>
      </c>
      <c r="BV450" t="str">
        <f t="shared" si="289"/>
        <v/>
      </c>
      <c r="BW450" t="str">
        <f t="shared" si="277"/>
        <v/>
      </c>
      <c r="BX450" t="str">
        <f t="shared" si="290"/>
        <v/>
      </c>
      <c r="BY450" t="str">
        <f t="shared" si="278"/>
        <v/>
      </c>
      <c r="BZ450" t="str">
        <f t="shared" si="291"/>
        <v/>
      </c>
      <c r="CA450" t="str">
        <f t="shared" si="279"/>
        <v/>
      </c>
      <c r="CB450" t="str">
        <f t="shared" si="299"/>
        <v/>
      </c>
      <c r="CC450" t="str">
        <f t="shared" si="280"/>
        <v/>
      </c>
      <c r="CD450" t="str">
        <f t="shared" si="300"/>
        <v/>
      </c>
      <c r="CE450" t="str">
        <f t="shared" si="281"/>
        <v>Bowles 5th edition</v>
      </c>
      <c r="CF450">
        <f t="shared" si="301"/>
        <v>269</v>
      </c>
      <c r="CG450" t="str">
        <f t="shared" si="282"/>
        <v/>
      </c>
      <c r="CH450" t="str">
        <f t="shared" si="302"/>
        <v/>
      </c>
      <c r="CI450" t="str">
        <f t="shared" si="283"/>
        <v/>
      </c>
      <c r="CJ450" t="str">
        <f t="shared" si="292"/>
        <v/>
      </c>
    </row>
    <row r="451" spans="2:88" x14ac:dyDescent="0.3">
      <c r="B451" t="str">
        <f t="shared" si="284"/>
        <v>36.832136-76.119635</v>
      </c>
      <c r="C451" s="30" t="s">
        <v>130</v>
      </c>
      <c r="D451">
        <v>36.832135999999998</v>
      </c>
      <c r="E451">
        <v>-76.119635000000002</v>
      </c>
      <c r="F451">
        <v>5</v>
      </c>
      <c r="G451" t="str">
        <f t="shared" si="285"/>
        <v>-3-536.832136-76.119635</v>
      </c>
      <c r="H451">
        <v>-3</v>
      </c>
      <c r="I451">
        <v>-5</v>
      </c>
      <c r="J451" s="30" t="s">
        <v>21</v>
      </c>
      <c r="L451" t="s">
        <v>16</v>
      </c>
      <c r="M451">
        <v>11</v>
      </c>
      <c r="S451" t="str">
        <f t="shared" si="297"/>
        <v>Sand</v>
      </c>
      <c r="T451">
        <f t="shared" si="286"/>
        <v>1</v>
      </c>
      <c r="AA451">
        <v>80</v>
      </c>
      <c r="AB451" s="1">
        <f t="shared" si="293"/>
        <v>15</v>
      </c>
      <c r="AC451">
        <f t="shared" si="294"/>
        <v>20</v>
      </c>
      <c r="AD451" t="str">
        <f t="shared" si="287"/>
        <v/>
      </c>
      <c r="AG451" s="21" t="str">
        <f t="shared" ref="AG451:AG514" si="303">IF(AH451="","","Pocket Pentrometer")</f>
        <v/>
      </c>
      <c r="AI451" s="6" t="str">
        <f t="shared" ref="AI451:AI514" si="304">IF(AJ451="","","Unconfined Compression")</f>
        <v/>
      </c>
      <c r="AM451" s="7" t="str">
        <f t="shared" ref="AM451:AM514" si="305">IF(AN451="","","Undrained Unconsolidated Triaxial")</f>
        <v/>
      </c>
      <c r="AQ451" s="8" t="str">
        <f t="shared" ref="AQ451:AQ514" si="306">IF(AR451="","","Consolidated Undrained Triaxial")</f>
        <v/>
      </c>
      <c r="AW451" s="25" t="str">
        <f t="shared" ref="AW451:AW514" si="307">IF(AX451="","","Direct Shear")</f>
        <v/>
      </c>
      <c r="AZ451" s="12" t="str">
        <f t="shared" ref="AZ451:AZ514" si="308">IF(BA451="","","Consolidation Test")</f>
        <v/>
      </c>
      <c r="BI451" s="17" t="str">
        <f t="shared" ref="BI451:BI514" si="309">IF(BJ451="","","Permeability Test")</f>
        <v/>
      </c>
      <c r="BM451" t="str">
        <f t="shared" ref="BM451:BM514" si="310">IF(BN451="","","SPT Relationship")</f>
        <v>SPT Relationship</v>
      </c>
      <c r="BN451">
        <f t="shared" si="298"/>
        <v>119</v>
      </c>
      <c r="BO451" t="str">
        <f t="shared" ref="BO451:BO514" si="311">IF(BP451="","","Wolff, 1989")</f>
        <v>Wolff, 1989</v>
      </c>
      <c r="BP451">
        <f t="shared" si="295"/>
        <v>32</v>
      </c>
      <c r="BQ451" t="str">
        <f t="shared" ref="BQ451:BQ514" si="312">IF(BR451="","","GTENG-2476")</f>
        <v/>
      </c>
      <c r="BR451" t="str">
        <f t="shared" si="288"/>
        <v/>
      </c>
      <c r="BS451" t="str">
        <f t="shared" ref="BS451:BS514" si="313">IF(BT451="","", "Stroud 1974 (K=3.5)")</f>
        <v/>
      </c>
      <c r="BT451" t="str">
        <f t="shared" si="296"/>
        <v/>
      </c>
      <c r="BU451" t="str">
        <f t="shared" ref="BU451:BU514" si="314">IF(BV451="","","Kulhawy and Mayne 1990")</f>
        <v/>
      </c>
      <c r="BV451" t="str">
        <f t="shared" si="289"/>
        <v/>
      </c>
      <c r="BW451" t="str">
        <f t="shared" ref="BW451:BW514" si="315">IF(BX451="","","Kulhawy and Mayne 1990")</f>
        <v/>
      </c>
      <c r="BX451" t="str">
        <f t="shared" si="290"/>
        <v/>
      </c>
      <c r="BY451" t="str">
        <f t="shared" ref="BY451:BY514" si="316">IF(BZ451="","","Mesri 1990")</f>
        <v/>
      </c>
      <c r="BZ451" t="str">
        <f t="shared" si="291"/>
        <v/>
      </c>
      <c r="CA451" t="str">
        <f t="shared" ref="CA451:CA514" si="317">IF(CB451="","","NAVFAC Vol. 7.1 Figure 4")</f>
        <v/>
      </c>
      <c r="CB451" t="str">
        <f t="shared" si="299"/>
        <v/>
      </c>
      <c r="CC451" t="str">
        <f t="shared" ref="CC451:CC514" si="318">IF(CD451="","","Stas and Kulhawy 1984")</f>
        <v/>
      </c>
      <c r="CD451" t="str">
        <f t="shared" si="300"/>
        <v/>
      </c>
      <c r="CE451" t="str">
        <f t="shared" ref="CE451:CE514" si="319">IF(CF451="","","Bowles 5th edition")</f>
        <v>Bowles 5th edition</v>
      </c>
      <c r="CF451">
        <f t="shared" si="301"/>
        <v>192</v>
      </c>
      <c r="CG451" t="str">
        <f t="shared" ref="CG451:CG514" si="320">IF(CH451="","","Relationship (Gs=2.67)")</f>
        <v/>
      </c>
      <c r="CH451" t="str">
        <f t="shared" si="302"/>
        <v/>
      </c>
      <c r="CI451" t="str">
        <f t="shared" ref="CI451:CI514" si="321">IF(CJ451="","","Hazen, 1911 (c=1.5)")</f>
        <v/>
      </c>
      <c r="CJ451" t="str">
        <f t="shared" si="292"/>
        <v/>
      </c>
    </row>
    <row r="452" spans="2:88" x14ac:dyDescent="0.3">
      <c r="B452" t="str">
        <f t="shared" si="284"/>
        <v>36.832136-76.119635</v>
      </c>
      <c r="C452" s="30" t="s">
        <v>130</v>
      </c>
      <c r="D452">
        <v>36.832135999999998</v>
      </c>
      <c r="E452">
        <v>-76.119635000000002</v>
      </c>
      <c r="F452">
        <v>5</v>
      </c>
      <c r="G452" t="str">
        <f t="shared" si="285"/>
        <v>-5-736.832136-76.119635</v>
      </c>
      <c r="H452">
        <v>-5</v>
      </c>
      <c r="I452">
        <v>-7</v>
      </c>
      <c r="J452" s="30" t="s">
        <v>21</v>
      </c>
      <c r="L452" t="s">
        <v>16</v>
      </c>
      <c r="M452">
        <v>8</v>
      </c>
      <c r="S452" t="str">
        <f t="shared" si="297"/>
        <v>Sand</v>
      </c>
      <c r="T452">
        <f t="shared" si="286"/>
        <v>1</v>
      </c>
      <c r="AA452">
        <v>80</v>
      </c>
      <c r="AB452" s="1">
        <f t="shared" si="293"/>
        <v>11</v>
      </c>
      <c r="AC452">
        <f t="shared" si="294"/>
        <v>13</v>
      </c>
      <c r="AD452" t="str">
        <f t="shared" si="287"/>
        <v/>
      </c>
      <c r="AG452" s="21" t="str">
        <f t="shared" si="303"/>
        <v/>
      </c>
      <c r="AI452" s="6" t="str">
        <f t="shared" si="304"/>
        <v/>
      </c>
      <c r="AM452" s="7" t="str">
        <f t="shared" si="305"/>
        <v/>
      </c>
      <c r="AQ452" s="8" t="str">
        <f t="shared" si="306"/>
        <v/>
      </c>
      <c r="AW452" s="25" t="str">
        <f t="shared" si="307"/>
        <v/>
      </c>
      <c r="AZ452" s="12" t="str">
        <f t="shared" si="308"/>
        <v/>
      </c>
      <c r="BI452" s="17" t="str">
        <f t="shared" si="309"/>
        <v/>
      </c>
      <c r="BM452" t="str">
        <f t="shared" si="310"/>
        <v>SPT Relationship</v>
      </c>
      <c r="BN452">
        <f t="shared" si="298"/>
        <v>116</v>
      </c>
      <c r="BO452" t="str">
        <f t="shared" si="311"/>
        <v>Wolff, 1989</v>
      </c>
      <c r="BP452">
        <f t="shared" si="295"/>
        <v>30</v>
      </c>
      <c r="BQ452" t="str">
        <f t="shared" si="312"/>
        <v/>
      </c>
      <c r="BR452" t="str">
        <f t="shared" si="288"/>
        <v/>
      </c>
      <c r="BS452" t="str">
        <f t="shared" si="313"/>
        <v/>
      </c>
      <c r="BT452" t="str">
        <f t="shared" si="296"/>
        <v/>
      </c>
      <c r="BU452" t="str">
        <f t="shared" si="314"/>
        <v/>
      </c>
      <c r="BV452" t="str">
        <f t="shared" si="289"/>
        <v/>
      </c>
      <c r="BW452" t="str">
        <f t="shared" si="315"/>
        <v/>
      </c>
      <c r="BX452" t="str">
        <f t="shared" si="290"/>
        <v/>
      </c>
      <c r="BY452" t="str">
        <f t="shared" si="316"/>
        <v/>
      </c>
      <c r="BZ452" t="str">
        <f t="shared" si="291"/>
        <v/>
      </c>
      <c r="CA452" t="str">
        <f t="shared" si="317"/>
        <v/>
      </c>
      <c r="CB452" t="str">
        <f t="shared" si="299"/>
        <v/>
      </c>
      <c r="CC452" t="str">
        <f t="shared" si="318"/>
        <v/>
      </c>
      <c r="CD452" t="str">
        <f t="shared" si="300"/>
        <v/>
      </c>
      <c r="CE452" t="str">
        <f t="shared" si="319"/>
        <v>Bowles 5th edition</v>
      </c>
      <c r="CF452">
        <f t="shared" si="301"/>
        <v>166</v>
      </c>
      <c r="CG452" t="str">
        <f t="shared" si="320"/>
        <v/>
      </c>
      <c r="CH452" t="str">
        <f t="shared" si="302"/>
        <v/>
      </c>
      <c r="CI452" t="str">
        <f t="shared" si="321"/>
        <v/>
      </c>
      <c r="CJ452" t="str">
        <f t="shared" si="292"/>
        <v/>
      </c>
    </row>
    <row r="453" spans="2:88" x14ac:dyDescent="0.3">
      <c r="B453" t="str">
        <f t="shared" si="284"/>
        <v>36.832136-76.119635</v>
      </c>
      <c r="C453" s="30" t="s">
        <v>130</v>
      </c>
      <c r="D453">
        <v>36.832135999999998</v>
      </c>
      <c r="E453">
        <v>-76.119635000000002</v>
      </c>
      <c r="F453">
        <v>5</v>
      </c>
      <c r="G453" t="str">
        <f t="shared" si="285"/>
        <v>-8-1036.832136-76.119635</v>
      </c>
      <c r="H453">
        <v>-8</v>
      </c>
      <c r="I453">
        <v>-10</v>
      </c>
      <c r="J453" s="30" t="s">
        <v>21</v>
      </c>
      <c r="L453" t="s">
        <v>16</v>
      </c>
      <c r="M453">
        <v>19</v>
      </c>
      <c r="S453" t="str">
        <f t="shared" si="297"/>
        <v>Sand</v>
      </c>
      <c r="T453">
        <f t="shared" si="286"/>
        <v>1</v>
      </c>
      <c r="AA453">
        <v>80</v>
      </c>
      <c r="AB453" s="1">
        <f t="shared" si="293"/>
        <v>25</v>
      </c>
      <c r="AC453">
        <f t="shared" si="294"/>
        <v>28</v>
      </c>
      <c r="AD453" t="str">
        <f t="shared" si="287"/>
        <v/>
      </c>
      <c r="AG453" s="21" t="str">
        <f t="shared" si="303"/>
        <v/>
      </c>
      <c r="AI453" s="6" t="str">
        <f t="shared" si="304"/>
        <v/>
      </c>
      <c r="AM453" s="7" t="str">
        <f t="shared" si="305"/>
        <v/>
      </c>
      <c r="AQ453" s="8" t="str">
        <f t="shared" si="306"/>
        <v/>
      </c>
      <c r="AW453" s="25" t="str">
        <f t="shared" si="307"/>
        <v/>
      </c>
      <c r="AZ453" s="12" t="str">
        <f t="shared" si="308"/>
        <v/>
      </c>
      <c r="BI453" s="17" t="str">
        <f t="shared" si="309"/>
        <v/>
      </c>
      <c r="BM453" t="str">
        <f t="shared" si="310"/>
        <v>SPT Relationship</v>
      </c>
      <c r="BN453">
        <f t="shared" si="298"/>
        <v>126</v>
      </c>
      <c r="BO453" t="str">
        <f t="shared" si="311"/>
        <v>Wolff, 1989</v>
      </c>
      <c r="BP453">
        <f t="shared" si="295"/>
        <v>35</v>
      </c>
      <c r="BQ453" t="str">
        <f t="shared" si="312"/>
        <v/>
      </c>
      <c r="BR453" t="str">
        <f t="shared" si="288"/>
        <v/>
      </c>
      <c r="BS453" t="str">
        <f t="shared" si="313"/>
        <v/>
      </c>
      <c r="BT453" t="str">
        <f t="shared" si="296"/>
        <v/>
      </c>
      <c r="BU453" t="str">
        <f t="shared" si="314"/>
        <v/>
      </c>
      <c r="BV453" t="str">
        <f t="shared" si="289"/>
        <v/>
      </c>
      <c r="BW453" t="str">
        <f t="shared" si="315"/>
        <v/>
      </c>
      <c r="BX453" t="str">
        <f t="shared" si="290"/>
        <v/>
      </c>
      <c r="BY453" t="str">
        <f t="shared" si="316"/>
        <v/>
      </c>
      <c r="BZ453" t="str">
        <f t="shared" si="291"/>
        <v/>
      </c>
      <c r="CA453" t="str">
        <f t="shared" si="317"/>
        <v/>
      </c>
      <c r="CB453" t="str">
        <f t="shared" si="299"/>
        <v/>
      </c>
      <c r="CC453" t="str">
        <f t="shared" si="318"/>
        <v/>
      </c>
      <c r="CD453" t="str">
        <f t="shared" si="300"/>
        <v/>
      </c>
      <c r="CE453" t="str">
        <f t="shared" si="319"/>
        <v>Bowles 5th edition</v>
      </c>
      <c r="CF453">
        <f t="shared" si="301"/>
        <v>256</v>
      </c>
      <c r="CG453" t="str">
        <f t="shared" si="320"/>
        <v/>
      </c>
      <c r="CH453" t="str">
        <f t="shared" si="302"/>
        <v/>
      </c>
      <c r="CI453" t="str">
        <f t="shared" si="321"/>
        <v/>
      </c>
      <c r="CJ453" t="str">
        <f t="shared" si="292"/>
        <v/>
      </c>
    </row>
    <row r="454" spans="2:88" x14ac:dyDescent="0.3">
      <c r="B454" t="str">
        <f t="shared" si="284"/>
        <v>36.832136-76.119635</v>
      </c>
      <c r="C454" s="30" t="s">
        <v>130</v>
      </c>
      <c r="D454">
        <v>36.832135999999998</v>
      </c>
      <c r="E454">
        <v>-76.119635000000002</v>
      </c>
      <c r="F454">
        <v>5</v>
      </c>
      <c r="G454" t="str">
        <f t="shared" si="285"/>
        <v>-13-1536.832136-76.119635</v>
      </c>
      <c r="H454">
        <v>-13</v>
      </c>
      <c r="I454">
        <v>-15</v>
      </c>
      <c r="J454" s="30" t="s">
        <v>21</v>
      </c>
      <c r="L454" t="s">
        <v>8</v>
      </c>
      <c r="M454">
        <v>2</v>
      </c>
      <c r="S454" t="str">
        <f t="shared" si="297"/>
        <v>Sand</v>
      </c>
      <c r="T454">
        <f t="shared" si="286"/>
        <v>1</v>
      </c>
      <c r="AA454">
        <v>80</v>
      </c>
      <c r="AB454" s="1">
        <f t="shared" si="293"/>
        <v>3</v>
      </c>
      <c r="AC454">
        <f t="shared" si="294"/>
        <v>2</v>
      </c>
      <c r="AD454" t="str">
        <f t="shared" si="287"/>
        <v/>
      </c>
      <c r="AG454" s="21" t="str">
        <f t="shared" si="303"/>
        <v/>
      </c>
      <c r="AI454" s="6" t="str">
        <f t="shared" si="304"/>
        <v/>
      </c>
      <c r="AM454" s="7" t="str">
        <f t="shared" si="305"/>
        <v/>
      </c>
      <c r="AQ454" s="8" t="str">
        <f t="shared" si="306"/>
        <v/>
      </c>
      <c r="AW454" s="25" t="str">
        <f t="shared" si="307"/>
        <v/>
      </c>
      <c r="AZ454" s="12" t="str">
        <f t="shared" si="308"/>
        <v/>
      </c>
      <c r="BI454" s="17" t="str">
        <f t="shared" si="309"/>
        <v/>
      </c>
      <c r="BM454" t="str">
        <f t="shared" si="310"/>
        <v>SPT Relationship</v>
      </c>
      <c r="BN454">
        <f t="shared" si="298"/>
        <v>101</v>
      </c>
      <c r="BO454" t="str">
        <f t="shared" si="311"/>
        <v>Wolff, 1989</v>
      </c>
      <c r="BP454">
        <f t="shared" si="295"/>
        <v>27</v>
      </c>
      <c r="BQ454" t="str">
        <f t="shared" si="312"/>
        <v/>
      </c>
      <c r="BR454" t="str">
        <f t="shared" si="288"/>
        <v/>
      </c>
      <c r="BS454" t="str">
        <f t="shared" si="313"/>
        <v/>
      </c>
      <c r="BT454" t="str">
        <f t="shared" si="296"/>
        <v/>
      </c>
      <c r="BU454" t="str">
        <f t="shared" si="314"/>
        <v/>
      </c>
      <c r="BV454" t="str">
        <f t="shared" si="289"/>
        <v/>
      </c>
      <c r="BW454" t="str">
        <f t="shared" si="315"/>
        <v/>
      </c>
      <c r="BX454" t="str">
        <f t="shared" si="290"/>
        <v/>
      </c>
      <c r="BY454" t="str">
        <f t="shared" si="316"/>
        <v/>
      </c>
      <c r="BZ454" t="str">
        <f t="shared" si="291"/>
        <v/>
      </c>
      <c r="CA454" t="str">
        <f t="shared" si="317"/>
        <v/>
      </c>
      <c r="CB454" t="str">
        <f t="shared" si="299"/>
        <v/>
      </c>
      <c r="CC454" t="str">
        <f t="shared" si="318"/>
        <v/>
      </c>
      <c r="CD454" t="str">
        <f t="shared" si="300"/>
        <v/>
      </c>
      <c r="CE454" t="str">
        <f t="shared" si="319"/>
        <v>Bowles 5th edition</v>
      </c>
      <c r="CF454">
        <f t="shared" si="301"/>
        <v>115</v>
      </c>
      <c r="CG454" t="str">
        <f t="shared" si="320"/>
        <v/>
      </c>
      <c r="CH454" t="str">
        <f t="shared" si="302"/>
        <v/>
      </c>
      <c r="CI454" t="str">
        <f t="shared" si="321"/>
        <v/>
      </c>
      <c r="CJ454" t="str">
        <f t="shared" si="292"/>
        <v/>
      </c>
    </row>
    <row r="455" spans="2:88" x14ac:dyDescent="0.3">
      <c r="B455" t="str">
        <f t="shared" si="284"/>
        <v>36.832136-76.119635</v>
      </c>
      <c r="C455" s="30" t="s">
        <v>130</v>
      </c>
      <c r="D455">
        <v>36.832135999999998</v>
      </c>
      <c r="E455">
        <v>-76.119635000000002</v>
      </c>
      <c r="F455">
        <v>5</v>
      </c>
      <c r="G455" t="str">
        <f t="shared" si="285"/>
        <v>-18-2036.832136-76.119635</v>
      </c>
      <c r="H455">
        <v>-18</v>
      </c>
      <c r="I455">
        <v>-20</v>
      </c>
      <c r="J455" s="30" t="s">
        <v>21</v>
      </c>
      <c r="L455" t="s">
        <v>8</v>
      </c>
      <c r="M455">
        <v>5</v>
      </c>
      <c r="S455" t="str">
        <f t="shared" si="297"/>
        <v>Sand</v>
      </c>
      <c r="T455">
        <f t="shared" si="286"/>
        <v>1</v>
      </c>
      <c r="AA455">
        <v>80</v>
      </c>
      <c r="AB455" s="1">
        <f t="shared" si="293"/>
        <v>7</v>
      </c>
      <c r="AC455">
        <f t="shared" si="294"/>
        <v>6</v>
      </c>
      <c r="AD455" t="str">
        <f t="shared" si="287"/>
        <v/>
      </c>
      <c r="AG455" s="21" t="str">
        <f t="shared" si="303"/>
        <v/>
      </c>
      <c r="AI455" s="6" t="str">
        <f t="shared" si="304"/>
        <v/>
      </c>
      <c r="AM455" s="7" t="str">
        <f t="shared" si="305"/>
        <v/>
      </c>
      <c r="AQ455" s="8" t="str">
        <f t="shared" si="306"/>
        <v/>
      </c>
      <c r="AW455" s="25" t="str">
        <f t="shared" si="307"/>
        <v/>
      </c>
      <c r="AZ455" s="12" t="str">
        <f t="shared" si="308"/>
        <v/>
      </c>
      <c r="BI455" s="17" t="str">
        <f t="shared" si="309"/>
        <v/>
      </c>
      <c r="BM455" t="str">
        <f t="shared" si="310"/>
        <v>SPT Relationship</v>
      </c>
      <c r="BN455">
        <f t="shared" si="298"/>
        <v>111</v>
      </c>
      <c r="BO455" t="str">
        <f t="shared" si="311"/>
        <v>Wolff, 1989</v>
      </c>
      <c r="BP455">
        <f t="shared" si="295"/>
        <v>28</v>
      </c>
      <c r="BQ455" t="str">
        <f t="shared" si="312"/>
        <v/>
      </c>
      <c r="BR455" t="str">
        <f t="shared" si="288"/>
        <v/>
      </c>
      <c r="BS455" t="str">
        <f t="shared" si="313"/>
        <v/>
      </c>
      <c r="BT455" t="str">
        <f t="shared" si="296"/>
        <v/>
      </c>
      <c r="BU455" t="str">
        <f t="shared" si="314"/>
        <v/>
      </c>
      <c r="BV455" t="str">
        <f t="shared" si="289"/>
        <v/>
      </c>
      <c r="BW455" t="str">
        <f t="shared" si="315"/>
        <v/>
      </c>
      <c r="BX455" t="str">
        <f t="shared" si="290"/>
        <v/>
      </c>
      <c r="BY455" t="str">
        <f t="shared" si="316"/>
        <v/>
      </c>
      <c r="BZ455" t="str">
        <f t="shared" si="291"/>
        <v/>
      </c>
      <c r="CA455" t="str">
        <f t="shared" si="317"/>
        <v/>
      </c>
      <c r="CB455" t="str">
        <f t="shared" si="299"/>
        <v/>
      </c>
      <c r="CC455" t="str">
        <f t="shared" si="318"/>
        <v/>
      </c>
      <c r="CD455" t="str">
        <f t="shared" si="300"/>
        <v/>
      </c>
      <c r="CE455" t="str">
        <f t="shared" si="319"/>
        <v>Bowles 5th edition</v>
      </c>
      <c r="CF455">
        <f t="shared" si="301"/>
        <v>141</v>
      </c>
      <c r="CG455" t="str">
        <f t="shared" si="320"/>
        <v/>
      </c>
      <c r="CH455" t="str">
        <f t="shared" si="302"/>
        <v/>
      </c>
      <c r="CI455" t="str">
        <f t="shared" si="321"/>
        <v/>
      </c>
      <c r="CJ455" t="str">
        <f t="shared" si="292"/>
        <v/>
      </c>
    </row>
    <row r="456" spans="2:88" x14ac:dyDescent="0.3">
      <c r="B456" t="str">
        <f t="shared" si="284"/>
        <v>36.832136-76.119635</v>
      </c>
      <c r="C456" s="30" t="s">
        <v>130</v>
      </c>
      <c r="D456">
        <v>36.832135999999998</v>
      </c>
      <c r="E456">
        <v>-76.119635000000002</v>
      </c>
      <c r="F456">
        <v>5</v>
      </c>
      <c r="G456" t="str">
        <f t="shared" si="285"/>
        <v>-23-2536.832136-76.119635</v>
      </c>
      <c r="H456">
        <v>-23</v>
      </c>
      <c r="I456">
        <v>-25</v>
      </c>
      <c r="J456" s="30" t="s">
        <v>21</v>
      </c>
      <c r="L456" t="s">
        <v>8</v>
      </c>
      <c r="M456">
        <v>4</v>
      </c>
      <c r="S456" t="str">
        <f t="shared" si="297"/>
        <v>Sand</v>
      </c>
      <c r="T456">
        <f t="shared" si="286"/>
        <v>1</v>
      </c>
      <c r="AA456">
        <v>80</v>
      </c>
      <c r="AB456" s="1">
        <f t="shared" si="293"/>
        <v>5</v>
      </c>
      <c r="AC456">
        <f t="shared" si="294"/>
        <v>3</v>
      </c>
      <c r="AD456" t="str">
        <f t="shared" si="287"/>
        <v/>
      </c>
      <c r="AG456" s="21" t="str">
        <f t="shared" si="303"/>
        <v/>
      </c>
      <c r="AI456" s="6" t="str">
        <f t="shared" si="304"/>
        <v/>
      </c>
      <c r="AM456" s="7" t="str">
        <f t="shared" si="305"/>
        <v/>
      </c>
      <c r="AQ456" s="8" t="str">
        <f t="shared" si="306"/>
        <v/>
      </c>
      <c r="AW456" s="25" t="str">
        <f t="shared" si="307"/>
        <v/>
      </c>
      <c r="AZ456" s="12" t="str">
        <f t="shared" si="308"/>
        <v/>
      </c>
      <c r="BI456" s="17" t="str">
        <f t="shared" si="309"/>
        <v/>
      </c>
      <c r="BM456" t="str">
        <f t="shared" si="310"/>
        <v>SPT Relationship</v>
      </c>
      <c r="BN456">
        <f t="shared" si="298"/>
        <v>108</v>
      </c>
      <c r="BO456" t="str">
        <f t="shared" si="311"/>
        <v>Wolff, 1989</v>
      </c>
      <c r="BP456">
        <f t="shared" si="295"/>
        <v>27</v>
      </c>
      <c r="BQ456" t="str">
        <f t="shared" si="312"/>
        <v/>
      </c>
      <c r="BR456" t="str">
        <f t="shared" si="288"/>
        <v/>
      </c>
      <c r="BS456" t="str">
        <f t="shared" si="313"/>
        <v/>
      </c>
      <c r="BT456" t="str">
        <f t="shared" si="296"/>
        <v/>
      </c>
      <c r="BU456" t="str">
        <f t="shared" si="314"/>
        <v/>
      </c>
      <c r="BV456" t="str">
        <f t="shared" si="289"/>
        <v/>
      </c>
      <c r="BW456" t="str">
        <f t="shared" si="315"/>
        <v/>
      </c>
      <c r="BX456" t="str">
        <f t="shared" si="290"/>
        <v/>
      </c>
      <c r="BY456" t="str">
        <f t="shared" si="316"/>
        <v/>
      </c>
      <c r="BZ456" t="str">
        <f t="shared" si="291"/>
        <v/>
      </c>
      <c r="CA456" t="str">
        <f t="shared" si="317"/>
        <v/>
      </c>
      <c r="CB456" t="str">
        <f t="shared" si="299"/>
        <v/>
      </c>
      <c r="CC456" t="str">
        <f t="shared" si="318"/>
        <v/>
      </c>
      <c r="CD456" t="str">
        <f t="shared" si="300"/>
        <v/>
      </c>
      <c r="CE456" t="str">
        <f t="shared" si="319"/>
        <v>Bowles 5th edition</v>
      </c>
      <c r="CF456">
        <f t="shared" si="301"/>
        <v>128</v>
      </c>
      <c r="CG456" t="str">
        <f t="shared" si="320"/>
        <v/>
      </c>
      <c r="CH456" t="str">
        <f t="shared" si="302"/>
        <v/>
      </c>
      <c r="CI456" t="str">
        <f t="shared" si="321"/>
        <v/>
      </c>
      <c r="CJ456" t="str">
        <f t="shared" si="292"/>
        <v/>
      </c>
    </row>
    <row r="457" spans="2:88" x14ac:dyDescent="0.3">
      <c r="B457" t="str">
        <f t="shared" ref="B457:B520" si="322">""&amp;D457&amp;""&amp;E457</f>
        <v>36.832061-76.117769</v>
      </c>
      <c r="C457" s="30" t="s">
        <v>131</v>
      </c>
      <c r="D457">
        <v>36.832061000000003</v>
      </c>
      <c r="E457">
        <v>-76.117768999999996</v>
      </c>
      <c r="F457">
        <v>5</v>
      </c>
      <c r="G457" t="str">
        <f t="shared" ref="G457:G520" si="323">""&amp;H457&amp;""&amp;I457&amp;""&amp;D457&amp;""&amp;E457</f>
        <v>5336.832061-76.117769</v>
      </c>
      <c r="H457">
        <v>5</v>
      </c>
      <c r="I457">
        <v>3</v>
      </c>
      <c r="J457" s="30" t="s">
        <v>21</v>
      </c>
      <c r="L457" t="s">
        <v>17</v>
      </c>
      <c r="M457">
        <v>24</v>
      </c>
      <c r="S457" t="str">
        <f t="shared" si="297"/>
        <v>Sand</v>
      </c>
      <c r="T457">
        <f t="shared" ref="T457:T520" si="324">IF(OR(Q457&lt;&gt;"",R457&lt;&gt;""),2,1)</f>
        <v>1</v>
      </c>
      <c r="AA457">
        <v>80</v>
      </c>
      <c r="AB457" s="1">
        <f t="shared" si="293"/>
        <v>32</v>
      </c>
      <c r="AC457">
        <f t="shared" si="294"/>
        <v>98</v>
      </c>
      <c r="AD457" t="str">
        <f t="shared" ref="AD457:AD520" si="325">IF(OR(N457="",O457=""),"",(N457-O457)/(P457-O457))</f>
        <v/>
      </c>
      <c r="AG457" s="21" t="str">
        <f t="shared" si="303"/>
        <v/>
      </c>
      <c r="AI457" s="6" t="str">
        <f t="shared" si="304"/>
        <v/>
      </c>
      <c r="AM457" s="7" t="str">
        <f t="shared" si="305"/>
        <v/>
      </c>
      <c r="AQ457" s="8" t="str">
        <f t="shared" si="306"/>
        <v/>
      </c>
      <c r="AW457" s="25" t="str">
        <f t="shared" si="307"/>
        <v/>
      </c>
      <c r="AZ457" s="12" t="str">
        <f t="shared" si="308"/>
        <v/>
      </c>
      <c r="BI457" s="17" t="str">
        <f t="shared" si="309"/>
        <v/>
      </c>
      <c r="BM457" t="str">
        <f t="shared" si="310"/>
        <v>SPT Relationship</v>
      </c>
      <c r="BN457">
        <f t="shared" si="298"/>
        <v>128</v>
      </c>
      <c r="BO457" t="str">
        <f t="shared" si="311"/>
        <v>Wolff, 1989</v>
      </c>
      <c r="BP457">
        <f t="shared" si="295"/>
        <v>51</v>
      </c>
      <c r="BQ457" t="str">
        <f t="shared" si="312"/>
        <v/>
      </c>
      <c r="BR457" t="str">
        <f t="shared" ref="BR457:BR520" si="326">IF(P457="","",ROUNDDOWN(28-0.1533*P457+0.000564*P457^2-0.0000008414*P457^3,0))</f>
        <v/>
      </c>
      <c r="BS457" t="str">
        <f t="shared" si="313"/>
        <v/>
      </c>
      <c r="BT457" t="str">
        <f t="shared" si="296"/>
        <v/>
      </c>
      <c r="BU457" t="str">
        <f t="shared" si="314"/>
        <v/>
      </c>
      <c r="BV457" t="str">
        <f t="shared" ref="BV457:BV520" si="327">IF(Q457="","",ROUND(Q457/74,3))</f>
        <v/>
      </c>
      <c r="BW457" t="str">
        <f t="shared" si="315"/>
        <v/>
      </c>
      <c r="BX457" t="str">
        <f t="shared" ref="BX457:BX520" si="328">IF(Q457="","",ROUND(Q457/370,3))</f>
        <v/>
      </c>
      <c r="BY457" t="str">
        <f t="shared" si="316"/>
        <v/>
      </c>
      <c r="BZ457" t="str">
        <f t="shared" ref="BZ457:BZ520" si="329">IF(BV457="","",ROUND(0.03*BV457,4))</f>
        <v/>
      </c>
      <c r="CA457" t="str">
        <f t="shared" si="317"/>
        <v/>
      </c>
      <c r="CB457" t="str">
        <f t="shared" si="299"/>
        <v/>
      </c>
      <c r="CC457" t="str">
        <f t="shared" si="318"/>
        <v/>
      </c>
      <c r="CD457" t="str">
        <f t="shared" si="300"/>
        <v/>
      </c>
      <c r="CE457" t="str">
        <f t="shared" si="319"/>
        <v>Bowles 5th edition</v>
      </c>
      <c r="CF457">
        <f t="shared" si="301"/>
        <v>301</v>
      </c>
      <c r="CG457" t="str">
        <f t="shared" si="320"/>
        <v/>
      </c>
      <c r="CH457" t="str">
        <f t="shared" si="302"/>
        <v/>
      </c>
      <c r="CI457" t="str">
        <f t="shared" si="321"/>
        <v/>
      </c>
      <c r="CJ457" t="str">
        <f t="shared" ref="CJ457:CJ520" si="330">IF(OR(S457="Clay",X457=""),"",1.5*X457^2)</f>
        <v/>
      </c>
    </row>
    <row r="458" spans="2:88" x14ac:dyDescent="0.3">
      <c r="B458" t="str">
        <f t="shared" si="322"/>
        <v>36.832061-76.117769</v>
      </c>
      <c r="C458" s="30" t="s">
        <v>131</v>
      </c>
      <c r="D458">
        <v>36.832061000000003</v>
      </c>
      <c r="E458">
        <v>-76.117768999999996</v>
      </c>
      <c r="F458">
        <v>5</v>
      </c>
      <c r="G458" t="str">
        <f t="shared" si="323"/>
        <v>3136.832061-76.117769</v>
      </c>
      <c r="H458">
        <v>3</v>
      </c>
      <c r="I458">
        <v>1</v>
      </c>
      <c r="J458" s="30" t="s">
        <v>21</v>
      </c>
      <c r="L458" t="s">
        <v>17</v>
      </c>
      <c r="M458">
        <v>12</v>
      </c>
      <c r="S458" t="str">
        <f t="shared" si="297"/>
        <v>Sand</v>
      </c>
      <c r="T458">
        <f t="shared" si="324"/>
        <v>1</v>
      </c>
      <c r="AA458">
        <v>80</v>
      </c>
      <c r="AB458" s="1">
        <f t="shared" si="293"/>
        <v>16</v>
      </c>
      <c r="AC458">
        <f t="shared" si="294"/>
        <v>34</v>
      </c>
      <c r="AD458" t="str">
        <f t="shared" si="325"/>
        <v/>
      </c>
      <c r="AG458" s="21" t="str">
        <f t="shared" si="303"/>
        <v/>
      </c>
      <c r="AI458" s="6" t="str">
        <f t="shared" si="304"/>
        <v/>
      </c>
      <c r="AM458" s="7" t="str">
        <f t="shared" si="305"/>
        <v/>
      </c>
      <c r="AQ458" s="8" t="str">
        <f t="shared" si="306"/>
        <v/>
      </c>
      <c r="AW458" s="25" t="str">
        <f t="shared" si="307"/>
        <v/>
      </c>
      <c r="AZ458" s="12" t="str">
        <f t="shared" si="308"/>
        <v/>
      </c>
      <c r="BI458" s="17" t="str">
        <f t="shared" si="309"/>
        <v/>
      </c>
      <c r="BM458" t="str">
        <f t="shared" si="310"/>
        <v>SPT Relationship</v>
      </c>
      <c r="BN458">
        <f t="shared" si="298"/>
        <v>120</v>
      </c>
      <c r="BO458" t="str">
        <f t="shared" si="311"/>
        <v>Wolff, 1989</v>
      </c>
      <c r="BP458">
        <f t="shared" si="295"/>
        <v>36</v>
      </c>
      <c r="BQ458" t="str">
        <f t="shared" si="312"/>
        <v/>
      </c>
      <c r="BR458" t="str">
        <f t="shared" si="326"/>
        <v/>
      </c>
      <c r="BS458" t="str">
        <f t="shared" si="313"/>
        <v/>
      </c>
      <c r="BT458" t="str">
        <f t="shared" si="296"/>
        <v/>
      </c>
      <c r="BU458" t="str">
        <f t="shared" si="314"/>
        <v/>
      </c>
      <c r="BV458" t="str">
        <f t="shared" si="327"/>
        <v/>
      </c>
      <c r="BW458" t="str">
        <f t="shared" si="315"/>
        <v/>
      </c>
      <c r="BX458" t="str">
        <f t="shared" si="328"/>
        <v/>
      </c>
      <c r="BY458" t="str">
        <f t="shared" si="316"/>
        <v/>
      </c>
      <c r="BZ458" t="str">
        <f t="shared" si="329"/>
        <v/>
      </c>
      <c r="CA458" t="str">
        <f t="shared" si="317"/>
        <v/>
      </c>
      <c r="CB458" t="str">
        <f t="shared" si="299"/>
        <v/>
      </c>
      <c r="CC458" t="str">
        <f t="shared" si="318"/>
        <v/>
      </c>
      <c r="CD458" t="str">
        <f t="shared" si="300"/>
        <v/>
      </c>
      <c r="CE458" t="str">
        <f t="shared" si="319"/>
        <v>Bowles 5th edition</v>
      </c>
      <c r="CF458">
        <f t="shared" si="301"/>
        <v>198</v>
      </c>
      <c r="CG458" t="str">
        <f t="shared" si="320"/>
        <v/>
      </c>
      <c r="CH458" t="str">
        <f t="shared" si="302"/>
        <v/>
      </c>
      <c r="CI458" t="str">
        <f t="shared" si="321"/>
        <v/>
      </c>
      <c r="CJ458" t="str">
        <f t="shared" si="330"/>
        <v/>
      </c>
    </row>
    <row r="459" spans="2:88" x14ac:dyDescent="0.3">
      <c r="B459" t="str">
        <f t="shared" si="322"/>
        <v>36.832061-76.117769</v>
      </c>
      <c r="C459" s="30" t="s">
        <v>131</v>
      </c>
      <c r="D459">
        <v>36.832061000000003</v>
      </c>
      <c r="E459">
        <v>-76.117768999999996</v>
      </c>
      <c r="F459">
        <v>5</v>
      </c>
      <c r="G459" t="str">
        <f t="shared" si="323"/>
        <v>1-136.832061-76.117769</v>
      </c>
      <c r="H459">
        <v>1</v>
      </c>
      <c r="I459">
        <v>-1</v>
      </c>
      <c r="J459" s="30" t="s">
        <v>21</v>
      </c>
      <c r="L459" t="s">
        <v>16</v>
      </c>
      <c r="M459">
        <v>21</v>
      </c>
      <c r="S459" t="str">
        <f t="shared" si="297"/>
        <v>Sand</v>
      </c>
      <c r="T459">
        <f t="shared" si="324"/>
        <v>1</v>
      </c>
      <c r="AA459">
        <v>80</v>
      </c>
      <c r="AB459" s="1">
        <f t="shared" si="293"/>
        <v>28</v>
      </c>
      <c r="AC459">
        <f t="shared" si="294"/>
        <v>49</v>
      </c>
      <c r="AD459" t="str">
        <f t="shared" si="325"/>
        <v/>
      </c>
      <c r="AG459" s="21" t="str">
        <f t="shared" si="303"/>
        <v/>
      </c>
      <c r="AI459" s="6" t="str">
        <f t="shared" si="304"/>
        <v/>
      </c>
      <c r="AM459" s="7" t="str">
        <f t="shared" si="305"/>
        <v/>
      </c>
      <c r="AQ459" s="8" t="str">
        <f t="shared" si="306"/>
        <v/>
      </c>
      <c r="AW459" s="25" t="str">
        <f t="shared" si="307"/>
        <v/>
      </c>
      <c r="AZ459" s="12" t="str">
        <f t="shared" si="308"/>
        <v/>
      </c>
      <c r="BI459" s="17" t="str">
        <f t="shared" si="309"/>
        <v/>
      </c>
      <c r="BM459" t="str">
        <f t="shared" si="310"/>
        <v>SPT Relationship</v>
      </c>
      <c r="BN459">
        <f t="shared" si="298"/>
        <v>127</v>
      </c>
      <c r="BO459" t="str">
        <f t="shared" si="311"/>
        <v>Wolff, 1989</v>
      </c>
      <c r="BP459">
        <f t="shared" si="295"/>
        <v>40</v>
      </c>
      <c r="BQ459" t="str">
        <f t="shared" si="312"/>
        <v/>
      </c>
      <c r="BR459" t="str">
        <f t="shared" si="326"/>
        <v/>
      </c>
      <c r="BS459" t="str">
        <f t="shared" si="313"/>
        <v/>
      </c>
      <c r="BT459" t="str">
        <f t="shared" si="296"/>
        <v/>
      </c>
      <c r="BU459" t="str">
        <f t="shared" si="314"/>
        <v/>
      </c>
      <c r="BV459" t="str">
        <f t="shared" si="327"/>
        <v/>
      </c>
      <c r="BW459" t="str">
        <f t="shared" si="315"/>
        <v/>
      </c>
      <c r="BX459" t="str">
        <f t="shared" si="328"/>
        <v/>
      </c>
      <c r="BY459" t="str">
        <f t="shared" si="316"/>
        <v/>
      </c>
      <c r="BZ459" t="str">
        <f t="shared" si="329"/>
        <v/>
      </c>
      <c r="CA459" t="str">
        <f t="shared" si="317"/>
        <v/>
      </c>
      <c r="CB459" t="str">
        <f t="shared" si="299"/>
        <v/>
      </c>
      <c r="CC459" t="str">
        <f t="shared" si="318"/>
        <v/>
      </c>
      <c r="CD459" t="str">
        <f t="shared" si="300"/>
        <v/>
      </c>
      <c r="CE459" t="str">
        <f t="shared" si="319"/>
        <v>Bowles 5th edition</v>
      </c>
      <c r="CF459">
        <f t="shared" si="301"/>
        <v>275</v>
      </c>
      <c r="CG459" t="str">
        <f t="shared" si="320"/>
        <v/>
      </c>
      <c r="CH459" t="str">
        <f t="shared" si="302"/>
        <v/>
      </c>
      <c r="CI459" t="str">
        <f t="shared" si="321"/>
        <v/>
      </c>
      <c r="CJ459" t="str">
        <f t="shared" si="330"/>
        <v/>
      </c>
    </row>
    <row r="460" spans="2:88" x14ac:dyDescent="0.3">
      <c r="B460" t="str">
        <f t="shared" si="322"/>
        <v>36.832061-76.117769</v>
      </c>
      <c r="C460" s="30" t="s">
        <v>131</v>
      </c>
      <c r="D460">
        <v>36.832061000000003</v>
      </c>
      <c r="E460">
        <v>-76.117768999999996</v>
      </c>
      <c r="F460">
        <v>5</v>
      </c>
      <c r="G460" t="str">
        <f t="shared" si="323"/>
        <v>-1-336.832061-76.117769</v>
      </c>
      <c r="H460">
        <v>-1</v>
      </c>
      <c r="I460">
        <v>-3</v>
      </c>
      <c r="J460" s="30" t="s">
        <v>21</v>
      </c>
      <c r="L460" t="s">
        <v>16</v>
      </c>
      <c r="M460">
        <v>8</v>
      </c>
      <c r="S460" t="str">
        <f t="shared" si="297"/>
        <v>Sand</v>
      </c>
      <c r="T460">
        <f t="shared" si="324"/>
        <v>1</v>
      </c>
      <c r="AA460">
        <v>80</v>
      </c>
      <c r="AB460" s="1">
        <f t="shared" si="293"/>
        <v>11</v>
      </c>
      <c r="AC460">
        <f t="shared" si="294"/>
        <v>16</v>
      </c>
      <c r="AD460" t="str">
        <f t="shared" si="325"/>
        <v/>
      </c>
      <c r="AG460" s="21" t="str">
        <f t="shared" si="303"/>
        <v/>
      </c>
      <c r="AI460" s="6" t="str">
        <f t="shared" si="304"/>
        <v/>
      </c>
      <c r="AM460" s="7" t="str">
        <f t="shared" si="305"/>
        <v/>
      </c>
      <c r="AQ460" s="8" t="str">
        <f t="shared" si="306"/>
        <v/>
      </c>
      <c r="AW460" s="25" t="str">
        <f t="shared" si="307"/>
        <v/>
      </c>
      <c r="AZ460" s="12" t="str">
        <f t="shared" si="308"/>
        <v/>
      </c>
      <c r="BI460" s="17" t="str">
        <f t="shared" si="309"/>
        <v/>
      </c>
      <c r="BM460" t="str">
        <f t="shared" si="310"/>
        <v>SPT Relationship</v>
      </c>
      <c r="BN460">
        <f t="shared" si="298"/>
        <v>116</v>
      </c>
      <c r="BO460" t="str">
        <f t="shared" si="311"/>
        <v>Wolff, 1989</v>
      </c>
      <c r="BP460">
        <f t="shared" si="295"/>
        <v>31</v>
      </c>
      <c r="BQ460" t="str">
        <f t="shared" si="312"/>
        <v/>
      </c>
      <c r="BR460" t="str">
        <f t="shared" si="326"/>
        <v/>
      </c>
      <c r="BS460" t="str">
        <f t="shared" si="313"/>
        <v/>
      </c>
      <c r="BT460" t="str">
        <f t="shared" si="296"/>
        <v/>
      </c>
      <c r="BU460" t="str">
        <f t="shared" si="314"/>
        <v/>
      </c>
      <c r="BV460" t="str">
        <f t="shared" si="327"/>
        <v/>
      </c>
      <c r="BW460" t="str">
        <f t="shared" si="315"/>
        <v/>
      </c>
      <c r="BX460" t="str">
        <f t="shared" si="328"/>
        <v/>
      </c>
      <c r="BY460" t="str">
        <f t="shared" si="316"/>
        <v/>
      </c>
      <c r="BZ460" t="str">
        <f t="shared" si="329"/>
        <v/>
      </c>
      <c r="CA460" t="str">
        <f t="shared" si="317"/>
        <v/>
      </c>
      <c r="CB460" t="str">
        <f t="shared" si="299"/>
        <v/>
      </c>
      <c r="CC460" t="str">
        <f t="shared" si="318"/>
        <v/>
      </c>
      <c r="CD460" t="str">
        <f t="shared" si="300"/>
        <v/>
      </c>
      <c r="CE460" t="str">
        <f t="shared" si="319"/>
        <v>Bowles 5th edition</v>
      </c>
      <c r="CF460">
        <f t="shared" si="301"/>
        <v>166</v>
      </c>
      <c r="CG460" t="str">
        <f t="shared" si="320"/>
        <v/>
      </c>
      <c r="CH460" t="str">
        <f t="shared" si="302"/>
        <v/>
      </c>
      <c r="CI460" t="str">
        <f t="shared" si="321"/>
        <v/>
      </c>
      <c r="CJ460" t="str">
        <f t="shared" si="330"/>
        <v/>
      </c>
    </row>
    <row r="461" spans="2:88" x14ac:dyDescent="0.3">
      <c r="B461" t="str">
        <f t="shared" si="322"/>
        <v>36.832061-76.117769</v>
      </c>
      <c r="C461" s="30" t="s">
        <v>131</v>
      </c>
      <c r="D461">
        <v>36.832061000000003</v>
      </c>
      <c r="E461">
        <v>-76.117768999999996</v>
      </c>
      <c r="F461">
        <v>5</v>
      </c>
      <c r="G461" t="str">
        <f t="shared" si="323"/>
        <v>-3-536.832061-76.117769</v>
      </c>
      <c r="H461">
        <v>-3</v>
      </c>
      <c r="I461">
        <v>-5</v>
      </c>
      <c r="J461" s="30" t="s">
        <v>21</v>
      </c>
      <c r="L461" t="s">
        <v>16</v>
      </c>
      <c r="M461">
        <v>16</v>
      </c>
      <c r="S461" t="str">
        <f t="shared" si="297"/>
        <v>Sand</v>
      </c>
      <c r="T461">
        <f t="shared" si="324"/>
        <v>1</v>
      </c>
      <c r="AA461">
        <v>80</v>
      </c>
      <c r="AB461" s="1">
        <f t="shared" si="293"/>
        <v>21</v>
      </c>
      <c r="AC461">
        <f t="shared" si="294"/>
        <v>28</v>
      </c>
      <c r="AD461" t="str">
        <f t="shared" si="325"/>
        <v/>
      </c>
      <c r="AG461" s="21" t="str">
        <f t="shared" si="303"/>
        <v/>
      </c>
      <c r="AI461" s="6" t="str">
        <f t="shared" si="304"/>
        <v/>
      </c>
      <c r="AM461" s="7" t="str">
        <f t="shared" si="305"/>
        <v/>
      </c>
      <c r="AQ461" s="8" t="str">
        <f t="shared" si="306"/>
        <v/>
      </c>
      <c r="AW461" s="25" t="str">
        <f t="shared" si="307"/>
        <v/>
      </c>
      <c r="AZ461" s="12" t="str">
        <f t="shared" si="308"/>
        <v/>
      </c>
      <c r="BI461" s="17" t="str">
        <f t="shared" si="309"/>
        <v/>
      </c>
      <c r="BM461" t="str">
        <f t="shared" si="310"/>
        <v>SPT Relationship</v>
      </c>
      <c r="BN461">
        <f t="shared" si="298"/>
        <v>124</v>
      </c>
      <c r="BO461" t="str">
        <f t="shared" si="311"/>
        <v>Wolff, 1989</v>
      </c>
      <c r="BP461">
        <f t="shared" si="295"/>
        <v>35</v>
      </c>
      <c r="BQ461" t="str">
        <f t="shared" si="312"/>
        <v/>
      </c>
      <c r="BR461" t="str">
        <f t="shared" si="326"/>
        <v/>
      </c>
      <c r="BS461" t="str">
        <f t="shared" si="313"/>
        <v/>
      </c>
      <c r="BT461" t="str">
        <f t="shared" si="296"/>
        <v/>
      </c>
      <c r="BU461" t="str">
        <f t="shared" si="314"/>
        <v/>
      </c>
      <c r="BV461" t="str">
        <f t="shared" si="327"/>
        <v/>
      </c>
      <c r="BW461" t="str">
        <f t="shared" si="315"/>
        <v/>
      </c>
      <c r="BX461" t="str">
        <f t="shared" si="328"/>
        <v/>
      </c>
      <c r="BY461" t="str">
        <f t="shared" si="316"/>
        <v/>
      </c>
      <c r="BZ461" t="str">
        <f t="shared" si="329"/>
        <v/>
      </c>
      <c r="CA461" t="str">
        <f t="shared" si="317"/>
        <v/>
      </c>
      <c r="CB461" t="str">
        <f t="shared" si="299"/>
        <v/>
      </c>
      <c r="CC461" t="str">
        <f t="shared" si="318"/>
        <v/>
      </c>
      <c r="CD461" t="str">
        <f t="shared" si="300"/>
        <v/>
      </c>
      <c r="CE461" t="str">
        <f t="shared" si="319"/>
        <v>Bowles 5th edition</v>
      </c>
      <c r="CF461">
        <f t="shared" si="301"/>
        <v>230</v>
      </c>
      <c r="CG461" t="str">
        <f t="shared" si="320"/>
        <v/>
      </c>
      <c r="CH461" t="str">
        <f t="shared" si="302"/>
        <v/>
      </c>
      <c r="CI461" t="str">
        <f t="shared" si="321"/>
        <v/>
      </c>
      <c r="CJ461" t="str">
        <f t="shared" si="330"/>
        <v/>
      </c>
    </row>
    <row r="462" spans="2:88" x14ac:dyDescent="0.3">
      <c r="B462" t="str">
        <f t="shared" si="322"/>
        <v>36.832061-76.117769</v>
      </c>
      <c r="C462" s="30" t="s">
        <v>131</v>
      </c>
      <c r="D462">
        <v>36.832061000000003</v>
      </c>
      <c r="E462">
        <v>-76.117768999999996</v>
      </c>
      <c r="F462">
        <v>5</v>
      </c>
      <c r="G462" t="str">
        <f t="shared" si="323"/>
        <v>-5-736.832061-76.117769</v>
      </c>
      <c r="H462">
        <v>-5</v>
      </c>
      <c r="I462">
        <v>-7</v>
      </c>
      <c r="J462" s="30" t="s">
        <v>21</v>
      </c>
      <c r="L462" t="s">
        <v>16</v>
      </c>
      <c r="M462" t="s">
        <v>148</v>
      </c>
      <c r="S462" t="str">
        <f t="shared" si="297"/>
        <v>Sand</v>
      </c>
      <c r="T462">
        <f t="shared" si="324"/>
        <v>1</v>
      </c>
      <c r="AA462">
        <v>80</v>
      </c>
      <c r="AB462" s="1" t="str">
        <f t="shared" si="293"/>
        <v/>
      </c>
      <c r="AC462" t="str">
        <f t="shared" si="294"/>
        <v/>
      </c>
      <c r="AD462" t="str">
        <f t="shared" si="325"/>
        <v/>
      </c>
      <c r="AG462" s="21" t="str">
        <f t="shared" si="303"/>
        <v/>
      </c>
      <c r="AI462" s="6" t="str">
        <f t="shared" si="304"/>
        <v/>
      </c>
      <c r="AM462" s="7" t="str">
        <f t="shared" si="305"/>
        <v/>
      </c>
      <c r="AQ462" s="8" t="str">
        <f t="shared" si="306"/>
        <v/>
      </c>
      <c r="AW462" s="25" t="str">
        <f t="shared" si="307"/>
        <v/>
      </c>
      <c r="AZ462" s="12" t="str">
        <f t="shared" si="308"/>
        <v/>
      </c>
      <c r="BI462" s="17" t="str">
        <f t="shared" si="309"/>
        <v/>
      </c>
      <c r="BM462" t="str">
        <f t="shared" si="310"/>
        <v/>
      </c>
      <c r="BN462" t="str">
        <f t="shared" si="298"/>
        <v/>
      </c>
      <c r="BO462" t="str">
        <f t="shared" si="311"/>
        <v/>
      </c>
      <c r="BP462" t="str">
        <f t="shared" si="295"/>
        <v/>
      </c>
      <c r="BQ462" t="str">
        <f t="shared" si="312"/>
        <v/>
      </c>
      <c r="BR462" t="str">
        <f t="shared" si="326"/>
        <v/>
      </c>
      <c r="BS462" t="str">
        <f t="shared" si="313"/>
        <v/>
      </c>
      <c r="BT462" t="str">
        <f t="shared" si="296"/>
        <v/>
      </c>
      <c r="BU462" t="str">
        <f t="shared" si="314"/>
        <v/>
      </c>
      <c r="BV462" t="str">
        <f t="shared" si="327"/>
        <v/>
      </c>
      <c r="BW462" t="str">
        <f t="shared" si="315"/>
        <v/>
      </c>
      <c r="BX462" t="str">
        <f t="shared" si="328"/>
        <v/>
      </c>
      <c r="BY462" t="str">
        <f t="shared" si="316"/>
        <v/>
      </c>
      <c r="BZ462" t="str">
        <f t="shared" si="329"/>
        <v/>
      </c>
      <c r="CA462" t="str">
        <f t="shared" si="317"/>
        <v/>
      </c>
      <c r="CB462" t="str">
        <f t="shared" si="299"/>
        <v/>
      </c>
      <c r="CC462" t="str">
        <f t="shared" si="318"/>
        <v/>
      </c>
      <c r="CD462" t="str">
        <f t="shared" si="300"/>
        <v/>
      </c>
      <c r="CE462" t="str">
        <f t="shared" si="319"/>
        <v/>
      </c>
      <c r="CF462" t="str">
        <f t="shared" si="301"/>
        <v/>
      </c>
      <c r="CG462" t="str">
        <f t="shared" si="320"/>
        <v/>
      </c>
      <c r="CH462" t="str">
        <f t="shared" si="302"/>
        <v/>
      </c>
      <c r="CI462" t="str">
        <f t="shared" si="321"/>
        <v/>
      </c>
      <c r="CJ462" t="str">
        <f t="shared" si="330"/>
        <v/>
      </c>
    </row>
    <row r="463" spans="2:88" x14ac:dyDescent="0.3">
      <c r="B463" t="str">
        <f t="shared" si="322"/>
        <v>36.832061-76.117769</v>
      </c>
      <c r="C463" s="30" t="s">
        <v>131</v>
      </c>
      <c r="D463">
        <v>36.832061000000003</v>
      </c>
      <c r="E463">
        <v>-76.117768999999996</v>
      </c>
      <c r="F463">
        <v>5</v>
      </c>
      <c r="G463" t="str">
        <f t="shared" si="323"/>
        <v>-8-1036.832061-76.117769</v>
      </c>
      <c r="H463">
        <v>-8</v>
      </c>
      <c r="I463">
        <v>-10</v>
      </c>
      <c r="J463" s="30" t="s">
        <v>21</v>
      </c>
      <c r="L463" t="s">
        <v>8</v>
      </c>
      <c r="M463">
        <v>61</v>
      </c>
      <c r="S463" t="str">
        <f t="shared" si="297"/>
        <v>Sand</v>
      </c>
      <c r="T463">
        <f t="shared" si="324"/>
        <v>1</v>
      </c>
      <c r="AA463">
        <v>80</v>
      </c>
      <c r="AB463" s="1">
        <f t="shared" si="293"/>
        <v>81</v>
      </c>
      <c r="AC463">
        <f t="shared" si="294"/>
        <v>91</v>
      </c>
      <c r="AD463" t="str">
        <f t="shared" si="325"/>
        <v/>
      </c>
      <c r="AG463" s="21" t="str">
        <f t="shared" si="303"/>
        <v/>
      </c>
      <c r="AI463" s="6" t="str">
        <f t="shared" si="304"/>
        <v/>
      </c>
      <c r="AM463" s="7" t="str">
        <f t="shared" si="305"/>
        <v/>
      </c>
      <c r="AQ463" s="8" t="str">
        <f t="shared" si="306"/>
        <v/>
      </c>
      <c r="AW463" s="25" t="str">
        <f t="shared" si="307"/>
        <v/>
      </c>
      <c r="AZ463" s="12" t="str">
        <f t="shared" si="308"/>
        <v/>
      </c>
      <c r="BI463" s="17" t="str">
        <f t="shared" si="309"/>
        <v/>
      </c>
      <c r="BM463" t="str">
        <f t="shared" si="310"/>
        <v>SPT Relationship</v>
      </c>
      <c r="BN463">
        <f t="shared" si="298"/>
        <v>140</v>
      </c>
      <c r="BO463" t="str">
        <f t="shared" si="311"/>
        <v>Wolff, 1989</v>
      </c>
      <c r="BP463">
        <f t="shared" si="295"/>
        <v>49</v>
      </c>
      <c r="BQ463" t="str">
        <f t="shared" si="312"/>
        <v/>
      </c>
      <c r="BR463" t="str">
        <f t="shared" si="326"/>
        <v/>
      </c>
      <c r="BS463" t="str">
        <f t="shared" si="313"/>
        <v/>
      </c>
      <c r="BT463" t="str">
        <f t="shared" si="296"/>
        <v/>
      </c>
      <c r="BU463" t="str">
        <f t="shared" si="314"/>
        <v/>
      </c>
      <c r="BV463" t="str">
        <f t="shared" si="327"/>
        <v/>
      </c>
      <c r="BW463" t="str">
        <f t="shared" si="315"/>
        <v/>
      </c>
      <c r="BX463" t="str">
        <f t="shared" si="328"/>
        <v/>
      </c>
      <c r="BY463" t="str">
        <f t="shared" si="316"/>
        <v/>
      </c>
      <c r="BZ463" t="str">
        <f t="shared" si="329"/>
        <v/>
      </c>
      <c r="CA463" t="str">
        <f t="shared" si="317"/>
        <v/>
      </c>
      <c r="CB463" t="str">
        <f t="shared" si="299"/>
        <v/>
      </c>
      <c r="CC463" t="str">
        <f t="shared" si="318"/>
        <v/>
      </c>
      <c r="CD463" t="str">
        <f t="shared" si="300"/>
        <v/>
      </c>
      <c r="CE463" t="str">
        <f t="shared" si="319"/>
        <v>Bowles 5th edition</v>
      </c>
      <c r="CF463">
        <f t="shared" si="301"/>
        <v>614</v>
      </c>
      <c r="CG463" t="str">
        <f t="shared" si="320"/>
        <v/>
      </c>
      <c r="CH463" t="str">
        <f t="shared" si="302"/>
        <v/>
      </c>
      <c r="CI463" t="str">
        <f t="shared" si="321"/>
        <v/>
      </c>
      <c r="CJ463" t="str">
        <f t="shared" si="330"/>
        <v/>
      </c>
    </row>
    <row r="464" spans="2:88" x14ac:dyDescent="0.3">
      <c r="B464" t="str">
        <f t="shared" si="322"/>
        <v>36.832061-76.117769</v>
      </c>
      <c r="C464" s="30" t="s">
        <v>131</v>
      </c>
      <c r="D464">
        <v>36.832061000000003</v>
      </c>
      <c r="E464">
        <v>-76.117768999999996</v>
      </c>
      <c r="F464">
        <v>5</v>
      </c>
      <c r="G464" t="str">
        <f t="shared" si="323"/>
        <v>-13-1536.832061-76.117769</v>
      </c>
      <c r="H464">
        <v>-13</v>
      </c>
      <c r="I464">
        <v>-15</v>
      </c>
      <c r="J464" s="30" t="s">
        <v>21</v>
      </c>
      <c r="L464" t="s">
        <v>8</v>
      </c>
      <c r="M464">
        <v>2</v>
      </c>
      <c r="S464" t="str">
        <f t="shared" si="297"/>
        <v>Sand</v>
      </c>
      <c r="T464">
        <f t="shared" si="324"/>
        <v>1</v>
      </c>
      <c r="AA464">
        <v>80</v>
      </c>
      <c r="AB464" s="1">
        <f t="shared" si="293"/>
        <v>3</v>
      </c>
      <c r="AC464">
        <f t="shared" si="294"/>
        <v>2</v>
      </c>
      <c r="AD464" t="str">
        <f t="shared" si="325"/>
        <v/>
      </c>
      <c r="AG464" s="21" t="str">
        <f t="shared" si="303"/>
        <v/>
      </c>
      <c r="AI464" s="6" t="str">
        <f t="shared" si="304"/>
        <v/>
      </c>
      <c r="AM464" s="7" t="str">
        <f t="shared" si="305"/>
        <v/>
      </c>
      <c r="AQ464" s="8" t="str">
        <f t="shared" si="306"/>
        <v/>
      </c>
      <c r="AW464" s="25" t="str">
        <f t="shared" si="307"/>
        <v/>
      </c>
      <c r="AZ464" s="12" t="str">
        <f t="shared" si="308"/>
        <v/>
      </c>
      <c r="BI464" s="17" t="str">
        <f t="shared" si="309"/>
        <v/>
      </c>
      <c r="BM464" t="str">
        <f t="shared" si="310"/>
        <v>SPT Relationship</v>
      </c>
      <c r="BN464">
        <f t="shared" si="298"/>
        <v>101</v>
      </c>
      <c r="BO464" t="str">
        <f t="shared" si="311"/>
        <v>Wolff, 1989</v>
      </c>
      <c r="BP464">
        <f t="shared" si="295"/>
        <v>27</v>
      </c>
      <c r="BQ464" t="str">
        <f t="shared" si="312"/>
        <v/>
      </c>
      <c r="BR464" t="str">
        <f t="shared" si="326"/>
        <v/>
      </c>
      <c r="BS464" t="str">
        <f t="shared" si="313"/>
        <v/>
      </c>
      <c r="BT464" t="str">
        <f t="shared" si="296"/>
        <v/>
      </c>
      <c r="BU464" t="str">
        <f t="shared" si="314"/>
        <v/>
      </c>
      <c r="BV464" t="str">
        <f t="shared" si="327"/>
        <v/>
      </c>
      <c r="BW464" t="str">
        <f t="shared" si="315"/>
        <v/>
      </c>
      <c r="BX464" t="str">
        <f t="shared" si="328"/>
        <v/>
      </c>
      <c r="BY464" t="str">
        <f t="shared" si="316"/>
        <v/>
      </c>
      <c r="BZ464" t="str">
        <f t="shared" si="329"/>
        <v/>
      </c>
      <c r="CA464" t="str">
        <f t="shared" si="317"/>
        <v/>
      </c>
      <c r="CB464" t="str">
        <f t="shared" si="299"/>
        <v/>
      </c>
      <c r="CC464" t="str">
        <f t="shared" si="318"/>
        <v/>
      </c>
      <c r="CD464" t="str">
        <f t="shared" si="300"/>
        <v/>
      </c>
      <c r="CE464" t="str">
        <f t="shared" si="319"/>
        <v>Bowles 5th edition</v>
      </c>
      <c r="CF464">
        <f t="shared" si="301"/>
        <v>115</v>
      </c>
      <c r="CG464" t="str">
        <f t="shared" si="320"/>
        <v/>
      </c>
      <c r="CH464" t="str">
        <f t="shared" si="302"/>
        <v/>
      </c>
      <c r="CI464" t="str">
        <f t="shared" si="321"/>
        <v/>
      </c>
      <c r="CJ464" t="str">
        <f t="shared" si="330"/>
        <v/>
      </c>
    </row>
    <row r="465" spans="2:88" x14ac:dyDescent="0.3">
      <c r="B465" t="str">
        <f t="shared" si="322"/>
        <v>36.832061-76.117769</v>
      </c>
      <c r="C465" s="30" t="s">
        <v>131</v>
      </c>
      <c r="D465">
        <v>36.832061000000003</v>
      </c>
      <c r="E465">
        <v>-76.117768999999996</v>
      </c>
      <c r="F465">
        <v>5</v>
      </c>
      <c r="G465" t="str">
        <f t="shared" si="323"/>
        <v>-18-2036.832061-76.117769</v>
      </c>
      <c r="H465">
        <v>-18</v>
      </c>
      <c r="I465">
        <v>-20</v>
      </c>
      <c r="J465" s="30" t="s">
        <v>21</v>
      </c>
      <c r="L465" t="s">
        <v>8</v>
      </c>
      <c r="M465">
        <v>2</v>
      </c>
      <c r="S465" t="str">
        <f t="shared" si="297"/>
        <v>Sand</v>
      </c>
      <c r="T465">
        <f t="shared" si="324"/>
        <v>1</v>
      </c>
      <c r="AA465">
        <v>80</v>
      </c>
      <c r="AB465" s="1">
        <f t="shared" si="293"/>
        <v>3</v>
      </c>
      <c r="AC465">
        <f t="shared" si="294"/>
        <v>2</v>
      </c>
      <c r="AD465" t="str">
        <f t="shared" si="325"/>
        <v/>
      </c>
      <c r="AG465" s="21" t="str">
        <f t="shared" si="303"/>
        <v/>
      </c>
      <c r="AI465" s="6" t="str">
        <f t="shared" si="304"/>
        <v/>
      </c>
      <c r="AM465" s="7" t="str">
        <f t="shared" si="305"/>
        <v/>
      </c>
      <c r="AQ465" s="8" t="str">
        <f t="shared" si="306"/>
        <v/>
      </c>
      <c r="AW465" s="25" t="str">
        <f t="shared" si="307"/>
        <v/>
      </c>
      <c r="AZ465" s="12" t="str">
        <f t="shared" si="308"/>
        <v/>
      </c>
      <c r="BI465" s="17" t="str">
        <f t="shared" si="309"/>
        <v/>
      </c>
      <c r="BM465" t="str">
        <f t="shared" si="310"/>
        <v>SPT Relationship</v>
      </c>
      <c r="BN465">
        <f t="shared" si="298"/>
        <v>101</v>
      </c>
      <c r="BO465" t="str">
        <f t="shared" si="311"/>
        <v>Wolff, 1989</v>
      </c>
      <c r="BP465">
        <f t="shared" si="295"/>
        <v>27</v>
      </c>
      <c r="BQ465" t="str">
        <f t="shared" si="312"/>
        <v/>
      </c>
      <c r="BR465" t="str">
        <f t="shared" si="326"/>
        <v/>
      </c>
      <c r="BS465" t="str">
        <f t="shared" si="313"/>
        <v/>
      </c>
      <c r="BT465" t="str">
        <f t="shared" si="296"/>
        <v/>
      </c>
      <c r="BU465" t="str">
        <f t="shared" si="314"/>
        <v/>
      </c>
      <c r="BV465" t="str">
        <f t="shared" si="327"/>
        <v/>
      </c>
      <c r="BW465" t="str">
        <f t="shared" si="315"/>
        <v/>
      </c>
      <c r="BX465" t="str">
        <f t="shared" si="328"/>
        <v/>
      </c>
      <c r="BY465" t="str">
        <f t="shared" si="316"/>
        <v/>
      </c>
      <c r="BZ465" t="str">
        <f t="shared" si="329"/>
        <v/>
      </c>
      <c r="CA465" t="str">
        <f t="shared" si="317"/>
        <v/>
      </c>
      <c r="CB465" t="str">
        <f t="shared" si="299"/>
        <v/>
      </c>
      <c r="CC465" t="str">
        <f t="shared" si="318"/>
        <v/>
      </c>
      <c r="CD465" t="str">
        <f t="shared" si="300"/>
        <v/>
      </c>
      <c r="CE465" t="str">
        <f t="shared" si="319"/>
        <v>Bowles 5th edition</v>
      </c>
      <c r="CF465">
        <f t="shared" si="301"/>
        <v>115</v>
      </c>
      <c r="CG465" t="str">
        <f t="shared" si="320"/>
        <v/>
      </c>
      <c r="CH465" t="str">
        <f t="shared" si="302"/>
        <v/>
      </c>
      <c r="CI465" t="str">
        <f t="shared" si="321"/>
        <v/>
      </c>
      <c r="CJ465" t="str">
        <f t="shared" si="330"/>
        <v/>
      </c>
    </row>
    <row r="466" spans="2:88" x14ac:dyDescent="0.3">
      <c r="B466" t="str">
        <f t="shared" si="322"/>
        <v>36.832061-76.117769</v>
      </c>
      <c r="C466" s="30" t="s">
        <v>131</v>
      </c>
      <c r="D466">
        <v>36.832061000000003</v>
      </c>
      <c r="E466">
        <v>-76.117768999999996</v>
      </c>
      <c r="F466">
        <v>5</v>
      </c>
      <c r="G466" t="str">
        <f t="shared" si="323"/>
        <v>-23-2536.832061-76.117769</v>
      </c>
      <c r="H466">
        <v>-23</v>
      </c>
      <c r="I466">
        <v>-25</v>
      </c>
      <c r="J466" s="30" t="s">
        <v>21</v>
      </c>
      <c r="L466" t="s">
        <v>8</v>
      </c>
      <c r="M466">
        <v>2</v>
      </c>
      <c r="S466" t="str">
        <f t="shared" si="297"/>
        <v>Sand</v>
      </c>
      <c r="T466">
        <f t="shared" si="324"/>
        <v>1</v>
      </c>
      <c r="AA466">
        <v>80</v>
      </c>
      <c r="AB466" s="1">
        <f t="shared" si="293"/>
        <v>3</v>
      </c>
      <c r="AC466">
        <f t="shared" si="294"/>
        <v>2</v>
      </c>
      <c r="AD466" t="str">
        <f t="shared" si="325"/>
        <v/>
      </c>
      <c r="AG466" s="21" t="str">
        <f t="shared" si="303"/>
        <v/>
      </c>
      <c r="AI466" s="6" t="str">
        <f t="shared" si="304"/>
        <v/>
      </c>
      <c r="AM466" s="7" t="str">
        <f t="shared" si="305"/>
        <v/>
      </c>
      <c r="AQ466" s="8" t="str">
        <f t="shared" si="306"/>
        <v/>
      </c>
      <c r="AW466" s="25" t="str">
        <f t="shared" si="307"/>
        <v/>
      </c>
      <c r="AZ466" s="12" t="str">
        <f t="shared" si="308"/>
        <v/>
      </c>
      <c r="BI466" s="17" t="str">
        <f t="shared" si="309"/>
        <v/>
      </c>
      <c r="BM466" t="str">
        <f t="shared" si="310"/>
        <v>SPT Relationship</v>
      </c>
      <c r="BN466">
        <f t="shared" si="298"/>
        <v>101</v>
      </c>
      <c r="BO466" t="str">
        <f t="shared" si="311"/>
        <v>Wolff, 1989</v>
      </c>
      <c r="BP466">
        <f t="shared" si="295"/>
        <v>27</v>
      </c>
      <c r="BQ466" t="str">
        <f t="shared" si="312"/>
        <v/>
      </c>
      <c r="BR466" t="str">
        <f t="shared" si="326"/>
        <v/>
      </c>
      <c r="BS466" t="str">
        <f t="shared" si="313"/>
        <v/>
      </c>
      <c r="BT466" t="str">
        <f t="shared" si="296"/>
        <v/>
      </c>
      <c r="BU466" t="str">
        <f t="shared" si="314"/>
        <v/>
      </c>
      <c r="BV466" t="str">
        <f t="shared" si="327"/>
        <v/>
      </c>
      <c r="BW466" t="str">
        <f t="shared" si="315"/>
        <v/>
      </c>
      <c r="BX466" t="str">
        <f t="shared" si="328"/>
        <v/>
      </c>
      <c r="BY466" t="str">
        <f t="shared" si="316"/>
        <v/>
      </c>
      <c r="BZ466" t="str">
        <f t="shared" si="329"/>
        <v/>
      </c>
      <c r="CA466" t="str">
        <f t="shared" si="317"/>
        <v/>
      </c>
      <c r="CB466" t="str">
        <f t="shared" si="299"/>
        <v/>
      </c>
      <c r="CC466" t="str">
        <f t="shared" si="318"/>
        <v/>
      </c>
      <c r="CD466" t="str">
        <f t="shared" si="300"/>
        <v/>
      </c>
      <c r="CE466" t="str">
        <f t="shared" si="319"/>
        <v>Bowles 5th edition</v>
      </c>
      <c r="CF466">
        <f t="shared" si="301"/>
        <v>115</v>
      </c>
      <c r="CG466" t="str">
        <f t="shared" si="320"/>
        <v/>
      </c>
      <c r="CH466" t="str">
        <f t="shared" si="302"/>
        <v/>
      </c>
      <c r="CI466" t="str">
        <f t="shared" si="321"/>
        <v/>
      </c>
      <c r="CJ466" t="str">
        <f t="shared" si="330"/>
        <v/>
      </c>
    </row>
    <row r="467" spans="2:88" x14ac:dyDescent="0.3">
      <c r="B467" t="str">
        <f t="shared" si="322"/>
        <v>36.832196-76.116134</v>
      </c>
      <c r="C467" s="30" t="s">
        <v>132</v>
      </c>
      <c r="D467">
        <v>36.832196000000003</v>
      </c>
      <c r="E467">
        <v>-76.116134000000002</v>
      </c>
      <c r="F467">
        <v>5</v>
      </c>
      <c r="G467" t="str">
        <f t="shared" si="323"/>
        <v>5336.832196-76.116134</v>
      </c>
      <c r="H467">
        <v>5</v>
      </c>
      <c r="I467">
        <v>3</v>
      </c>
      <c r="J467" s="30" t="s">
        <v>21</v>
      </c>
      <c r="L467" t="s">
        <v>16</v>
      </c>
      <c r="M467">
        <v>20</v>
      </c>
      <c r="S467" t="str">
        <f t="shared" si="297"/>
        <v>Sand</v>
      </c>
      <c r="T467">
        <f t="shared" si="324"/>
        <v>1</v>
      </c>
      <c r="AA467">
        <v>80</v>
      </c>
      <c r="AB467" s="1">
        <f t="shared" ref="AB467:AB530" si="331">IFERROR(ROUND(M467*AA467/60,0),"")</f>
        <v>27</v>
      </c>
      <c r="AC467">
        <f t="shared" ref="AC467:AC530" si="332">IFERROR(ROUNDDOWN(((1/((((F467-I467)*110)*0.047880258888889)/100))^(0.5))*AB467,0),"")</f>
        <v>83</v>
      </c>
      <c r="AD467" t="str">
        <f t="shared" si="325"/>
        <v/>
      </c>
      <c r="AG467" s="21" t="str">
        <f t="shared" si="303"/>
        <v/>
      </c>
      <c r="AI467" s="6" t="str">
        <f t="shared" si="304"/>
        <v/>
      </c>
      <c r="AM467" s="7" t="str">
        <f t="shared" si="305"/>
        <v/>
      </c>
      <c r="AQ467" s="8" t="str">
        <f t="shared" si="306"/>
        <v/>
      </c>
      <c r="AW467" s="25" t="str">
        <f t="shared" si="307"/>
        <v/>
      </c>
      <c r="AZ467" s="12" t="str">
        <f t="shared" si="308"/>
        <v/>
      </c>
      <c r="BI467" s="17" t="str">
        <f t="shared" si="309"/>
        <v/>
      </c>
      <c r="BM467" t="str">
        <f t="shared" si="310"/>
        <v>SPT Relationship</v>
      </c>
      <c r="BN467">
        <f t="shared" si="298"/>
        <v>126</v>
      </c>
      <c r="BO467" t="str">
        <f t="shared" si="311"/>
        <v>Wolff, 1989</v>
      </c>
      <c r="BP467">
        <f t="shared" si="295"/>
        <v>48</v>
      </c>
      <c r="BQ467" t="str">
        <f t="shared" si="312"/>
        <v/>
      </c>
      <c r="BR467" t="str">
        <f t="shared" si="326"/>
        <v/>
      </c>
      <c r="BS467" t="str">
        <f t="shared" si="313"/>
        <v/>
      </c>
      <c r="BT467" t="str">
        <f t="shared" si="296"/>
        <v/>
      </c>
      <c r="BU467" t="str">
        <f t="shared" si="314"/>
        <v/>
      </c>
      <c r="BV467" t="str">
        <f t="shared" si="327"/>
        <v/>
      </c>
      <c r="BW467" t="str">
        <f t="shared" si="315"/>
        <v/>
      </c>
      <c r="BX467" t="str">
        <f t="shared" si="328"/>
        <v/>
      </c>
      <c r="BY467" t="str">
        <f t="shared" si="316"/>
        <v/>
      </c>
      <c r="BZ467" t="str">
        <f t="shared" si="329"/>
        <v/>
      </c>
      <c r="CA467" t="str">
        <f t="shared" si="317"/>
        <v/>
      </c>
      <c r="CB467" t="str">
        <f t="shared" si="299"/>
        <v/>
      </c>
      <c r="CC467" t="str">
        <f t="shared" si="318"/>
        <v/>
      </c>
      <c r="CD467" t="str">
        <f t="shared" si="300"/>
        <v/>
      </c>
      <c r="CE467" t="str">
        <f t="shared" si="319"/>
        <v>Bowles 5th edition</v>
      </c>
      <c r="CF467">
        <f t="shared" si="301"/>
        <v>269</v>
      </c>
      <c r="CG467" t="str">
        <f t="shared" si="320"/>
        <v/>
      </c>
      <c r="CH467" t="str">
        <f t="shared" si="302"/>
        <v/>
      </c>
      <c r="CI467" t="str">
        <f t="shared" si="321"/>
        <v/>
      </c>
      <c r="CJ467" t="str">
        <f t="shared" si="330"/>
        <v/>
      </c>
    </row>
    <row r="468" spans="2:88" x14ac:dyDescent="0.3">
      <c r="B468" t="str">
        <f t="shared" si="322"/>
        <v>36.832196-76.116134</v>
      </c>
      <c r="C468" s="30" t="s">
        <v>132</v>
      </c>
      <c r="D468">
        <v>36.832196000000003</v>
      </c>
      <c r="E468">
        <v>-76.116134000000002</v>
      </c>
      <c r="F468">
        <v>5</v>
      </c>
      <c r="G468" t="str">
        <f t="shared" si="323"/>
        <v>3136.832196-76.116134</v>
      </c>
      <c r="H468">
        <v>3</v>
      </c>
      <c r="I468">
        <v>1</v>
      </c>
      <c r="J468" s="30" t="s">
        <v>21</v>
      </c>
      <c r="L468" t="s">
        <v>17</v>
      </c>
      <c r="M468">
        <v>14</v>
      </c>
      <c r="S468" t="str">
        <f t="shared" si="297"/>
        <v>Sand</v>
      </c>
      <c r="T468">
        <f t="shared" si="324"/>
        <v>1</v>
      </c>
      <c r="AA468">
        <v>80</v>
      </c>
      <c r="AB468" s="1">
        <f t="shared" si="331"/>
        <v>19</v>
      </c>
      <c r="AC468">
        <f t="shared" si="332"/>
        <v>41</v>
      </c>
      <c r="AD468" t="str">
        <f t="shared" si="325"/>
        <v/>
      </c>
      <c r="AG468" s="21" t="str">
        <f t="shared" si="303"/>
        <v/>
      </c>
      <c r="AI468" s="6" t="str">
        <f t="shared" si="304"/>
        <v/>
      </c>
      <c r="AM468" s="7" t="str">
        <f t="shared" si="305"/>
        <v/>
      </c>
      <c r="AQ468" s="8" t="str">
        <f t="shared" si="306"/>
        <v/>
      </c>
      <c r="AW468" s="25" t="str">
        <f t="shared" si="307"/>
        <v/>
      </c>
      <c r="AZ468" s="12" t="str">
        <f t="shared" si="308"/>
        <v/>
      </c>
      <c r="BI468" s="17" t="str">
        <f t="shared" si="309"/>
        <v/>
      </c>
      <c r="BM468" t="str">
        <f t="shared" si="310"/>
        <v>SPT Relationship</v>
      </c>
      <c r="BN468">
        <f t="shared" si="298"/>
        <v>122</v>
      </c>
      <c r="BO468" t="str">
        <f t="shared" si="311"/>
        <v>Wolff, 1989</v>
      </c>
      <c r="BP468">
        <f t="shared" si="295"/>
        <v>38</v>
      </c>
      <c r="BQ468" t="str">
        <f t="shared" si="312"/>
        <v/>
      </c>
      <c r="BR468" t="str">
        <f t="shared" si="326"/>
        <v/>
      </c>
      <c r="BS468" t="str">
        <f t="shared" si="313"/>
        <v/>
      </c>
      <c r="BT468" t="str">
        <f t="shared" si="296"/>
        <v/>
      </c>
      <c r="BU468" t="str">
        <f t="shared" si="314"/>
        <v/>
      </c>
      <c r="BV468" t="str">
        <f t="shared" si="327"/>
        <v/>
      </c>
      <c r="BW468" t="str">
        <f t="shared" si="315"/>
        <v/>
      </c>
      <c r="BX468" t="str">
        <f t="shared" si="328"/>
        <v/>
      </c>
      <c r="BY468" t="str">
        <f t="shared" si="316"/>
        <v/>
      </c>
      <c r="BZ468" t="str">
        <f t="shared" si="329"/>
        <v/>
      </c>
      <c r="CA468" t="str">
        <f t="shared" si="317"/>
        <v/>
      </c>
      <c r="CB468" t="str">
        <f t="shared" si="299"/>
        <v/>
      </c>
      <c r="CC468" t="str">
        <f t="shared" si="318"/>
        <v/>
      </c>
      <c r="CD468" t="str">
        <f t="shared" si="300"/>
        <v/>
      </c>
      <c r="CE468" t="str">
        <f t="shared" si="319"/>
        <v>Bowles 5th edition</v>
      </c>
      <c r="CF468">
        <f t="shared" si="301"/>
        <v>218</v>
      </c>
      <c r="CG468" t="str">
        <f t="shared" si="320"/>
        <v/>
      </c>
      <c r="CH468" t="str">
        <f t="shared" si="302"/>
        <v/>
      </c>
      <c r="CI468" t="str">
        <f t="shared" si="321"/>
        <v/>
      </c>
      <c r="CJ468" t="str">
        <f t="shared" si="330"/>
        <v/>
      </c>
    </row>
    <row r="469" spans="2:88" x14ac:dyDescent="0.3">
      <c r="B469" t="str">
        <f t="shared" si="322"/>
        <v>36.832196-76.116134</v>
      </c>
      <c r="C469" s="30" t="s">
        <v>132</v>
      </c>
      <c r="D469">
        <v>36.832196000000003</v>
      </c>
      <c r="E469">
        <v>-76.116134000000002</v>
      </c>
      <c r="F469">
        <v>5</v>
      </c>
      <c r="G469" t="str">
        <f t="shared" si="323"/>
        <v>1-136.832196-76.116134</v>
      </c>
      <c r="H469">
        <v>1</v>
      </c>
      <c r="I469">
        <v>-1</v>
      </c>
      <c r="J469" s="30" t="s">
        <v>21</v>
      </c>
      <c r="L469" t="s">
        <v>16</v>
      </c>
      <c r="M469">
        <v>18</v>
      </c>
      <c r="S469" t="str">
        <f t="shared" si="297"/>
        <v>Sand</v>
      </c>
      <c r="T469">
        <f t="shared" si="324"/>
        <v>1</v>
      </c>
      <c r="AA469">
        <v>80</v>
      </c>
      <c r="AB469" s="1">
        <f t="shared" si="331"/>
        <v>24</v>
      </c>
      <c r="AC469">
        <f t="shared" si="332"/>
        <v>42</v>
      </c>
      <c r="AD469" t="str">
        <f t="shared" si="325"/>
        <v/>
      </c>
      <c r="AG469" s="21" t="str">
        <f t="shared" si="303"/>
        <v/>
      </c>
      <c r="AI469" s="6" t="str">
        <f t="shared" si="304"/>
        <v/>
      </c>
      <c r="AM469" s="7" t="str">
        <f t="shared" si="305"/>
        <v/>
      </c>
      <c r="AQ469" s="8" t="str">
        <f t="shared" si="306"/>
        <v/>
      </c>
      <c r="AW469" s="25" t="str">
        <f t="shared" si="307"/>
        <v/>
      </c>
      <c r="AZ469" s="12" t="str">
        <f t="shared" si="308"/>
        <v/>
      </c>
      <c r="BI469" s="17" t="str">
        <f t="shared" si="309"/>
        <v/>
      </c>
      <c r="BM469" t="str">
        <f t="shared" si="310"/>
        <v>SPT Relationship</v>
      </c>
      <c r="BN469">
        <f t="shared" si="298"/>
        <v>125</v>
      </c>
      <c r="BO469" t="str">
        <f t="shared" si="311"/>
        <v>Wolff, 1989</v>
      </c>
      <c r="BP469">
        <f t="shared" si="295"/>
        <v>38</v>
      </c>
      <c r="BQ469" t="str">
        <f t="shared" si="312"/>
        <v/>
      </c>
      <c r="BR469" t="str">
        <f t="shared" si="326"/>
        <v/>
      </c>
      <c r="BS469" t="str">
        <f t="shared" si="313"/>
        <v/>
      </c>
      <c r="BT469" t="str">
        <f t="shared" si="296"/>
        <v/>
      </c>
      <c r="BU469" t="str">
        <f t="shared" si="314"/>
        <v/>
      </c>
      <c r="BV469" t="str">
        <f t="shared" si="327"/>
        <v/>
      </c>
      <c r="BW469" t="str">
        <f t="shared" si="315"/>
        <v/>
      </c>
      <c r="BX469" t="str">
        <f t="shared" si="328"/>
        <v/>
      </c>
      <c r="BY469" t="str">
        <f t="shared" si="316"/>
        <v/>
      </c>
      <c r="BZ469" t="str">
        <f t="shared" si="329"/>
        <v/>
      </c>
      <c r="CA469" t="str">
        <f t="shared" si="317"/>
        <v/>
      </c>
      <c r="CB469" t="str">
        <f t="shared" si="299"/>
        <v/>
      </c>
      <c r="CC469" t="str">
        <f t="shared" si="318"/>
        <v/>
      </c>
      <c r="CD469" t="str">
        <f t="shared" si="300"/>
        <v/>
      </c>
      <c r="CE469" t="str">
        <f t="shared" si="319"/>
        <v>Bowles 5th edition</v>
      </c>
      <c r="CF469">
        <f t="shared" si="301"/>
        <v>250</v>
      </c>
      <c r="CG469" t="str">
        <f t="shared" si="320"/>
        <v/>
      </c>
      <c r="CH469" t="str">
        <f t="shared" si="302"/>
        <v/>
      </c>
      <c r="CI469" t="str">
        <f t="shared" si="321"/>
        <v/>
      </c>
      <c r="CJ469" t="str">
        <f t="shared" si="330"/>
        <v/>
      </c>
    </row>
    <row r="470" spans="2:88" x14ac:dyDescent="0.3">
      <c r="B470" t="str">
        <f t="shared" si="322"/>
        <v>36.832196-76.116134</v>
      </c>
      <c r="C470" s="30" t="s">
        <v>132</v>
      </c>
      <c r="D470">
        <v>36.832196000000003</v>
      </c>
      <c r="E470">
        <v>-76.116134000000002</v>
      </c>
      <c r="F470">
        <v>5</v>
      </c>
      <c r="G470" t="str">
        <f t="shared" si="323"/>
        <v>-1-336.832196-76.116134</v>
      </c>
      <c r="H470">
        <v>-1</v>
      </c>
      <c r="I470">
        <v>-3</v>
      </c>
      <c r="J470" s="30" t="s">
        <v>21</v>
      </c>
      <c r="L470" t="s">
        <v>16</v>
      </c>
      <c r="M470">
        <v>18</v>
      </c>
      <c r="S470" t="str">
        <f t="shared" si="297"/>
        <v>Sand</v>
      </c>
      <c r="T470">
        <f t="shared" si="324"/>
        <v>1</v>
      </c>
      <c r="AA470">
        <v>80</v>
      </c>
      <c r="AB470" s="1">
        <f t="shared" si="331"/>
        <v>24</v>
      </c>
      <c r="AC470">
        <f t="shared" si="332"/>
        <v>36</v>
      </c>
      <c r="AD470" t="str">
        <f t="shared" si="325"/>
        <v/>
      </c>
      <c r="AG470" s="21" t="str">
        <f t="shared" si="303"/>
        <v/>
      </c>
      <c r="AI470" s="6" t="str">
        <f t="shared" si="304"/>
        <v/>
      </c>
      <c r="AM470" s="7" t="str">
        <f t="shared" si="305"/>
        <v/>
      </c>
      <c r="AQ470" s="8" t="str">
        <f t="shared" si="306"/>
        <v/>
      </c>
      <c r="AW470" s="25" t="str">
        <f t="shared" si="307"/>
        <v/>
      </c>
      <c r="AZ470" s="12" t="str">
        <f t="shared" si="308"/>
        <v/>
      </c>
      <c r="BI470" s="17" t="str">
        <f t="shared" si="309"/>
        <v/>
      </c>
      <c r="BM470" t="str">
        <f t="shared" si="310"/>
        <v>SPT Relationship</v>
      </c>
      <c r="BN470">
        <f t="shared" si="298"/>
        <v>125</v>
      </c>
      <c r="BO470" t="str">
        <f t="shared" si="311"/>
        <v>Wolff, 1989</v>
      </c>
      <c r="BP470">
        <f t="shared" si="295"/>
        <v>37</v>
      </c>
      <c r="BQ470" t="str">
        <f t="shared" si="312"/>
        <v/>
      </c>
      <c r="BR470" t="str">
        <f t="shared" si="326"/>
        <v/>
      </c>
      <c r="BS470" t="str">
        <f t="shared" si="313"/>
        <v/>
      </c>
      <c r="BT470" t="str">
        <f t="shared" si="296"/>
        <v/>
      </c>
      <c r="BU470" t="str">
        <f t="shared" si="314"/>
        <v/>
      </c>
      <c r="BV470" t="str">
        <f t="shared" si="327"/>
        <v/>
      </c>
      <c r="BW470" t="str">
        <f t="shared" si="315"/>
        <v/>
      </c>
      <c r="BX470" t="str">
        <f t="shared" si="328"/>
        <v/>
      </c>
      <c r="BY470" t="str">
        <f t="shared" si="316"/>
        <v/>
      </c>
      <c r="BZ470" t="str">
        <f t="shared" si="329"/>
        <v/>
      </c>
      <c r="CA470" t="str">
        <f t="shared" si="317"/>
        <v/>
      </c>
      <c r="CB470" t="str">
        <f t="shared" si="299"/>
        <v/>
      </c>
      <c r="CC470" t="str">
        <f t="shared" si="318"/>
        <v/>
      </c>
      <c r="CD470" t="str">
        <f t="shared" si="300"/>
        <v/>
      </c>
      <c r="CE470" t="str">
        <f t="shared" si="319"/>
        <v>Bowles 5th edition</v>
      </c>
      <c r="CF470">
        <f t="shared" si="301"/>
        <v>250</v>
      </c>
      <c r="CG470" t="str">
        <f t="shared" si="320"/>
        <v/>
      </c>
      <c r="CH470" t="str">
        <f t="shared" si="302"/>
        <v/>
      </c>
      <c r="CI470" t="str">
        <f t="shared" si="321"/>
        <v/>
      </c>
      <c r="CJ470" t="str">
        <f t="shared" si="330"/>
        <v/>
      </c>
    </row>
    <row r="471" spans="2:88" x14ac:dyDescent="0.3">
      <c r="B471" t="str">
        <f t="shared" si="322"/>
        <v>36.832196-76.116134</v>
      </c>
      <c r="C471" s="30" t="s">
        <v>132</v>
      </c>
      <c r="D471">
        <v>36.832196000000003</v>
      </c>
      <c r="E471">
        <v>-76.116134000000002</v>
      </c>
      <c r="F471">
        <v>5</v>
      </c>
      <c r="G471" t="str">
        <f t="shared" si="323"/>
        <v>-3-536.832196-76.116134</v>
      </c>
      <c r="H471">
        <v>-3</v>
      </c>
      <c r="I471">
        <v>-5</v>
      </c>
      <c r="J471" s="30" t="s">
        <v>21</v>
      </c>
      <c r="L471" t="s">
        <v>16</v>
      </c>
      <c r="M471">
        <v>15</v>
      </c>
      <c r="S471" t="str">
        <f t="shared" si="297"/>
        <v>Sand</v>
      </c>
      <c r="T471">
        <f t="shared" si="324"/>
        <v>1</v>
      </c>
      <c r="AA471">
        <v>80</v>
      </c>
      <c r="AB471" s="1">
        <f t="shared" si="331"/>
        <v>20</v>
      </c>
      <c r="AC471">
        <f t="shared" si="332"/>
        <v>27</v>
      </c>
      <c r="AD471" t="str">
        <f t="shared" si="325"/>
        <v/>
      </c>
      <c r="AG471" s="21" t="str">
        <f t="shared" si="303"/>
        <v/>
      </c>
      <c r="AI471" s="6" t="str">
        <f t="shared" si="304"/>
        <v/>
      </c>
      <c r="AM471" s="7" t="str">
        <f t="shared" si="305"/>
        <v/>
      </c>
      <c r="AQ471" s="8" t="str">
        <f t="shared" si="306"/>
        <v/>
      </c>
      <c r="AW471" s="25" t="str">
        <f t="shared" si="307"/>
        <v/>
      </c>
      <c r="AZ471" s="12" t="str">
        <f t="shared" si="308"/>
        <v/>
      </c>
      <c r="BI471" s="17" t="str">
        <f t="shared" si="309"/>
        <v/>
      </c>
      <c r="BM471" t="str">
        <f t="shared" si="310"/>
        <v>SPT Relationship</v>
      </c>
      <c r="BN471">
        <f t="shared" si="298"/>
        <v>123</v>
      </c>
      <c r="BO471" t="str">
        <f t="shared" si="311"/>
        <v>Wolff, 1989</v>
      </c>
      <c r="BP471">
        <f t="shared" si="295"/>
        <v>34</v>
      </c>
      <c r="BQ471" t="str">
        <f t="shared" si="312"/>
        <v/>
      </c>
      <c r="BR471" t="str">
        <f t="shared" si="326"/>
        <v/>
      </c>
      <c r="BS471" t="str">
        <f t="shared" si="313"/>
        <v/>
      </c>
      <c r="BT471" t="str">
        <f t="shared" si="296"/>
        <v/>
      </c>
      <c r="BU471" t="str">
        <f t="shared" si="314"/>
        <v/>
      </c>
      <c r="BV471" t="str">
        <f t="shared" si="327"/>
        <v/>
      </c>
      <c r="BW471" t="str">
        <f t="shared" si="315"/>
        <v/>
      </c>
      <c r="BX471" t="str">
        <f t="shared" si="328"/>
        <v/>
      </c>
      <c r="BY471" t="str">
        <f t="shared" si="316"/>
        <v/>
      </c>
      <c r="BZ471" t="str">
        <f t="shared" si="329"/>
        <v/>
      </c>
      <c r="CA471" t="str">
        <f t="shared" si="317"/>
        <v/>
      </c>
      <c r="CB471" t="str">
        <f t="shared" si="299"/>
        <v/>
      </c>
      <c r="CC471" t="str">
        <f t="shared" si="318"/>
        <v/>
      </c>
      <c r="CD471" t="str">
        <f t="shared" si="300"/>
        <v/>
      </c>
      <c r="CE471" t="str">
        <f t="shared" si="319"/>
        <v>Bowles 5th edition</v>
      </c>
      <c r="CF471">
        <f t="shared" si="301"/>
        <v>224</v>
      </c>
      <c r="CG471" t="str">
        <f t="shared" si="320"/>
        <v/>
      </c>
      <c r="CH471" t="str">
        <f t="shared" si="302"/>
        <v/>
      </c>
      <c r="CI471" t="str">
        <f t="shared" si="321"/>
        <v/>
      </c>
      <c r="CJ471" t="str">
        <f t="shared" si="330"/>
        <v/>
      </c>
    </row>
    <row r="472" spans="2:88" x14ac:dyDescent="0.3">
      <c r="B472" t="str">
        <f t="shared" si="322"/>
        <v>36.832196-76.116134</v>
      </c>
      <c r="C472" s="30" t="s">
        <v>132</v>
      </c>
      <c r="D472">
        <v>36.832196000000003</v>
      </c>
      <c r="E472">
        <v>-76.116134000000002</v>
      </c>
      <c r="F472">
        <v>5</v>
      </c>
      <c r="G472" t="str">
        <f t="shared" si="323"/>
        <v>-5-736.832196-76.116134</v>
      </c>
      <c r="H472">
        <v>-5</v>
      </c>
      <c r="I472">
        <v>-7</v>
      </c>
      <c r="J472" s="30" t="s">
        <v>21</v>
      </c>
      <c r="L472" t="s">
        <v>16</v>
      </c>
      <c r="M472">
        <v>19</v>
      </c>
      <c r="S472" t="str">
        <f t="shared" si="297"/>
        <v>Sand</v>
      </c>
      <c r="T472">
        <f t="shared" si="324"/>
        <v>1</v>
      </c>
      <c r="AA472">
        <v>80</v>
      </c>
      <c r="AB472" s="1">
        <f t="shared" si="331"/>
        <v>25</v>
      </c>
      <c r="AC472">
        <f t="shared" si="332"/>
        <v>31</v>
      </c>
      <c r="AD472" t="str">
        <f t="shared" si="325"/>
        <v/>
      </c>
      <c r="AG472" s="21" t="str">
        <f t="shared" si="303"/>
        <v/>
      </c>
      <c r="AI472" s="6" t="str">
        <f t="shared" si="304"/>
        <v/>
      </c>
      <c r="AM472" s="7" t="str">
        <f t="shared" si="305"/>
        <v/>
      </c>
      <c r="AQ472" s="8" t="str">
        <f t="shared" si="306"/>
        <v/>
      </c>
      <c r="AW472" s="25" t="str">
        <f t="shared" si="307"/>
        <v/>
      </c>
      <c r="AZ472" s="12" t="str">
        <f t="shared" si="308"/>
        <v/>
      </c>
      <c r="BI472" s="17" t="str">
        <f t="shared" si="309"/>
        <v/>
      </c>
      <c r="BM472" t="str">
        <f t="shared" si="310"/>
        <v>SPT Relationship</v>
      </c>
      <c r="BN472">
        <f t="shared" si="298"/>
        <v>126</v>
      </c>
      <c r="BO472" t="str">
        <f t="shared" si="311"/>
        <v>Wolff, 1989</v>
      </c>
      <c r="BP472">
        <f t="shared" si="295"/>
        <v>35</v>
      </c>
      <c r="BQ472" t="str">
        <f t="shared" si="312"/>
        <v/>
      </c>
      <c r="BR472" t="str">
        <f t="shared" si="326"/>
        <v/>
      </c>
      <c r="BS472" t="str">
        <f t="shared" si="313"/>
        <v/>
      </c>
      <c r="BT472" t="str">
        <f t="shared" si="296"/>
        <v/>
      </c>
      <c r="BU472" t="str">
        <f t="shared" si="314"/>
        <v/>
      </c>
      <c r="BV472" t="str">
        <f t="shared" si="327"/>
        <v/>
      </c>
      <c r="BW472" t="str">
        <f t="shared" si="315"/>
        <v/>
      </c>
      <c r="BX472" t="str">
        <f t="shared" si="328"/>
        <v/>
      </c>
      <c r="BY472" t="str">
        <f t="shared" si="316"/>
        <v/>
      </c>
      <c r="BZ472" t="str">
        <f t="shared" si="329"/>
        <v/>
      </c>
      <c r="CA472" t="str">
        <f t="shared" si="317"/>
        <v/>
      </c>
      <c r="CB472" t="str">
        <f t="shared" si="299"/>
        <v/>
      </c>
      <c r="CC472" t="str">
        <f t="shared" si="318"/>
        <v/>
      </c>
      <c r="CD472" t="str">
        <f t="shared" si="300"/>
        <v/>
      </c>
      <c r="CE472" t="str">
        <f t="shared" si="319"/>
        <v>Bowles 5th edition</v>
      </c>
      <c r="CF472">
        <f t="shared" si="301"/>
        <v>256</v>
      </c>
      <c r="CG472" t="str">
        <f t="shared" si="320"/>
        <v/>
      </c>
      <c r="CH472" t="str">
        <f t="shared" si="302"/>
        <v/>
      </c>
      <c r="CI472" t="str">
        <f t="shared" si="321"/>
        <v/>
      </c>
      <c r="CJ472" t="str">
        <f t="shared" si="330"/>
        <v/>
      </c>
    </row>
    <row r="473" spans="2:88" x14ac:dyDescent="0.3">
      <c r="B473" t="str">
        <f t="shared" si="322"/>
        <v>36.832196-76.116134</v>
      </c>
      <c r="C473" s="30" t="s">
        <v>132</v>
      </c>
      <c r="D473">
        <v>36.832196000000003</v>
      </c>
      <c r="E473">
        <v>-76.116134000000002</v>
      </c>
      <c r="F473">
        <v>5</v>
      </c>
      <c r="G473" t="str">
        <f t="shared" si="323"/>
        <v>-8-1036.832196-76.116134</v>
      </c>
      <c r="H473">
        <v>-8</v>
      </c>
      <c r="I473">
        <v>-10</v>
      </c>
      <c r="J473" s="30" t="s">
        <v>21</v>
      </c>
      <c r="L473" t="s">
        <v>16</v>
      </c>
      <c r="M473">
        <v>26</v>
      </c>
      <c r="S473" t="str">
        <f t="shared" si="297"/>
        <v>Sand</v>
      </c>
      <c r="T473">
        <f t="shared" si="324"/>
        <v>1</v>
      </c>
      <c r="AA473">
        <v>80</v>
      </c>
      <c r="AB473" s="1">
        <f t="shared" si="331"/>
        <v>35</v>
      </c>
      <c r="AC473">
        <f t="shared" si="332"/>
        <v>39</v>
      </c>
      <c r="AD473" t="str">
        <f t="shared" si="325"/>
        <v/>
      </c>
      <c r="AG473" s="21" t="str">
        <f t="shared" si="303"/>
        <v/>
      </c>
      <c r="AI473" s="6" t="str">
        <f t="shared" si="304"/>
        <v/>
      </c>
      <c r="AM473" s="7" t="str">
        <f t="shared" si="305"/>
        <v/>
      </c>
      <c r="AQ473" s="8" t="str">
        <f t="shared" si="306"/>
        <v/>
      </c>
      <c r="AW473" s="25" t="str">
        <f t="shared" si="307"/>
        <v/>
      </c>
      <c r="AZ473" s="12" t="str">
        <f t="shared" si="308"/>
        <v/>
      </c>
      <c r="BI473" s="17" t="str">
        <f t="shared" si="309"/>
        <v/>
      </c>
      <c r="BM473" t="str">
        <f t="shared" si="310"/>
        <v>SPT Relationship</v>
      </c>
      <c r="BN473">
        <f t="shared" si="298"/>
        <v>129</v>
      </c>
      <c r="BO473" t="str">
        <f t="shared" si="311"/>
        <v>Wolff, 1989</v>
      </c>
      <c r="BP473">
        <f t="shared" si="295"/>
        <v>37</v>
      </c>
      <c r="BQ473" t="str">
        <f t="shared" si="312"/>
        <v/>
      </c>
      <c r="BR473" t="str">
        <f t="shared" si="326"/>
        <v/>
      </c>
      <c r="BS473" t="str">
        <f t="shared" si="313"/>
        <v/>
      </c>
      <c r="BT473" t="str">
        <f t="shared" si="296"/>
        <v/>
      </c>
      <c r="BU473" t="str">
        <f t="shared" si="314"/>
        <v/>
      </c>
      <c r="BV473" t="str">
        <f t="shared" si="327"/>
        <v/>
      </c>
      <c r="BW473" t="str">
        <f t="shared" si="315"/>
        <v/>
      </c>
      <c r="BX473" t="str">
        <f t="shared" si="328"/>
        <v/>
      </c>
      <c r="BY473" t="str">
        <f t="shared" si="316"/>
        <v/>
      </c>
      <c r="BZ473" t="str">
        <f t="shared" si="329"/>
        <v/>
      </c>
      <c r="CA473" t="str">
        <f t="shared" si="317"/>
        <v/>
      </c>
      <c r="CB473" t="str">
        <f t="shared" si="299"/>
        <v/>
      </c>
      <c r="CC473" t="str">
        <f t="shared" si="318"/>
        <v/>
      </c>
      <c r="CD473" t="str">
        <f t="shared" si="300"/>
        <v/>
      </c>
      <c r="CE473" t="str">
        <f t="shared" si="319"/>
        <v>Bowles 5th edition</v>
      </c>
      <c r="CF473">
        <f t="shared" si="301"/>
        <v>320</v>
      </c>
      <c r="CG473" t="str">
        <f t="shared" si="320"/>
        <v/>
      </c>
      <c r="CH473" t="str">
        <f t="shared" si="302"/>
        <v/>
      </c>
      <c r="CI473" t="str">
        <f t="shared" si="321"/>
        <v/>
      </c>
      <c r="CJ473" t="str">
        <f t="shared" si="330"/>
        <v/>
      </c>
    </row>
    <row r="474" spans="2:88" x14ac:dyDescent="0.3">
      <c r="B474" t="str">
        <f t="shared" si="322"/>
        <v>36.832196-76.116134</v>
      </c>
      <c r="C474" s="30" t="s">
        <v>132</v>
      </c>
      <c r="D474">
        <v>36.832196000000003</v>
      </c>
      <c r="E474">
        <v>-76.116134000000002</v>
      </c>
      <c r="F474">
        <v>5</v>
      </c>
      <c r="G474" t="str">
        <f t="shared" si="323"/>
        <v>-13-1536.832196-76.116134</v>
      </c>
      <c r="H474">
        <v>-13</v>
      </c>
      <c r="I474">
        <v>-15</v>
      </c>
      <c r="J474" s="30" t="s">
        <v>21</v>
      </c>
      <c r="L474" t="s">
        <v>16</v>
      </c>
      <c r="M474">
        <v>4</v>
      </c>
      <c r="S474" t="str">
        <f t="shared" si="297"/>
        <v>Sand</v>
      </c>
      <c r="T474">
        <f t="shared" si="324"/>
        <v>1</v>
      </c>
      <c r="AA474">
        <v>80</v>
      </c>
      <c r="AB474" s="1">
        <f t="shared" si="331"/>
        <v>5</v>
      </c>
      <c r="AC474">
        <f t="shared" si="332"/>
        <v>4</v>
      </c>
      <c r="AD474" t="str">
        <f t="shared" si="325"/>
        <v/>
      </c>
      <c r="AG474" s="21" t="str">
        <f t="shared" si="303"/>
        <v/>
      </c>
      <c r="AI474" s="6" t="str">
        <f t="shared" si="304"/>
        <v/>
      </c>
      <c r="AM474" s="7" t="str">
        <f t="shared" si="305"/>
        <v/>
      </c>
      <c r="AQ474" s="8" t="str">
        <f t="shared" si="306"/>
        <v/>
      </c>
      <c r="AW474" s="25" t="str">
        <f t="shared" si="307"/>
        <v/>
      </c>
      <c r="AZ474" s="12" t="str">
        <f t="shared" si="308"/>
        <v/>
      </c>
      <c r="BI474" s="17" t="str">
        <f t="shared" si="309"/>
        <v/>
      </c>
      <c r="BM474" t="str">
        <f t="shared" si="310"/>
        <v>SPT Relationship</v>
      </c>
      <c r="BN474">
        <f t="shared" si="298"/>
        <v>108</v>
      </c>
      <c r="BO474" t="str">
        <f t="shared" si="311"/>
        <v>Wolff, 1989</v>
      </c>
      <c r="BP474">
        <f t="shared" si="295"/>
        <v>28</v>
      </c>
      <c r="BQ474" t="str">
        <f t="shared" si="312"/>
        <v/>
      </c>
      <c r="BR474" t="str">
        <f t="shared" si="326"/>
        <v/>
      </c>
      <c r="BS474" t="str">
        <f t="shared" si="313"/>
        <v/>
      </c>
      <c r="BT474" t="str">
        <f t="shared" si="296"/>
        <v/>
      </c>
      <c r="BU474" t="str">
        <f t="shared" si="314"/>
        <v/>
      </c>
      <c r="BV474" t="str">
        <f t="shared" si="327"/>
        <v/>
      </c>
      <c r="BW474" t="str">
        <f t="shared" si="315"/>
        <v/>
      </c>
      <c r="BX474" t="str">
        <f t="shared" si="328"/>
        <v/>
      </c>
      <c r="BY474" t="str">
        <f t="shared" si="316"/>
        <v/>
      </c>
      <c r="BZ474" t="str">
        <f t="shared" si="329"/>
        <v/>
      </c>
      <c r="CA474" t="str">
        <f t="shared" si="317"/>
        <v/>
      </c>
      <c r="CB474" t="str">
        <f t="shared" si="299"/>
        <v/>
      </c>
      <c r="CC474" t="str">
        <f t="shared" si="318"/>
        <v/>
      </c>
      <c r="CD474" t="str">
        <f t="shared" si="300"/>
        <v/>
      </c>
      <c r="CE474" t="str">
        <f t="shared" si="319"/>
        <v>Bowles 5th edition</v>
      </c>
      <c r="CF474">
        <f t="shared" si="301"/>
        <v>128</v>
      </c>
      <c r="CG474" t="str">
        <f t="shared" si="320"/>
        <v/>
      </c>
      <c r="CH474" t="str">
        <f t="shared" si="302"/>
        <v/>
      </c>
      <c r="CI474" t="str">
        <f t="shared" si="321"/>
        <v/>
      </c>
      <c r="CJ474" t="str">
        <f t="shared" si="330"/>
        <v/>
      </c>
    </row>
    <row r="475" spans="2:88" x14ac:dyDescent="0.3">
      <c r="B475" t="str">
        <f t="shared" si="322"/>
        <v>36.832196-76.116134</v>
      </c>
      <c r="C475" s="30" t="s">
        <v>132</v>
      </c>
      <c r="D475">
        <v>36.832196000000003</v>
      </c>
      <c r="E475">
        <v>-76.116134000000002</v>
      </c>
      <c r="F475">
        <v>5</v>
      </c>
      <c r="G475" t="str">
        <f t="shared" si="323"/>
        <v>-18-2036.832196-76.116134</v>
      </c>
      <c r="H475">
        <v>-18</v>
      </c>
      <c r="I475">
        <v>-20</v>
      </c>
      <c r="J475" s="30" t="s">
        <v>21</v>
      </c>
      <c r="L475" t="s">
        <v>16</v>
      </c>
      <c r="M475">
        <v>13</v>
      </c>
      <c r="S475" t="str">
        <f t="shared" si="297"/>
        <v>Sand</v>
      </c>
      <c r="T475">
        <f t="shared" si="324"/>
        <v>1</v>
      </c>
      <c r="AA475">
        <v>80</v>
      </c>
      <c r="AB475" s="1">
        <f t="shared" si="331"/>
        <v>17</v>
      </c>
      <c r="AC475">
        <f t="shared" si="332"/>
        <v>14</v>
      </c>
      <c r="AD475" t="str">
        <f t="shared" si="325"/>
        <v/>
      </c>
      <c r="AG475" s="21" t="str">
        <f t="shared" si="303"/>
        <v/>
      </c>
      <c r="AI475" s="6" t="str">
        <f t="shared" si="304"/>
        <v/>
      </c>
      <c r="AM475" s="7" t="str">
        <f t="shared" si="305"/>
        <v/>
      </c>
      <c r="AQ475" s="8" t="str">
        <f t="shared" si="306"/>
        <v/>
      </c>
      <c r="AW475" s="25" t="str">
        <f t="shared" si="307"/>
        <v/>
      </c>
      <c r="AZ475" s="12" t="str">
        <f t="shared" si="308"/>
        <v/>
      </c>
      <c r="BI475" s="17" t="str">
        <f t="shared" si="309"/>
        <v/>
      </c>
      <c r="BM475" t="str">
        <f t="shared" si="310"/>
        <v>SPT Relationship</v>
      </c>
      <c r="BN475">
        <f t="shared" si="298"/>
        <v>121</v>
      </c>
      <c r="BO475" t="str">
        <f t="shared" si="311"/>
        <v>Wolff, 1989</v>
      </c>
      <c r="BP475">
        <f t="shared" si="295"/>
        <v>31</v>
      </c>
      <c r="BQ475" t="str">
        <f t="shared" si="312"/>
        <v/>
      </c>
      <c r="BR475" t="str">
        <f t="shared" si="326"/>
        <v/>
      </c>
      <c r="BS475" t="str">
        <f t="shared" si="313"/>
        <v/>
      </c>
      <c r="BT475" t="str">
        <f t="shared" si="296"/>
        <v/>
      </c>
      <c r="BU475" t="str">
        <f t="shared" si="314"/>
        <v/>
      </c>
      <c r="BV475" t="str">
        <f t="shared" si="327"/>
        <v/>
      </c>
      <c r="BW475" t="str">
        <f t="shared" si="315"/>
        <v/>
      </c>
      <c r="BX475" t="str">
        <f t="shared" si="328"/>
        <v/>
      </c>
      <c r="BY475" t="str">
        <f t="shared" si="316"/>
        <v/>
      </c>
      <c r="BZ475" t="str">
        <f t="shared" si="329"/>
        <v/>
      </c>
      <c r="CA475" t="str">
        <f t="shared" si="317"/>
        <v/>
      </c>
      <c r="CB475" t="str">
        <f t="shared" si="299"/>
        <v/>
      </c>
      <c r="CC475" t="str">
        <f t="shared" si="318"/>
        <v/>
      </c>
      <c r="CD475" t="str">
        <f t="shared" si="300"/>
        <v/>
      </c>
      <c r="CE475" t="str">
        <f t="shared" si="319"/>
        <v>Bowles 5th edition</v>
      </c>
      <c r="CF475">
        <f t="shared" si="301"/>
        <v>205</v>
      </c>
      <c r="CG475" t="str">
        <f t="shared" si="320"/>
        <v/>
      </c>
      <c r="CH475" t="str">
        <f t="shared" si="302"/>
        <v/>
      </c>
      <c r="CI475" t="str">
        <f t="shared" si="321"/>
        <v/>
      </c>
      <c r="CJ475" t="str">
        <f t="shared" si="330"/>
        <v/>
      </c>
    </row>
    <row r="476" spans="2:88" x14ac:dyDescent="0.3">
      <c r="B476" t="str">
        <f t="shared" si="322"/>
        <v>36.832196-76.116134</v>
      </c>
      <c r="C476" s="30" t="s">
        <v>132</v>
      </c>
      <c r="D476">
        <v>36.832196000000003</v>
      </c>
      <c r="E476">
        <v>-76.116134000000002</v>
      </c>
      <c r="F476">
        <v>5</v>
      </c>
      <c r="G476" t="str">
        <f t="shared" si="323"/>
        <v>-23-2536.832196-76.116134</v>
      </c>
      <c r="H476">
        <v>-23</v>
      </c>
      <c r="I476">
        <v>-25</v>
      </c>
      <c r="J476" s="30" t="s">
        <v>21</v>
      </c>
      <c r="L476" t="s">
        <v>16</v>
      </c>
      <c r="M476">
        <v>8</v>
      </c>
      <c r="S476" t="str">
        <f t="shared" si="297"/>
        <v>Sand</v>
      </c>
      <c r="T476">
        <f t="shared" si="324"/>
        <v>1</v>
      </c>
      <c r="AA476">
        <v>80</v>
      </c>
      <c r="AB476" s="1">
        <f t="shared" si="331"/>
        <v>11</v>
      </c>
      <c r="AC476">
        <f t="shared" si="332"/>
        <v>8</v>
      </c>
      <c r="AD476" t="str">
        <f t="shared" si="325"/>
        <v/>
      </c>
      <c r="AG476" s="21" t="str">
        <f t="shared" si="303"/>
        <v/>
      </c>
      <c r="AI476" s="6" t="str">
        <f t="shared" si="304"/>
        <v/>
      </c>
      <c r="AM476" s="7" t="str">
        <f t="shared" si="305"/>
        <v/>
      </c>
      <c r="AQ476" s="8" t="str">
        <f t="shared" si="306"/>
        <v/>
      </c>
      <c r="AW476" s="25" t="str">
        <f t="shared" si="307"/>
        <v/>
      </c>
      <c r="AZ476" s="12" t="str">
        <f t="shared" si="308"/>
        <v/>
      </c>
      <c r="BI476" s="17" t="str">
        <f t="shared" si="309"/>
        <v/>
      </c>
      <c r="BM476" t="str">
        <f t="shared" si="310"/>
        <v>SPT Relationship</v>
      </c>
      <c r="BN476">
        <f t="shared" si="298"/>
        <v>116</v>
      </c>
      <c r="BO476" t="str">
        <f t="shared" si="311"/>
        <v>Wolff, 1989</v>
      </c>
      <c r="BP476">
        <f t="shared" si="295"/>
        <v>29</v>
      </c>
      <c r="BQ476" t="str">
        <f t="shared" si="312"/>
        <v/>
      </c>
      <c r="BR476" t="str">
        <f t="shared" si="326"/>
        <v/>
      </c>
      <c r="BS476" t="str">
        <f t="shared" si="313"/>
        <v/>
      </c>
      <c r="BT476" t="str">
        <f t="shared" si="296"/>
        <v/>
      </c>
      <c r="BU476" t="str">
        <f t="shared" si="314"/>
        <v/>
      </c>
      <c r="BV476" t="str">
        <f t="shared" si="327"/>
        <v/>
      </c>
      <c r="BW476" t="str">
        <f t="shared" si="315"/>
        <v/>
      </c>
      <c r="BX476" t="str">
        <f t="shared" si="328"/>
        <v/>
      </c>
      <c r="BY476" t="str">
        <f t="shared" si="316"/>
        <v/>
      </c>
      <c r="BZ476" t="str">
        <f t="shared" si="329"/>
        <v/>
      </c>
      <c r="CA476" t="str">
        <f t="shared" si="317"/>
        <v/>
      </c>
      <c r="CB476" t="str">
        <f t="shared" si="299"/>
        <v/>
      </c>
      <c r="CC476" t="str">
        <f t="shared" si="318"/>
        <v/>
      </c>
      <c r="CD476" t="str">
        <f t="shared" si="300"/>
        <v/>
      </c>
      <c r="CE476" t="str">
        <f t="shared" si="319"/>
        <v>Bowles 5th edition</v>
      </c>
      <c r="CF476">
        <f t="shared" si="301"/>
        <v>166</v>
      </c>
      <c r="CG476" t="str">
        <f t="shared" si="320"/>
        <v/>
      </c>
      <c r="CH476" t="str">
        <f t="shared" si="302"/>
        <v/>
      </c>
      <c r="CI476" t="str">
        <f t="shared" si="321"/>
        <v/>
      </c>
      <c r="CJ476" t="str">
        <f t="shared" si="330"/>
        <v/>
      </c>
    </row>
    <row r="477" spans="2:88" x14ac:dyDescent="0.3">
      <c r="B477" t="str">
        <f t="shared" si="322"/>
        <v>36.825397-76.074689</v>
      </c>
      <c r="C477" s="30" t="s">
        <v>133</v>
      </c>
      <c r="D477">
        <v>36.825397000000002</v>
      </c>
      <c r="E477">
        <v>-76.074689000000006</v>
      </c>
      <c r="F477">
        <v>5</v>
      </c>
      <c r="G477" t="str">
        <f t="shared" si="323"/>
        <v>5336.825397-76.074689</v>
      </c>
      <c r="H477">
        <v>5</v>
      </c>
      <c r="I477">
        <v>3</v>
      </c>
      <c r="J477" s="30" t="s">
        <v>21</v>
      </c>
      <c r="L477" t="s">
        <v>17</v>
      </c>
      <c r="M477">
        <v>8</v>
      </c>
      <c r="S477" t="str">
        <f t="shared" si="297"/>
        <v>Sand</v>
      </c>
      <c r="T477">
        <f t="shared" si="324"/>
        <v>1</v>
      </c>
      <c r="AA477">
        <v>80</v>
      </c>
      <c r="AB477" s="1">
        <f t="shared" si="331"/>
        <v>11</v>
      </c>
      <c r="AC477">
        <f t="shared" si="332"/>
        <v>33</v>
      </c>
      <c r="AD477" t="str">
        <f t="shared" si="325"/>
        <v/>
      </c>
      <c r="AG477" s="21" t="str">
        <f t="shared" si="303"/>
        <v/>
      </c>
      <c r="AI477" s="6" t="str">
        <f t="shared" si="304"/>
        <v/>
      </c>
      <c r="AM477" s="7" t="str">
        <f t="shared" si="305"/>
        <v/>
      </c>
      <c r="AQ477" s="8" t="str">
        <f t="shared" si="306"/>
        <v/>
      </c>
      <c r="AW477" s="25" t="str">
        <f t="shared" si="307"/>
        <v/>
      </c>
      <c r="AZ477" s="12" t="str">
        <f t="shared" si="308"/>
        <v/>
      </c>
      <c r="BI477" s="17" t="str">
        <f t="shared" si="309"/>
        <v/>
      </c>
      <c r="BM477" t="str">
        <f t="shared" si="310"/>
        <v>SPT Relationship</v>
      </c>
      <c r="BN477">
        <f t="shared" si="298"/>
        <v>116</v>
      </c>
      <c r="BO477" t="str">
        <f t="shared" si="311"/>
        <v>Wolff, 1989</v>
      </c>
      <c r="BP477">
        <f t="shared" si="295"/>
        <v>36</v>
      </c>
      <c r="BQ477" t="str">
        <f t="shared" si="312"/>
        <v/>
      </c>
      <c r="BR477" t="str">
        <f t="shared" si="326"/>
        <v/>
      </c>
      <c r="BS477" t="str">
        <f t="shared" si="313"/>
        <v/>
      </c>
      <c r="BT477" t="str">
        <f t="shared" si="296"/>
        <v/>
      </c>
      <c r="BU477" t="str">
        <f t="shared" si="314"/>
        <v/>
      </c>
      <c r="BV477" t="str">
        <f t="shared" si="327"/>
        <v/>
      </c>
      <c r="BW477" t="str">
        <f t="shared" si="315"/>
        <v/>
      </c>
      <c r="BX477" t="str">
        <f t="shared" si="328"/>
        <v/>
      </c>
      <c r="BY477" t="str">
        <f t="shared" si="316"/>
        <v/>
      </c>
      <c r="BZ477" t="str">
        <f t="shared" si="329"/>
        <v/>
      </c>
      <c r="CA477" t="str">
        <f t="shared" si="317"/>
        <v/>
      </c>
      <c r="CB477" t="str">
        <f t="shared" si="299"/>
        <v/>
      </c>
      <c r="CC477" t="str">
        <f t="shared" si="318"/>
        <v/>
      </c>
      <c r="CD477" t="str">
        <f t="shared" si="300"/>
        <v/>
      </c>
      <c r="CE477" t="str">
        <f t="shared" si="319"/>
        <v>Bowles 5th edition</v>
      </c>
      <c r="CF477">
        <f t="shared" si="301"/>
        <v>166</v>
      </c>
      <c r="CG477" t="str">
        <f t="shared" si="320"/>
        <v/>
      </c>
      <c r="CH477" t="str">
        <f t="shared" si="302"/>
        <v/>
      </c>
      <c r="CI477" t="str">
        <f t="shared" si="321"/>
        <v/>
      </c>
      <c r="CJ477" t="str">
        <f t="shared" si="330"/>
        <v/>
      </c>
    </row>
    <row r="478" spans="2:88" x14ac:dyDescent="0.3">
      <c r="B478" t="str">
        <f t="shared" si="322"/>
        <v>36.825397-76.074689</v>
      </c>
      <c r="C478" s="30" t="s">
        <v>133</v>
      </c>
      <c r="D478">
        <v>36.825397000000002</v>
      </c>
      <c r="E478">
        <v>-76.074689000000006</v>
      </c>
      <c r="F478">
        <v>5</v>
      </c>
      <c r="G478" t="str">
        <f t="shared" si="323"/>
        <v>3136.825397-76.074689</v>
      </c>
      <c r="H478">
        <v>3</v>
      </c>
      <c r="I478">
        <v>1</v>
      </c>
      <c r="J478" s="30" t="s">
        <v>21</v>
      </c>
      <c r="L478" t="s">
        <v>17</v>
      </c>
      <c r="M478">
        <v>5</v>
      </c>
      <c r="S478" t="str">
        <f t="shared" si="297"/>
        <v>Sand</v>
      </c>
      <c r="T478">
        <f t="shared" si="324"/>
        <v>1</v>
      </c>
      <c r="AA478">
        <v>80</v>
      </c>
      <c r="AB478" s="1">
        <f t="shared" si="331"/>
        <v>7</v>
      </c>
      <c r="AC478">
        <f t="shared" si="332"/>
        <v>15</v>
      </c>
      <c r="AD478" t="str">
        <f t="shared" si="325"/>
        <v/>
      </c>
      <c r="AG478" s="21" t="str">
        <f t="shared" si="303"/>
        <v/>
      </c>
      <c r="AI478" s="6" t="str">
        <f t="shared" si="304"/>
        <v/>
      </c>
      <c r="AM478" s="7" t="str">
        <f t="shared" si="305"/>
        <v/>
      </c>
      <c r="AQ478" s="8" t="str">
        <f t="shared" si="306"/>
        <v/>
      </c>
      <c r="AW478" s="25" t="str">
        <f t="shared" si="307"/>
        <v/>
      </c>
      <c r="AZ478" s="12" t="str">
        <f t="shared" si="308"/>
        <v/>
      </c>
      <c r="BI478" s="17" t="str">
        <f t="shared" si="309"/>
        <v/>
      </c>
      <c r="BM478" t="str">
        <f t="shared" si="310"/>
        <v>SPT Relationship</v>
      </c>
      <c r="BN478">
        <f t="shared" si="298"/>
        <v>111</v>
      </c>
      <c r="BO478" t="str">
        <f t="shared" si="311"/>
        <v>Wolff, 1989</v>
      </c>
      <c r="BP478">
        <f t="shared" si="295"/>
        <v>31</v>
      </c>
      <c r="BQ478" t="str">
        <f t="shared" si="312"/>
        <v/>
      </c>
      <c r="BR478" t="str">
        <f t="shared" si="326"/>
        <v/>
      </c>
      <c r="BS478" t="str">
        <f t="shared" si="313"/>
        <v/>
      </c>
      <c r="BT478" t="str">
        <f t="shared" si="296"/>
        <v/>
      </c>
      <c r="BU478" t="str">
        <f t="shared" si="314"/>
        <v/>
      </c>
      <c r="BV478" t="str">
        <f t="shared" si="327"/>
        <v/>
      </c>
      <c r="BW478" t="str">
        <f t="shared" si="315"/>
        <v/>
      </c>
      <c r="BX478" t="str">
        <f t="shared" si="328"/>
        <v/>
      </c>
      <c r="BY478" t="str">
        <f t="shared" si="316"/>
        <v/>
      </c>
      <c r="BZ478" t="str">
        <f t="shared" si="329"/>
        <v/>
      </c>
      <c r="CA478" t="str">
        <f t="shared" si="317"/>
        <v/>
      </c>
      <c r="CB478" t="str">
        <f t="shared" si="299"/>
        <v/>
      </c>
      <c r="CC478" t="str">
        <f t="shared" si="318"/>
        <v/>
      </c>
      <c r="CD478" t="str">
        <f t="shared" si="300"/>
        <v/>
      </c>
      <c r="CE478" t="str">
        <f t="shared" si="319"/>
        <v>Bowles 5th edition</v>
      </c>
      <c r="CF478">
        <f t="shared" si="301"/>
        <v>141</v>
      </c>
      <c r="CG478" t="str">
        <f t="shared" si="320"/>
        <v/>
      </c>
      <c r="CH478" t="str">
        <f t="shared" si="302"/>
        <v/>
      </c>
      <c r="CI478" t="str">
        <f t="shared" si="321"/>
        <v/>
      </c>
      <c r="CJ478" t="str">
        <f t="shared" si="330"/>
        <v/>
      </c>
    </row>
    <row r="479" spans="2:88" x14ac:dyDescent="0.3">
      <c r="B479" t="str">
        <f t="shared" si="322"/>
        <v>36.825397-76.074689</v>
      </c>
      <c r="C479" s="30" t="s">
        <v>133</v>
      </c>
      <c r="D479">
        <v>36.825397000000002</v>
      </c>
      <c r="E479">
        <v>-76.074689000000006</v>
      </c>
      <c r="F479">
        <v>5</v>
      </c>
      <c r="G479" t="str">
        <f t="shared" si="323"/>
        <v>1-136.825397-76.074689</v>
      </c>
      <c r="H479">
        <v>1</v>
      </c>
      <c r="I479">
        <v>-1</v>
      </c>
      <c r="J479" s="30" t="s">
        <v>21</v>
      </c>
      <c r="L479" t="s">
        <v>17</v>
      </c>
      <c r="M479">
        <v>8</v>
      </c>
      <c r="S479" t="str">
        <f t="shared" si="297"/>
        <v>Sand</v>
      </c>
      <c r="T479">
        <f t="shared" si="324"/>
        <v>1</v>
      </c>
      <c r="AA479">
        <v>80</v>
      </c>
      <c r="AB479" s="1">
        <f t="shared" si="331"/>
        <v>11</v>
      </c>
      <c r="AC479">
        <f t="shared" si="332"/>
        <v>19</v>
      </c>
      <c r="AD479" t="str">
        <f t="shared" si="325"/>
        <v/>
      </c>
      <c r="AG479" s="21" t="str">
        <f t="shared" si="303"/>
        <v/>
      </c>
      <c r="AI479" s="6" t="str">
        <f t="shared" si="304"/>
        <v/>
      </c>
      <c r="AM479" s="7" t="str">
        <f t="shared" si="305"/>
        <v/>
      </c>
      <c r="AQ479" s="8" t="str">
        <f t="shared" si="306"/>
        <v/>
      </c>
      <c r="AW479" s="25" t="str">
        <f t="shared" si="307"/>
        <v/>
      </c>
      <c r="AZ479" s="12" t="str">
        <f t="shared" si="308"/>
        <v/>
      </c>
      <c r="BI479" s="17" t="str">
        <f t="shared" si="309"/>
        <v/>
      </c>
      <c r="BM479" t="str">
        <f t="shared" si="310"/>
        <v>SPT Relationship</v>
      </c>
      <c r="BN479">
        <f t="shared" si="298"/>
        <v>116</v>
      </c>
      <c r="BO479" t="str">
        <f t="shared" si="311"/>
        <v>Wolff, 1989</v>
      </c>
      <c r="BP479">
        <f t="shared" si="295"/>
        <v>32</v>
      </c>
      <c r="BQ479" t="str">
        <f t="shared" si="312"/>
        <v/>
      </c>
      <c r="BR479" t="str">
        <f t="shared" si="326"/>
        <v/>
      </c>
      <c r="BS479" t="str">
        <f t="shared" si="313"/>
        <v/>
      </c>
      <c r="BT479" t="str">
        <f t="shared" si="296"/>
        <v/>
      </c>
      <c r="BU479" t="str">
        <f t="shared" si="314"/>
        <v/>
      </c>
      <c r="BV479" t="str">
        <f t="shared" si="327"/>
        <v/>
      </c>
      <c r="BW479" t="str">
        <f t="shared" si="315"/>
        <v/>
      </c>
      <c r="BX479" t="str">
        <f t="shared" si="328"/>
        <v/>
      </c>
      <c r="BY479" t="str">
        <f t="shared" si="316"/>
        <v/>
      </c>
      <c r="BZ479" t="str">
        <f t="shared" si="329"/>
        <v/>
      </c>
      <c r="CA479" t="str">
        <f t="shared" si="317"/>
        <v/>
      </c>
      <c r="CB479" t="str">
        <f t="shared" si="299"/>
        <v/>
      </c>
      <c r="CC479" t="str">
        <f t="shared" si="318"/>
        <v/>
      </c>
      <c r="CD479" t="str">
        <f t="shared" si="300"/>
        <v/>
      </c>
      <c r="CE479" t="str">
        <f t="shared" si="319"/>
        <v>Bowles 5th edition</v>
      </c>
      <c r="CF479">
        <f t="shared" si="301"/>
        <v>166</v>
      </c>
      <c r="CG479" t="str">
        <f t="shared" si="320"/>
        <v/>
      </c>
      <c r="CH479" t="str">
        <f t="shared" si="302"/>
        <v/>
      </c>
      <c r="CI479" t="str">
        <f t="shared" si="321"/>
        <v/>
      </c>
      <c r="CJ479" t="str">
        <f t="shared" si="330"/>
        <v/>
      </c>
    </row>
    <row r="480" spans="2:88" x14ac:dyDescent="0.3">
      <c r="B480" t="str">
        <f t="shared" si="322"/>
        <v>36.824856-76.074802</v>
      </c>
      <c r="C480" s="30" t="s">
        <v>134</v>
      </c>
      <c r="D480">
        <v>36.824855999999997</v>
      </c>
      <c r="E480">
        <v>-76.074802000000005</v>
      </c>
      <c r="F480">
        <v>5</v>
      </c>
      <c r="G480" t="str">
        <f t="shared" si="323"/>
        <v>5336.824856-76.074802</v>
      </c>
      <c r="H480">
        <v>5</v>
      </c>
      <c r="I480">
        <v>3</v>
      </c>
      <c r="J480" s="30" t="s">
        <v>21</v>
      </c>
      <c r="L480" t="s">
        <v>11</v>
      </c>
      <c r="M480">
        <v>6</v>
      </c>
      <c r="S480" t="str">
        <f t="shared" si="297"/>
        <v>Clay</v>
      </c>
      <c r="T480">
        <f t="shared" si="324"/>
        <v>1</v>
      </c>
      <c r="AA480">
        <v>80</v>
      </c>
      <c r="AB480" s="1">
        <f t="shared" si="331"/>
        <v>8</v>
      </c>
      <c r="AC480">
        <f t="shared" si="332"/>
        <v>24</v>
      </c>
      <c r="AD480" t="str">
        <f t="shared" si="325"/>
        <v/>
      </c>
      <c r="AG480" s="21" t="str">
        <f t="shared" si="303"/>
        <v/>
      </c>
      <c r="AI480" s="6" t="str">
        <f t="shared" si="304"/>
        <v/>
      </c>
      <c r="AM480" s="7" t="str">
        <f t="shared" si="305"/>
        <v/>
      </c>
      <c r="AQ480" s="8" t="str">
        <f t="shared" si="306"/>
        <v/>
      </c>
      <c r="AW480" s="25" t="str">
        <f t="shared" si="307"/>
        <v/>
      </c>
      <c r="AZ480" s="12" t="str">
        <f t="shared" si="308"/>
        <v/>
      </c>
      <c r="BI480" s="17" t="str">
        <f t="shared" si="309"/>
        <v/>
      </c>
      <c r="BM480" t="str">
        <f t="shared" si="310"/>
        <v>SPT Relationship</v>
      </c>
      <c r="BN480">
        <f t="shared" si="298"/>
        <v>113</v>
      </c>
      <c r="BO480" t="str">
        <f t="shared" si="311"/>
        <v>Wolff, 1989</v>
      </c>
      <c r="BP480">
        <f t="shared" si="295"/>
        <v>33</v>
      </c>
      <c r="BQ480" t="str">
        <f t="shared" si="312"/>
        <v/>
      </c>
      <c r="BR480" t="str">
        <f t="shared" si="326"/>
        <v/>
      </c>
      <c r="BS480" t="str">
        <f t="shared" si="313"/>
        <v>Stroud 1974 (K=3.5)</v>
      </c>
      <c r="BT480">
        <f t="shared" si="296"/>
        <v>585</v>
      </c>
      <c r="BU480" t="str">
        <f t="shared" si="314"/>
        <v/>
      </c>
      <c r="BV480" t="str">
        <f t="shared" si="327"/>
        <v/>
      </c>
      <c r="BW480" t="str">
        <f t="shared" si="315"/>
        <v/>
      </c>
      <c r="BX480" t="str">
        <f t="shared" si="328"/>
        <v/>
      </c>
      <c r="BY480" t="str">
        <f t="shared" si="316"/>
        <v/>
      </c>
      <c r="BZ480" t="str">
        <f t="shared" si="329"/>
        <v/>
      </c>
      <c r="CA480" t="str">
        <f t="shared" si="317"/>
        <v/>
      </c>
      <c r="CB480" t="str">
        <f t="shared" si="299"/>
        <v/>
      </c>
      <c r="CC480" t="str">
        <f t="shared" si="318"/>
        <v/>
      </c>
      <c r="CD480" t="str">
        <f t="shared" si="300"/>
        <v/>
      </c>
      <c r="CE480" t="str">
        <f t="shared" si="319"/>
        <v/>
      </c>
      <c r="CF480" t="str">
        <f t="shared" si="301"/>
        <v/>
      </c>
      <c r="CG480" t="str">
        <f t="shared" si="320"/>
        <v/>
      </c>
      <c r="CH480" t="str">
        <f t="shared" si="302"/>
        <v/>
      </c>
      <c r="CI480" t="str">
        <f t="shared" si="321"/>
        <v/>
      </c>
      <c r="CJ480" t="str">
        <f t="shared" si="330"/>
        <v/>
      </c>
    </row>
    <row r="481" spans="2:88" x14ac:dyDescent="0.3">
      <c r="B481" t="str">
        <f t="shared" si="322"/>
        <v>36.824856-76.074802</v>
      </c>
      <c r="C481" s="30" t="s">
        <v>134</v>
      </c>
      <c r="D481">
        <v>36.824855999999997</v>
      </c>
      <c r="E481">
        <v>-76.074802000000005</v>
      </c>
      <c r="F481">
        <v>5</v>
      </c>
      <c r="G481" t="str">
        <f t="shared" si="323"/>
        <v>3136.824856-76.074802</v>
      </c>
      <c r="H481">
        <v>3</v>
      </c>
      <c r="I481">
        <v>1</v>
      </c>
      <c r="J481" s="30" t="s">
        <v>21</v>
      </c>
      <c r="L481" t="s">
        <v>11</v>
      </c>
      <c r="M481">
        <v>14</v>
      </c>
      <c r="S481" t="str">
        <f t="shared" si="297"/>
        <v>Clay</v>
      </c>
      <c r="T481">
        <f t="shared" si="324"/>
        <v>1</v>
      </c>
      <c r="AA481">
        <v>80</v>
      </c>
      <c r="AB481" s="1">
        <f t="shared" si="331"/>
        <v>19</v>
      </c>
      <c r="AC481">
        <f t="shared" si="332"/>
        <v>41</v>
      </c>
      <c r="AD481" t="str">
        <f t="shared" si="325"/>
        <v/>
      </c>
      <c r="AG481" s="21" t="str">
        <f t="shared" si="303"/>
        <v/>
      </c>
      <c r="AI481" s="6" t="str">
        <f t="shared" si="304"/>
        <v/>
      </c>
      <c r="AM481" s="7" t="str">
        <f t="shared" si="305"/>
        <v/>
      </c>
      <c r="AQ481" s="8" t="str">
        <f t="shared" si="306"/>
        <v/>
      </c>
      <c r="AW481" s="25" t="str">
        <f t="shared" si="307"/>
        <v/>
      </c>
      <c r="AZ481" s="12" t="str">
        <f t="shared" si="308"/>
        <v/>
      </c>
      <c r="BI481" s="17" t="str">
        <f t="shared" si="309"/>
        <v/>
      </c>
      <c r="BM481" t="str">
        <f t="shared" si="310"/>
        <v>SPT Relationship</v>
      </c>
      <c r="BN481">
        <f t="shared" si="298"/>
        <v>122</v>
      </c>
      <c r="BO481" t="str">
        <f t="shared" si="311"/>
        <v>Wolff, 1989</v>
      </c>
      <c r="BP481">
        <f t="shared" si="295"/>
        <v>38</v>
      </c>
      <c r="BQ481" t="str">
        <f t="shared" si="312"/>
        <v/>
      </c>
      <c r="BR481" t="str">
        <f t="shared" si="326"/>
        <v/>
      </c>
      <c r="BS481" t="str">
        <f t="shared" si="313"/>
        <v>Stroud 1974 (K=3.5)</v>
      </c>
      <c r="BT481">
        <f t="shared" si="296"/>
        <v>1389</v>
      </c>
      <c r="BU481" t="str">
        <f t="shared" si="314"/>
        <v/>
      </c>
      <c r="BV481" t="str">
        <f t="shared" si="327"/>
        <v/>
      </c>
      <c r="BW481" t="str">
        <f t="shared" si="315"/>
        <v/>
      </c>
      <c r="BX481" t="str">
        <f t="shared" si="328"/>
        <v/>
      </c>
      <c r="BY481" t="str">
        <f t="shared" si="316"/>
        <v/>
      </c>
      <c r="BZ481" t="str">
        <f t="shared" si="329"/>
        <v/>
      </c>
      <c r="CA481" t="str">
        <f t="shared" si="317"/>
        <v/>
      </c>
      <c r="CB481" t="str">
        <f t="shared" si="299"/>
        <v/>
      </c>
      <c r="CC481" t="str">
        <f t="shared" si="318"/>
        <v/>
      </c>
      <c r="CD481" t="str">
        <f t="shared" si="300"/>
        <v/>
      </c>
      <c r="CE481" t="str">
        <f t="shared" si="319"/>
        <v/>
      </c>
      <c r="CF481" t="str">
        <f t="shared" si="301"/>
        <v/>
      </c>
      <c r="CG481" t="str">
        <f t="shared" si="320"/>
        <v/>
      </c>
      <c r="CH481" t="str">
        <f t="shared" si="302"/>
        <v/>
      </c>
      <c r="CI481" t="str">
        <f t="shared" si="321"/>
        <v/>
      </c>
      <c r="CJ481" t="str">
        <f t="shared" si="330"/>
        <v/>
      </c>
    </row>
    <row r="482" spans="2:88" x14ac:dyDescent="0.3">
      <c r="B482" t="str">
        <f t="shared" si="322"/>
        <v>36.824856-76.074802</v>
      </c>
      <c r="C482" s="30" t="s">
        <v>134</v>
      </c>
      <c r="D482">
        <v>36.824855999999997</v>
      </c>
      <c r="E482">
        <v>-76.074802000000005</v>
      </c>
      <c r="F482">
        <v>5</v>
      </c>
      <c r="G482" t="str">
        <f t="shared" si="323"/>
        <v>1-136.824856-76.074802</v>
      </c>
      <c r="H482">
        <v>1</v>
      </c>
      <c r="I482">
        <v>-1</v>
      </c>
      <c r="J482" s="30" t="s">
        <v>21</v>
      </c>
      <c r="L482" t="s">
        <v>10</v>
      </c>
      <c r="M482">
        <v>17</v>
      </c>
      <c r="S482" t="str">
        <f t="shared" si="297"/>
        <v>Sand</v>
      </c>
      <c r="T482">
        <f t="shared" si="324"/>
        <v>1</v>
      </c>
      <c r="AA482">
        <v>80</v>
      </c>
      <c r="AB482" s="1">
        <f t="shared" si="331"/>
        <v>23</v>
      </c>
      <c r="AC482">
        <f t="shared" si="332"/>
        <v>40</v>
      </c>
      <c r="AD482" t="str">
        <f t="shared" si="325"/>
        <v/>
      </c>
      <c r="AG482" s="21" t="str">
        <f t="shared" si="303"/>
        <v/>
      </c>
      <c r="AI482" s="6" t="str">
        <f t="shared" si="304"/>
        <v/>
      </c>
      <c r="AM482" s="7" t="str">
        <f t="shared" si="305"/>
        <v/>
      </c>
      <c r="AQ482" s="8" t="str">
        <f t="shared" si="306"/>
        <v/>
      </c>
      <c r="AW482" s="25" t="str">
        <f t="shared" si="307"/>
        <v/>
      </c>
      <c r="AZ482" s="12" t="str">
        <f t="shared" si="308"/>
        <v/>
      </c>
      <c r="BI482" s="17" t="str">
        <f t="shared" si="309"/>
        <v/>
      </c>
      <c r="BM482" t="str">
        <f t="shared" si="310"/>
        <v>SPT Relationship</v>
      </c>
      <c r="BN482">
        <f t="shared" si="298"/>
        <v>124</v>
      </c>
      <c r="BO482" t="str">
        <f t="shared" si="311"/>
        <v>Wolff, 1989</v>
      </c>
      <c r="BP482">
        <f t="shared" si="295"/>
        <v>38</v>
      </c>
      <c r="BQ482" t="str">
        <f t="shared" si="312"/>
        <v/>
      </c>
      <c r="BR482" t="str">
        <f t="shared" si="326"/>
        <v/>
      </c>
      <c r="BS482" t="str">
        <f t="shared" si="313"/>
        <v/>
      </c>
      <c r="BT482" t="str">
        <f t="shared" si="296"/>
        <v/>
      </c>
      <c r="BU482" t="str">
        <f t="shared" si="314"/>
        <v/>
      </c>
      <c r="BV482" t="str">
        <f t="shared" si="327"/>
        <v/>
      </c>
      <c r="BW482" t="str">
        <f t="shared" si="315"/>
        <v/>
      </c>
      <c r="BX482" t="str">
        <f t="shared" si="328"/>
        <v/>
      </c>
      <c r="BY482" t="str">
        <f t="shared" si="316"/>
        <v/>
      </c>
      <c r="BZ482" t="str">
        <f t="shared" si="329"/>
        <v/>
      </c>
      <c r="CA482" t="str">
        <f t="shared" si="317"/>
        <v/>
      </c>
      <c r="CB482" t="str">
        <f t="shared" si="299"/>
        <v/>
      </c>
      <c r="CC482" t="str">
        <f t="shared" si="318"/>
        <v/>
      </c>
      <c r="CD482" t="str">
        <f t="shared" si="300"/>
        <v/>
      </c>
      <c r="CE482" t="str">
        <f t="shared" si="319"/>
        <v>Bowles 5th edition</v>
      </c>
      <c r="CF482">
        <f t="shared" si="301"/>
        <v>243</v>
      </c>
      <c r="CG482" t="str">
        <f t="shared" si="320"/>
        <v/>
      </c>
      <c r="CH482" t="str">
        <f t="shared" si="302"/>
        <v/>
      </c>
      <c r="CI482" t="str">
        <f t="shared" si="321"/>
        <v/>
      </c>
      <c r="CJ482" t="str">
        <f t="shared" si="330"/>
        <v/>
      </c>
    </row>
    <row r="483" spans="2:88" x14ac:dyDescent="0.3">
      <c r="B483" t="str">
        <f t="shared" si="322"/>
        <v>36.824379-76.074991</v>
      </c>
      <c r="C483" s="30" t="s">
        <v>135</v>
      </c>
      <c r="D483">
        <v>36.824379</v>
      </c>
      <c r="E483">
        <v>-76.074990999999997</v>
      </c>
      <c r="F483">
        <v>5</v>
      </c>
      <c r="G483" t="str">
        <f t="shared" si="323"/>
        <v>5336.824379-76.074991</v>
      </c>
      <c r="H483">
        <v>5</v>
      </c>
      <c r="I483">
        <v>3</v>
      </c>
      <c r="J483" s="30" t="s">
        <v>21</v>
      </c>
      <c r="L483" t="s">
        <v>17</v>
      </c>
      <c r="M483">
        <v>10</v>
      </c>
      <c r="S483" t="str">
        <f t="shared" si="297"/>
        <v>Sand</v>
      </c>
      <c r="T483">
        <f t="shared" si="324"/>
        <v>1</v>
      </c>
      <c r="AA483">
        <v>80</v>
      </c>
      <c r="AB483" s="1">
        <f t="shared" si="331"/>
        <v>13</v>
      </c>
      <c r="AC483">
        <f t="shared" si="332"/>
        <v>40</v>
      </c>
      <c r="AD483" t="str">
        <f t="shared" si="325"/>
        <v/>
      </c>
      <c r="AG483" s="21" t="str">
        <f t="shared" si="303"/>
        <v/>
      </c>
      <c r="AI483" s="6" t="str">
        <f t="shared" si="304"/>
        <v/>
      </c>
      <c r="AM483" s="7" t="str">
        <f t="shared" si="305"/>
        <v/>
      </c>
      <c r="AQ483" s="8" t="str">
        <f t="shared" si="306"/>
        <v/>
      </c>
      <c r="AW483" s="25" t="str">
        <f t="shared" si="307"/>
        <v/>
      </c>
      <c r="AZ483" s="12" t="str">
        <f t="shared" si="308"/>
        <v/>
      </c>
      <c r="BI483" s="17" t="str">
        <f t="shared" si="309"/>
        <v/>
      </c>
      <c r="BM483" t="str">
        <f t="shared" si="310"/>
        <v>SPT Relationship</v>
      </c>
      <c r="BN483">
        <f t="shared" si="298"/>
        <v>118</v>
      </c>
      <c r="BO483" t="str">
        <f t="shared" si="311"/>
        <v>Wolff, 1989</v>
      </c>
      <c r="BP483">
        <f t="shared" si="295"/>
        <v>38</v>
      </c>
      <c r="BQ483" t="str">
        <f t="shared" si="312"/>
        <v/>
      </c>
      <c r="BR483" t="str">
        <f t="shared" si="326"/>
        <v/>
      </c>
      <c r="BS483" t="str">
        <f t="shared" si="313"/>
        <v/>
      </c>
      <c r="BT483" t="str">
        <f t="shared" si="296"/>
        <v/>
      </c>
      <c r="BU483" t="str">
        <f t="shared" si="314"/>
        <v/>
      </c>
      <c r="BV483" t="str">
        <f t="shared" si="327"/>
        <v/>
      </c>
      <c r="BW483" t="str">
        <f t="shared" si="315"/>
        <v/>
      </c>
      <c r="BX483" t="str">
        <f t="shared" si="328"/>
        <v/>
      </c>
      <c r="BY483" t="str">
        <f t="shared" si="316"/>
        <v/>
      </c>
      <c r="BZ483" t="str">
        <f t="shared" si="329"/>
        <v/>
      </c>
      <c r="CA483" t="str">
        <f t="shared" si="317"/>
        <v/>
      </c>
      <c r="CB483" t="str">
        <f t="shared" si="299"/>
        <v/>
      </c>
      <c r="CC483" t="str">
        <f t="shared" si="318"/>
        <v/>
      </c>
      <c r="CD483" t="str">
        <f t="shared" si="300"/>
        <v/>
      </c>
      <c r="CE483" t="str">
        <f t="shared" si="319"/>
        <v>Bowles 5th edition</v>
      </c>
      <c r="CF483">
        <f t="shared" si="301"/>
        <v>179</v>
      </c>
      <c r="CG483" t="str">
        <f t="shared" si="320"/>
        <v/>
      </c>
      <c r="CH483" t="str">
        <f t="shared" si="302"/>
        <v/>
      </c>
      <c r="CI483" t="str">
        <f t="shared" si="321"/>
        <v/>
      </c>
      <c r="CJ483" t="str">
        <f t="shared" si="330"/>
        <v/>
      </c>
    </row>
    <row r="484" spans="2:88" x14ac:dyDescent="0.3">
      <c r="B484" t="str">
        <f t="shared" si="322"/>
        <v>36.824379-76.074991</v>
      </c>
      <c r="C484" s="30" t="s">
        <v>135</v>
      </c>
      <c r="D484">
        <v>36.824379</v>
      </c>
      <c r="E484">
        <v>-76.074990999999997</v>
      </c>
      <c r="F484">
        <v>5</v>
      </c>
      <c r="G484" t="str">
        <f t="shared" si="323"/>
        <v>3136.824379-76.074991</v>
      </c>
      <c r="H484">
        <v>3</v>
      </c>
      <c r="I484">
        <v>1</v>
      </c>
      <c r="J484" s="30" t="s">
        <v>21</v>
      </c>
      <c r="L484" t="s">
        <v>113</v>
      </c>
      <c r="M484">
        <v>11</v>
      </c>
      <c r="S484" t="str">
        <f t="shared" si="297"/>
        <v>Clay</v>
      </c>
      <c r="T484">
        <f t="shared" si="324"/>
        <v>1</v>
      </c>
      <c r="AA484">
        <v>80</v>
      </c>
      <c r="AB484" s="1">
        <f t="shared" si="331"/>
        <v>15</v>
      </c>
      <c r="AC484">
        <f t="shared" si="332"/>
        <v>32</v>
      </c>
      <c r="AD484" t="str">
        <f t="shared" si="325"/>
        <v/>
      </c>
      <c r="AG484" s="21" t="str">
        <f t="shared" si="303"/>
        <v/>
      </c>
      <c r="AI484" s="6" t="str">
        <f t="shared" si="304"/>
        <v/>
      </c>
      <c r="AM484" s="7" t="str">
        <f t="shared" si="305"/>
        <v/>
      </c>
      <c r="AQ484" s="8" t="str">
        <f t="shared" si="306"/>
        <v/>
      </c>
      <c r="AW484" s="25" t="str">
        <f t="shared" si="307"/>
        <v/>
      </c>
      <c r="AZ484" s="12" t="str">
        <f t="shared" si="308"/>
        <v/>
      </c>
      <c r="BI484" s="17" t="str">
        <f t="shared" si="309"/>
        <v/>
      </c>
      <c r="BM484" t="str">
        <f t="shared" si="310"/>
        <v>SPT Relationship</v>
      </c>
      <c r="BN484">
        <f t="shared" si="298"/>
        <v>119</v>
      </c>
      <c r="BO484" t="str">
        <f t="shared" si="311"/>
        <v>Wolff, 1989</v>
      </c>
      <c r="BP484">
        <f t="shared" ref="BP484:BP547" si="333">IFERROR(ROUNDDOWN(27.1+0.3*AC484-0.00054*AC484^2,0),"")</f>
        <v>36</v>
      </c>
      <c r="BQ484" t="str">
        <f t="shared" si="312"/>
        <v/>
      </c>
      <c r="BR484" t="str">
        <f t="shared" si="326"/>
        <v/>
      </c>
      <c r="BS484" t="str">
        <f t="shared" si="313"/>
        <v>Stroud 1974 (K=3.5)</v>
      </c>
      <c r="BT484">
        <f t="shared" ref="BT484:BT547" si="334">IFERROR(IF(S484="Clay",ROUND((3.5*AB484)*20.885434273039,0),""),"")</f>
        <v>1096</v>
      </c>
      <c r="BU484" t="str">
        <f t="shared" si="314"/>
        <v/>
      </c>
      <c r="BV484" t="str">
        <f t="shared" si="327"/>
        <v/>
      </c>
      <c r="BW484" t="str">
        <f t="shared" si="315"/>
        <v/>
      </c>
      <c r="BX484" t="str">
        <f t="shared" si="328"/>
        <v/>
      </c>
      <c r="BY484" t="str">
        <f t="shared" si="316"/>
        <v/>
      </c>
      <c r="BZ484" t="str">
        <f t="shared" si="329"/>
        <v/>
      </c>
      <c r="CA484" t="str">
        <f t="shared" si="317"/>
        <v/>
      </c>
      <c r="CB484" t="str">
        <f t="shared" si="299"/>
        <v/>
      </c>
      <c r="CC484" t="str">
        <f t="shared" si="318"/>
        <v/>
      </c>
      <c r="CD484" t="str">
        <f t="shared" si="300"/>
        <v/>
      </c>
      <c r="CE484" t="str">
        <f t="shared" si="319"/>
        <v/>
      </c>
      <c r="CF484" t="str">
        <f t="shared" si="301"/>
        <v/>
      </c>
      <c r="CG484" t="str">
        <f t="shared" si="320"/>
        <v/>
      </c>
      <c r="CH484" t="str">
        <f t="shared" si="302"/>
        <v/>
      </c>
      <c r="CI484" t="str">
        <f t="shared" si="321"/>
        <v/>
      </c>
      <c r="CJ484" t="str">
        <f t="shared" si="330"/>
        <v/>
      </c>
    </row>
    <row r="485" spans="2:88" x14ac:dyDescent="0.3">
      <c r="B485" t="str">
        <f t="shared" si="322"/>
        <v>36.824379-76.074991</v>
      </c>
      <c r="C485" s="30" t="s">
        <v>135</v>
      </c>
      <c r="D485">
        <v>36.824379</v>
      </c>
      <c r="E485">
        <v>-76.074990999999997</v>
      </c>
      <c r="F485">
        <v>5</v>
      </c>
      <c r="G485" t="str">
        <f t="shared" si="323"/>
        <v>1-136.824379-76.074991</v>
      </c>
      <c r="H485">
        <v>1</v>
      </c>
      <c r="I485">
        <v>-1</v>
      </c>
      <c r="J485" s="30" t="s">
        <v>21</v>
      </c>
      <c r="L485" t="s">
        <v>113</v>
      </c>
      <c r="M485">
        <v>13</v>
      </c>
      <c r="S485" t="str">
        <f t="shared" si="297"/>
        <v>Clay</v>
      </c>
      <c r="T485">
        <f t="shared" si="324"/>
        <v>1</v>
      </c>
      <c r="AA485">
        <v>80</v>
      </c>
      <c r="AB485" s="1">
        <f t="shared" si="331"/>
        <v>17</v>
      </c>
      <c r="AC485">
        <f t="shared" si="332"/>
        <v>30</v>
      </c>
      <c r="AD485" t="str">
        <f t="shared" si="325"/>
        <v/>
      </c>
      <c r="AG485" s="21" t="str">
        <f t="shared" si="303"/>
        <v/>
      </c>
      <c r="AI485" s="6" t="str">
        <f t="shared" si="304"/>
        <v/>
      </c>
      <c r="AM485" s="7" t="str">
        <f t="shared" si="305"/>
        <v/>
      </c>
      <c r="AQ485" s="8" t="str">
        <f t="shared" si="306"/>
        <v/>
      </c>
      <c r="AW485" s="25" t="str">
        <f t="shared" si="307"/>
        <v/>
      </c>
      <c r="AZ485" s="12" t="str">
        <f t="shared" si="308"/>
        <v/>
      </c>
      <c r="BI485" s="17" t="str">
        <f t="shared" si="309"/>
        <v/>
      </c>
      <c r="BM485" t="str">
        <f t="shared" si="310"/>
        <v>SPT Relationship</v>
      </c>
      <c r="BN485">
        <f t="shared" si="298"/>
        <v>121</v>
      </c>
      <c r="BO485" t="str">
        <f t="shared" si="311"/>
        <v>Wolff, 1989</v>
      </c>
      <c r="BP485">
        <f t="shared" si="333"/>
        <v>35</v>
      </c>
      <c r="BQ485" t="str">
        <f t="shared" si="312"/>
        <v/>
      </c>
      <c r="BR485" t="str">
        <f t="shared" si="326"/>
        <v/>
      </c>
      <c r="BS485" t="str">
        <f t="shared" si="313"/>
        <v>Stroud 1974 (K=3.5)</v>
      </c>
      <c r="BT485">
        <f t="shared" si="334"/>
        <v>1243</v>
      </c>
      <c r="BU485" t="str">
        <f t="shared" si="314"/>
        <v/>
      </c>
      <c r="BV485" t="str">
        <f t="shared" si="327"/>
        <v/>
      </c>
      <c r="BW485" t="str">
        <f t="shared" si="315"/>
        <v/>
      </c>
      <c r="BX485" t="str">
        <f t="shared" si="328"/>
        <v/>
      </c>
      <c r="BY485" t="str">
        <f t="shared" si="316"/>
        <v/>
      </c>
      <c r="BZ485" t="str">
        <f t="shared" si="329"/>
        <v/>
      </c>
      <c r="CA485" t="str">
        <f t="shared" si="317"/>
        <v/>
      </c>
      <c r="CB485" t="str">
        <f t="shared" si="299"/>
        <v/>
      </c>
      <c r="CC485" t="str">
        <f t="shared" si="318"/>
        <v/>
      </c>
      <c r="CD485" t="str">
        <f t="shared" si="300"/>
        <v/>
      </c>
      <c r="CE485" t="str">
        <f t="shared" si="319"/>
        <v/>
      </c>
      <c r="CF485" t="str">
        <f t="shared" si="301"/>
        <v/>
      </c>
      <c r="CG485" t="str">
        <f t="shared" si="320"/>
        <v/>
      </c>
      <c r="CH485" t="str">
        <f t="shared" si="302"/>
        <v/>
      </c>
      <c r="CI485" t="str">
        <f t="shared" si="321"/>
        <v/>
      </c>
      <c r="CJ485" t="str">
        <f t="shared" si="330"/>
        <v/>
      </c>
    </row>
    <row r="486" spans="2:88" x14ac:dyDescent="0.3">
      <c r="B486" t="str">
        <f t="shared" si="322"/>
        <v>36.823951-76.07542</v>
      </c>
      <c r="C486" s="30" t="s">
        <v>136</v>
      </c>
      <c r="D486">
        <v>36.823951000000001</v>
      </c>
      <c r="E486">
        <v>-76.075419999999994</v>
      </c>
      <c r="F486">
        <v>5</v>
      </c>
      <c r="G486" t="str">
        <f t="shared" si="323"/>
        <v>5336.823951-76.07542</v>
      </c>
      <c r="H486">
        <v>5</v>
      </c>
      <c r="I486">
        <v>3</v>
      </c>
      <c r="J486" s="30" t="s">
        <v>21</v>
      </c>
      <c r="L486" t="s">
        <v>17</v>
      </c>
      <c r="M486">
        <v>22</v>
      </c>
      <c r="S486" t="str">
        <f t="shared" si="297"/>
        <v>Sand</v>
      </c>
      <c r="T486">
        <f t="shared" si="324"/>
        <v>1</v>
      </c>
      <c r="AA486">
        <v>80</v>
      </c>
      <c r="AB486" s="1">
        <f t="shared" si="331"/>
        <v>29</v>
      </c>
      <c r="AC486">
        <f t="shared" si="332"/>
        <v>89</v>
      </c>
      <c r="AD486" t="str">
        <f t="shared" si="325"/>
        <v/>
      </c>
      <c r="AG486" s="21" t="str">
        <f t="shared" si="303"/>
        <v/>
      </c>
      <c r="AI486" s="6" t="str">
        <f t="shared" si="304"/>
        <v/>
      </c>
      <c r="AM486" s="7" t="str">
        <f t="shared" si="305"/>
        <v/>
      </c>
      <c r="AQ486" s="8" t="str">
        <f t="shared" si="306"/>
        <v/>
      </c>
      <c r="AW486" s="25" t="str">
        <f t="shared" si="307"/>
        <v/>
      </c>
      <c r="AZ486" s="12" t="str">
        <f t="shared" si="308"/>
        <v/>
      </c>
      <c r="BI486" s="17" t="str">
        <f t="shared" si="309"/>
        <v/>
      </c>
      <c r="BM486" t="str">
        <f t="shared" si="310"/>
        <v>SPT Relationship</v>
      </c>
      <c r="BN486">
        <f t="shared" si="298"/>
        <v>127</v>
      </c>
      <c r="BO486" t="str">
        <f t="shared" si="311"/>
        <v>Wolff, 1989</v>
      </c>
      <c r="BP486">
        <f t="shared" si="333"/>
        <v>49</v>
      </c>
      <c r="BQ486" t="str">
        <f t="shared" si="312"/>
        <v/>
      </c>
      <c r="BR486" t="str">
        <f t="shared" si="326"/>
        <v/>
      </c>
      <c r="BS486" t="str">
        <f t="shared" si="313"/>
        <v/>
      </c>
      <c r="BT486" t="str">
        <f t="shared" si="334"/>
        <v/>
      </c>
      <c r="BU486" t="str">
        <f t="shared" si="314"/>
        <v/>
      </c>
      <c r="BV486" t="str">
        <f t="shared" si="327"/>
        <v/>
      </c>
      <c r="BW486" t="str">
        <f t="shared" si="315"/>
        <v/>
      </c>
      <c r="BX486" t="str">
        <f t="shared" si="328"/>
        <v/>
      </c>
      <c r="BY486" t="str">
        <f t="shared" si="316"/>
        <v/>
      </c>
      <c r="BZ486" t="str">
        <f t="shared" si="329"/>
        <v/>
      </c>
      <c r="CA486" t="str">
        <f t="shared" si="317"/>
        <v/>
      </c>
      <c r="CB486" t="str">
        <f t="shared" si="299"/>
        <v/>
      </c>
      <c r="CC486" t="str">
        <f t="shared" si="318"/>
        <v/>
      </c>
      <c r="CD486" t="str">
        <f t="shared" si="300"/>
        <v/>
      </c>
      <c r="CE486" t="str">
        <f t="shared" si="319"/>
        <v>Bowles 5th edition</v>
      </c>
      <c r="CF486">
        <f t="shared" si="301"/>
        <v>282</v>
      </c>
      <c r="CG486" t="str">
        <f t="shared" si="320"/>
        <v/>
      </c>
      <c r="CH486" t="str">
        <f t="shared" si="302"/>
        <v/>
      </c>
      <c r="CI486" t="str">
        <f t="shared" si="321"/>
        <v/>
      </c>
      <c r="CJ486" t="str">
        <f t="shared" si="330"/>
        <v/>
      </c>
    </row>
    <row r="487" spans="2:88" x14ac:dyDescent="0.3">
      <c r="B487" t="str">
        <f t="shared" si="322"/>
        <v>36.823951-76.07542</v>
      </c>
      <c r="C487" s="30" t="s">
        <v>136</v>
      </c>
      <c r="D487">
        <v>36.823951000000001</v>
      </c>
      <c r="E487">
        <v>-76.075419999999994</v>
      </c>
      <c r="F487">
        <v>5</v>
      </c>
      <c r="G487" t="str">
        <f t="shared" si="323"/>
        <v>3136.823951-76.07542</v>
      </c>
      <c r="H487">
        <v>3</v>
      </c>
      <c r="I487">
        <v>1</v>
      </c>
      <c r="J487" s="30" t="s">
        <v>21</v>
      </c>
      <c r="L487" t="s">
        <v>17</v>
      </c>
      <c r="M487">
        <v>15</v>
      </c>
      <c r="S487" t="str">
        <f t="shared" si="297"/>
        <v>Sand</v>
      </c>
      <c r="T487">
        <f t="shared" si="324"/>
        <v>1</v>
      </c>
      <c r="AA487">
        <v>80</v>
      </c>
      <c r="AB487" s="1">
        <f t="shared" si="331"/>
        <v>20</v>
      </c>
      <c r="AC487">
        <f t="shared" si="332"/>
        <v>43</v>
      </c>
      <c r="AD487" t="str">
        <f t="shared" si="325"/>
        <v/>
      </c>
      <c r="AG487" s="21" t="str">
        <f t="shared" si="303"/>
        <v/>
      </c>
      <c r="AI487" s="6" t="str">
        <f t="shared" si="304"/>
        <v/>
      </c>
      <c r="AM487" s="7" t="str">
        <f t="shared" si="305"/>
        <v/>
      </c>
      <c r="AQ487" s="8" t="str">
        <f t="shared" si="306"/>
        <v/>
      </c>
      <c r="AW487" s="25" t="str">
        <f t="shared" si="307"/>
        <v/>
      </c>
      <c r="AZ487" s="12" t="str">
        <f t="shared" si="308"/>
        <v/>
      </c>
      <c r="BI487" s="17" t="str">
        <f t="shared" si="309"/>
        <v/>
      </c>
      <c r="BM487" t="str">
        <f t="shared" si="310"/>
        <v>SPT Relationship</v>
      </c>
      <c r="BN487">
        <f t="shared" si="298"/>
        <v>123</v>
      </c>
      <c r="BO487" t="str">
        <f t="shared" si="311"/>
        <v>Wolff, 1989</v>
      </c>
      <c r="BP487">
        <f t="shared" si="333"/>
        <v>39</v>
      </c>
      <c r="BQ487" t="str">
        <f t="shared" si="312"/>
        <v/>
      </c>
      <c r="BR487" t="str">
        <f t="shared" si="326"/>
        <v/>
      </c>
      <c r="BS487" t="str">
        <f t="shared" si="313"/>
        <v/>
      </c>
      <c r="BT487" t="str">
        <f t="shared" si="334"/>
        <v/>
      </c>
      <c r="BU487" t="str">
        <f t="shared" si="314"/>
        <v/>
      </c>
      <c r="BV487" t="str">
        <f t="shared" si="327"/>
        <v/>
      </c>
      <c r="BW487" t="str">
        <f t="shared" si="315"/>
        <v/>
      </c>
      <c r="BX487" t="str">
        <f t="shared" si="328"/>
        <v/>
      </c>
      <c r="BY487" t="str">
        <f t="shared" si="316"/>
        <v/>
      </c>
      <c r="BZ487" t="str">
        <f t="shared" si="329"/>
        <v/>
      </c>
      <c r="CA487" t="str">
        <f t="shared" si="317"/>
        <v/>
      </c>
      <c r="CB487" t="str">
        <f t="shared" si="299"/>
        <v/>
      </c>
      <c r="CC487" t="str">
        <f t="shared" si="318"/>
        <v/>
      </c>
      <c r="CD487" t="str">
        <f t="shared" si="300"/>
        <v/>
      </c>
      <c r="CE487" t="str">
        <f t="shared" si="319"/>
        <v>Bowles 5th edition</v>
      </c>
      <c r="CF487">
        <f t="shared" si="301"/>
        <v>224</v>
      </c>
      <c r="CG487" t="str">
        <f t="shared" si="320"/>
        <v/>
      </c>
      <c r="CH487" t="str">
        <f t="shared" si="302"/>
        <v/>
      </c>
      <c r="CI487" t="str">
        <f t="shared" si="321"/>
        <v/>
      </c>
      <c r="CJ487" t="str">
        <f t="shared" si="330"/>
        <v/>
      </c>
    </row>
    <row r="488" spans="2:88" x14ac:dyDescent="0.3">
      <c r="B488" t="str">
        <f t="shared" si="322"/>
        <v>36.823951-76.07542</v>
      </c>
      <c r="C488" s="30" t="s">
        <v>136</v>
      </c>
      <c r="D488">
        <v>36.823951000000001</v>
      </c>
      <c r="E488">
        <v>-76.075419999999994</v>
      </c>
      <c r="F488">
        <v>5</v>
      </c>
      <c r="G488" t="str">
        <f t="shared" si="323"/>
        <v>1-136.823951-76.07542</v>
      </c>
      <c r="H488">
        <v>1</v>
      </c>
      <c r="I488">
        <v>-1</v>
      </c>
      <c r="J488" s="30" t="s">
        <v>21</v>
      </c>
      <c r="L488" t="s">
        <v>17</v>
      </c>
      <c r="M488">
        <v>10</v>
      </c>
      <c r="S488" t="str">
        <f t="shared" ref="S488:S551" si="335">IF(OR(L488="CL",L488="CH",L488="CL_ML"),"Clay",IF(OR(L488="SM",L488="SC",L488="SP",L488="SP-SM",L488="SP-SC",L488="SC-SM",L488="SW",L488="SW-SM"),"Sand",IF(OR(L488="GP", L488="GM",L488="GC", L488="GP-GM",L488="GW"),"Gravel",IF(OR(L488="ML",L488="MH"),"Silt",IF(OR(L488="OL",L488="OH",L488="PT"),"Organic")))))</f>
        <v>Sand</v>
      </c>
      <c r="T488">
        <f t="shared" si="324"/>
        <v>1</v>
      </c>
      <c r="AA488">
        <v>80</v>
      </c>
      <c r="AB488" s="1">
        <f t="shared" si="331"/>
        <v>13</v>
      </c>
      <c r="AC488">
        <f t="shared" si="332"/>
        <v>23</v>
      </c>
      <c r="AD488" t="str">
        <f t="shared" si="325"/>
        <v/>
      </c>
      <c r="AG488" s="21" t="str">
        <f t="shared" si="303"/>
        <v/>
      </c>
      <c r="AI488" s="6" t="str">
        <f t="shared" si="304"/>
        <v/>
      </c>
      <c r="AM488" s="7" t="str">
        <f t="shared" si="305"/>
        <v/>
      </c>
      <c r="AQ488" s="8" t="str">
        <f t="shared" si="306"/>
        <v/>
      </c>
      <c r="AW488" s="25" t="str">
        <f t="shared" si="307"/>
        <v/>
      </c>
      <c r="AZ488" s="12" t="str">
        <f t="shared" si="308"/>
        <v/>
      </c>
      <c r="BI488" s="17" t="str">
        <f t="shared" si="309"/>
        <v/>
      </c>
      <c r="BM488" t="str">
        <f t="shared" si="310"/>
        <v>SPT Relationship</v>
      </c>
      <c r="BN488">
        <f t="shared" si="298"/>
        <v>118</v>
      </c>
      <c r="BO488" t="str">
        <f t="shared" si="311"/>
        <v>Wolff, 1989</v>
      </c>
      <c r="BP488">
        <f t="shared" si="333"/>
        <v>33</v>
      </c>
      <c r="BQ488" t="str">
        <f t="shared" si="312"/>
        <v/>
      </c>
      <c r="BR488" t="str">
        <f t="shared" si="326"/>
        <v/>
      </c>
      <c r="BS488" t="str">
        <f t="shared" si="313"/>
        <v/>
      </c>
      <c r="BT488" t="str">
        <f t="shared" si="334"/>
        <v/>
      </c>
      <c r="BU488" t="str">
        <f t="shared" si="314"/>
        <v/>
      </c>
      <c r="BV488" t="str">
        <f t="shared" si="327"/>
        <v/>
      </c>
      <c r="BW488" t="str">
        <f t="shared" si="315"/>
        <v/>
      </c>
      <c r="BX488" t="str">
        <f t="shared" si="328"/>
        <v/>
      </c>
      <c r="BY488" t="str">
        <f t="shared" si="316"/>
        <v/>
      </c>
      <c r="BZ488" t="str">
        <f t="shared" si="329"/>
        <v/>
      </c>
      <c r="CA488" t="str">
        <f t="shared" si="317"/>
        <v/>
      </c>
      <c r="CB488" t="str">
        <f t="shared" si="299"/>
        <v/>
      </c>
      <c r="CC488" t="str">
        <f t="shared" si="318"/>
        <v/>
      </c>
      <c r="CD488" t="str">
        <f t="shared" si="300"/>
        <v/>
      </c>
      <c r="CE488" t="str">
        <f t="shared" si="319"/>
        <v>Bowles 5th edition</v>
      </c>
      <c r="CF488">
        <f t="shared" si="301"/>
        <v>179</v>
      </c>
      <c r="CG488" t="str">
        <f t="shared" si="320"/>
        <v/>
      </c>
      <c r="CH488" t="str">
        <f t="shared" si="302"/>
        <v/>
      </c>
      <c r="CI488" t="str">
        <f t="shared" si="321"/>
        <v/>
      </c>
      <c r="CJ488" t="str">
        <f t="shared" si="330"/>
        <v/>
      </c>
    </row>
    <row r="489" spans="2:88" x14ac:dyDescent="0.3">
      <c r="B489" t="str">
        <f t="shared" si="322"/>
        <v>36.823935-76.075973</v>
      </c>
      <c r="C489" s="30" t="s">
        <v>137</v>
      </c>
      <c r="D489">
        <v>36.823934999999999</v>
      </c>
      <c r="E489">
        <v>-76.075973000000005</v>
      </c>
      <c r="F489">
        <v>5</v>
      </c>
      <c r="G489" t="str">
        <f t="shared" si="323"/>
        <v>5336.823935-76.075973</v>
      </c>
      <c r="H489">
        <v>5</v>
      </c>
      <c r="I489">
        <v>3</v>
      </c>
      <c r="J489" s="30" t="s">
        <v>21</v>
      </c>
      <c r="L489" t="s">
        <v>17</v>
      </c>
      <c r="M489">
        <v>4</v>
      </c>
      <c r="S489" t="str">
        <f t="shared" si="335"/>
        <v>Sand</v>
      </c>
      <c r="T489">
        <f t="shared" si="324"/>
        <v>1</v>
      </c>
      <c r="AA489">
        <v>80</v>
      </c>
      <c r="AB489" s="1">
        <f t="shared" si="331"/>
        <v>5</v>
      </c>
      <c r="AC489">
        <f t="shared" si="332"/>
        <v>15</v>
      </c>
      <c r="AD489" t="str">
        <f t="shared" si="325"/>
        <v/>
      </c>
      <c r="AG489" s="21" t="str">
        <f t="shared" si="303"/>
        <v/>
      </c>
      <c r="AI489" s="6" t="str">
        <f t="shared" si="304"/>
        <v/>
      </c>
      <c r="AM489" s="7" t="str">
        <f t="shared" si="305"/>
        <v/>
      </c>
      <c r="AQ489" s="8" t="str">
        <f t="shared" si="306"/>
        <v/>
      </c>
      <c r="AW489" s="25" t="str">
        <f t="shared" si="307"/>
        <v/>
      </c>
      <c r="AZ489" s="12" t="str">
        <f t="shared" si="308"/>
        <v/>
      </c>
      <c r="BI489" s="17" t="str">
        <f t="shared" si="309"/>
        <v/>
      </c>
      <c r="BM489" t="str">
        <f t="shared" si="310"/>
        <v>SPT Relationship</v>
      </c>
      <c r="BN489">
        <f t="shared" si="298"/>
        <v>108</v>
      </c>
      <c r="BO489" t="str">
        <f t="shared" si="311"/>
        <v>Wolff, 1989</v>
      </c>
      <c r="BP489">
        <f t="shared" si="333"/>
        <v>31</v>
      </c>
      <c r="BQ489" t="str">
        <f t="shared" si="312"/>
        <v/>
      </c>
      <c r="BR489" t="str">
        <f t="shared" si="326"/>
        <v/>
      </c>
      <c r="BS489" t="str">
        <f t="shared" si="313"/>
        <v/>
      </c>
      <c r="BT489" t="str">
        <f t="shared" si="334"/>
        <v/>
      </c>
      <c r="BU489" t="str">
        <f t="shared" si="314"/>
        <v/>
      </c>
      <c r="BV489" t="str">
        <f t="shared" si="327"/>
        <v/>
      </c>
      <c r="BW489" t="str">
        <f t="shared" si="315"/>
        <v/>
      </c>
      <c r="BX489" t="str">
        <f t="shared" si="328"/>
        <v/>
      </c>
      <c r="BY489" t="str">
        <f t="shared" si="316"/>
        <v/>
      </c>
      <c r="BZ489" t="str">
        <f t="shared" si="329"/>
        <v/>
      </c>
      <c r="CA489" t="str">
        <f t="shared" si="317"/>
        <v/>
      </c>
      <c r="CB489" t="str">
        <f t="shared" si="299"/>
        <v/>
      </c>
      <c r="CC489" t="str">
        <f t="shared" si="318"/>
        <v/>
      </c>
      <c r="CD489" t="str">
        <f t="shared" si="300"/>
        <v/>
      </c>
      <c r="CE489" t="str">
        <f t="shared" si="319"/>
        <v>Bowles 5th edition</v>
      </c>
      <c r="CF489">
        <f t="shared" si="301"/>
        <v>128</v>
      </c>
      <c r="CG489" t="str">
        <f t="shared" si="320"/>
        <v/>
      </c>
      <c r="CH489" t="str">
        <f t="shared" si="302"/>
        <v/>
      </c>
      <c r="CI489" t="str">
        <f t="shared" si="321"/>
        <v/>
      </c>
      <c r="CJ489" t="str">
        <f t="shared" si="330"/>
        <v/>
      </c>
    </row>
    <row r="490" spans="2:88" x14ac:dyDescent="0.3">
      <c r="B490" t="str">
        <f t="shared" si="322"/>
        <v>36.823935-76.075973</v>
      </c>
      <c r="C490" s="30" t="s">
        <v>137</v>
      </c>
      <c r="D490">
        <v>36.823934999999999</v>
      </c>
      <c r="E490">
        <v>-76.075973000000005</v>
      </c>
      <c r="F490">
        <v>5</v>
      </c>
      <c r="G490" t="str">
        <f t="shared" si="323"/>
        <v>3136.823935-76.075973</v>
      </c>
      <c r="H490">
        <v>3</v>
      </c>
      <c r="I490">
        <v>1</v>
      </c>
      <c r="J490" s="30" t="s">
        <v>21</v>
      </c>
      <c r="L490" t="s">
        <v>17</v>
      </c>
      <c r="M490">
        <v>12</v>
      </c>
      <c r="S490" t="str">
        <f t="shared" si="335"/>
        <v>Sand</v>
      </c>
      <c r="T490">
        <f t="shared" si="324"/>
        <v>1</v>
      </c>
      <c r="AA490">
        <v>80</v>
      </c>
      <c r="AB490" s="1">
        <f t="shared" si="331"/>
        <v>16</v>
      </c>
      <c r="AC490">
        <f t="shared" si="332"/>
        <v>34</v>
      </c>
      <c r="AD490" t="str">
        <f t="shared" si="325"/>
        <v/>
      </c>
      <c r="AG490" s="21" t="str">
        <f t="shared" si="303"/>
        <v/>
      </c>
      <c r="AI490" s="6" t="str">
        <f t="shared" si="304"/>
        <v/>
      </c>
      <c r="AM490" s="7" t="str">
        <f t="shared" si="305"/>
        <v/>
      </c>
      <c r="AQ490" s="8" t="str">
        <f t="shared" si="306"/>
        <v/>
      </c>
      <c r="AW490" s="25" t="str">
        <f t="shared" si="307"/>
        <v/>
      </c>
      <c r="AZ490" s="12" t="str">
        <f t="shared" si="308"/>
        <v/>
      </c>
      <c r="BI490" s="17" t="str">
        <f t="shared" si="309"/>
        <v/>
      </c>
      <c r="BM490" t="str">
        <f t="shared" si="310"/>
        <v>SPT Relationship</v>
      </c>
      <c r="BN490">
        <f t="shared" si="298"/>
        <v>120</v>
      </c>
      <c r="BO490" t="str">
        <f t="shared" si="311"/>
        <v>Wolff, 1989</v>
      </c>
      <c r="BP490">
        <f t="shared" si="333"/>
        <v>36</v>
      </c>
      <c r="BQ490" t="str">
        <f t="shared" si="312"/>
        <v/>
      </c>
      <c r="BR490" t="str">
        <f t="shared" si="326"/>
        <v/>
      </c>
      <c r="BS490" t="str">
        <f t="shared" si="313"/>
        <v/>
      </c>
      <c r="BT490" t="str">
        <f t="shared" si="334"/>
        <v/>
      </c>
      <c r="BU490" t="str">
        <f t="shared" si="314"/>
        <v/>
      </c>
      <c r="BV490" t="str">
        <f t="shared" si="327"/>
        <v/>
      </c>
      <c r="BW490" t="str">
        <f t="shared" si="315"/>
        <v/>
      </c>
      <c r="BX490" t="str">
        <f t="shared" si="328"/>
        <v/>
      </c>
      <c r="BY490" t="str">
        <f t="shared" si="316"/>
        <v/>
      </c>
      <c r="BZ490" t="str">
        <f t="shared" si="329"/>
        <v/>
      </c>
      <c r="CA490" t="str">
        <f t="shared" si="317"/>
        <v/>
      </c>
      <c r="CB490" t="str">
        <f t="shared" si="299"/>
        <v/>
      </c>
      <c r="CC490" t="str">
        <f t="shared" si="318"/>
        <v/>
      </c>
      <c r="CD490" t="str">
        <f t="shared" si="300"/>
        <v/>
      </c>
      <c r="CE490" t="str">
        <f t="shared" si="319"/>
        <v>Bowles 5th edition</v>
      </c>
      <c r="CF490">
        <f t="shared" si="301"/>
        <v>198</v>
      </c>
      <c r="CG490" t="str">
        <f t="shared" si="320"/>
        <v/>
      </c>
      <c r="CH490" t="str">
        <f t="shared" si="302"/>
        <v/>
      </c>
      <c r="CI490" t="str">
        <f t="shared" si="321"/>
        <v/>
      </c>
      <c r="CJ490" t="str">
        <f t="shared" si="330"/>
        <v/>
      </c>
    </row>
    <row r="491" spans="2:88" x14ac:dyDescent="0.3">
      <c r="B491" t="str">
        <f t="shared" si="322"/>
        <v>36.823935-76.075973</v>
      </c>
      <c r="C491" s="30" t="s">
        <v>137</v>
      </c>
      <c r="D491">
        <v>36.823934999999999</v>
      </c>
      <c r="E491">
        <v>-76.075973000000005</v>
      </c>
      <c r="F491">
        <v>5</v>
      </c>
      <c r="G491" t="str">
        <f t="shared" si="323"/>
        <v>1-136.823935-76.075973</v>
      </c>
      <c r="H491">
        <v>1</v>
      </c>
      <c r="I491">
        <v>-1</v>
      </c>
      <c r="J491" s="30" t="s">
        <v>21</v>
      </c>
      <c r="L491" t="s">
        <v>17</v>
      </c>
      <c r="M491">
        <v>12</v>
      </c>
      <c r="S491" t="str">
        <f t="shared" si="335"/>
        <v>Sand</v>
      </c>
      <c r="T491">
        <f t="shared" si="324"/>
        <v>1</v>
      </c>
      <c r="AA491">
        <v>80</v>
      </c>
      <c r="AB491" s="1">
        <f t="shared" si="331"/>
        <v>16</v>
      </c>
      <c r="AC491">
        <f t="shared" si="332"/>
        <v>28</v>
      </c>
      <c r="AD491" t="str">
        <f t="shared" si="325"/>
        <v/>
      </c>
      <c r="AG491" s="21" t="str">
        <f t="shared" si="303"/>
        <v/>
      </c>
      <c r="AI491" s="6" t="str">
        <f t="shared" si="304"/>
        <v/>
      </c>
      <c r="AM491" s="7" t="str">
        <f t="shared" si="305"/>
        <v/>
      </c>
      <c r="AQ491" s="8" t="str">
        <f t="shared" si="306"/>
        <v/>
      </c>
      <c r="AW491" s="25" t="str">
        <f t="shared" si="307"/>
        <v/>
      </c>
      <c r="AZ491" s="12" t="str">
        <f t="shared" si="308"/>
        <v/>
      </c>
      <c r="BI491" s="17" t="str">
        <f t="shared" si="309"/>
        <v/>
      </c>
      <c r="BM491" t="str">
        <f t="shared" si="310"/>
        <v>SPT Relationship</v>
      </c>
      <c r="BN491">
        <f t="shared" si="298"/>
        <v>120</v>
      </c>
      <c r="BO491" t="str">
        <f t="shared" si="311"/>
        <v>Wolff, 1989</v>
      </c>
      <c r="BP491">
        <f t="shared" si="333"/>
        <v>35</v>
      </c>
      <c r="BQ491" t="str">
        <f t="shared" si="312"/>
        <v/>
      </c>
      <c r="BR491" t="str">
        <f t="shared" si="326"/>
        <v/>
      </c>
      <c r="BS491" t="str">
        <f t="shared" si="313"/>
        <v/>
      </c>
      <c r="BT491" t="str">
        <f t="shared" si="334"/>
        <v/>
      </c>
      <c r="BU491" t="str">
        <f t="shared" si="314"/>
        <v/>
      </c>
      <c r="BV491" t="str">
        <f t="shared" si="327"/>
        <v/>
      </c>
      <c r="BW491" t="str">
        <f t="shared" si="315"/>
        <v/>
      </c>
      <c r="BX491" t="str">
        <f t="shared" si="328"/>
        <v/>
      </c>
      <c r="BY491" t="str">
        <f t="shared" si="316"/>
        <v/>
      </c>
      <c r="BZ491" t="str">
        <f t="shared" si="329"/>
        <v/>
      </c>
      <c r="CA491" t="str">
        <f t="shared" si="317"/>
        <v/>
      </c>
      <c r="CB491" t="str">
        <f t="shared" si="299"/>
        <v/>
      </c>
      <c r="CC491" t="str">
        <f t="shared" si="318"/>
        <v/>
      </c>
      <c r="CD491" t="str">
        <f t="shared" si="300"/>
        <v/>
      </c>
      <c r="CE491" t="str">
        <f t="shared" si="319"/>
        <v>Bowles 5th edition</v>
      </c>
      <c r="CF491">
        <f t="shared" si="301"/>
        <v>198</v>
      </c>
      <c r="CG491" t="str">
        <f t="shared" si="320"/>
        <v/>
      </c>
      <c r="CH491" t="str">
        <f t="shared" si="302"/>
        <v/>
      </c>
      <c r="CI491" t="str">
        <f t="shared" si="321"/>
        <v/>
      </c>
      <c r="CJ491" t="str">
        <f t="shared" si="330"/>
        <v/>
      </c>
    </row>
    <row r="492" spans="2:88" x14ac:dyDescent="0.3">
      <c r="B492" t="str">
        <f t="shared" si="322"/>
        <v>36.823303-76.076814</v>
      </c>
      <c r="C492" s="30" t="s">
        <v>138</v>
      </c>
      <c r="D492">
        <v>36.823303000000003</v>
      </c>
      <c r="E492">
        <v>-76.076813999999999</v>
      </c>
      <c r="F492">
        <v>5</v>
      </c>
      <c r="G492" t="str">
        <f t="shared" si="323"/>
        <v>5336.823303-76.076814</v>
      </c>
      <c r="H492">
        <v>5</v>
      </c>
      <c r="I492">
        <v>3</v>
      </c>
      <c r="J492" s="30" t="s">
        <v>21</v>
      </c>
      <c r="L492" t="s">
        <v>11</v>
      </c>
      <c r="M492">
        <v>10</v>
      </c>
      <c r="S492" t="str">
        <f t="shared" si="335"/>
        <v>Clay</v>
      </c>
      <c r="T492">
        <f t="shared" si="324"/>
        <v>1</v>
      </c>
      <c r="AA492">
        <v>80</v>
      </c>
      <c r="AB492" s="1">
        <f t="shared" si="331"/>
        <v>13</v>
      </c>
      <c r="AC492">
        <f t="shared" si="332"/>
        <v>40</v>
      </c>
      <c r="AD492" t="str">
        <f t="shared" si="325"/>
        <v/>
      </c>
      <c r="AG492" s="21" t="str">
        <f t="shared" si="303"/>
        <v/>
      </c>
      <c r="AI492" s="6" t="str">
        <f t="shared" si="304"/>
        <v/>
      </c>
      <c r="AM492" s="7" t="str">
        <f t="shared" si="305"/>
        <v/>
      </c>
      <c r="AQ492" s="8" t="str">
        <f t="shared" si="306"/>
        <v/>
      </c>
      <c r="AW492" s="25" t="str">
        <f t="shared" si="307"/>
        <v/>
      </c>
      <c r="AZ492" s="12" t="str">
        <f t="shared" si="308"/>
        <v/>
      </c>
      <c r="BI492" s="17" t="str">
        <f t="shared" si="309"/>
        <v/>
      </c>
      <c r="BM492" t="str">
        <f t="shared" si="310"/>
        <v>SPT Relationship</v>
      </c>
      <c r="BN492">
        <f t="shared" si="298"/>
        <v>118</v>
      </c>
      <c r="BO492" t="str">
        <f t="shared" si="311"/>
        <v>Wolff, 1989</v>
      </c>
      <c r="BP492">
        <f t="shared" si="333"/>
        <v>38</v>
      </c>
      <c r="BQ492" t="str">
        <f t="shared" si="312"/>
        <v/>
      </c>
      <c r="BR492" t="str">
        <f t="shared" si="326"/>
        <v/>
      </c>
      <c r="BS492" t="str">
        <f t="shared" si="313"/>
        <v>Stroud 1974 (K=3.5)</v>
      </c>
      <c r="BT492">
        <f t="shared" si="334"/>
        <v>950</v>
      </c>
      <c r="BU492" t="str">
        <f t="shared" si="314"/>
        <v/>
      </c>
      <c r="BV492" t="str">
        <f t="shared" si="327"/>
        <v/>
      </c>
      <c r="BW492" t="str">
        <f t="shared" si="315"/>
        <v/>
      </c>
      <c r="BX492" t="str">
        <f t="shared" si="328"/>
        <v/>
      </c>
      <c r="BY492" t="str">
        <f t="shared" si="316"/>
        <v/>
      </c>
      <c r="BZ492" t="str">
        <f t="shared" si="329"/>
        <v/>
      </c>
      <c r="CA492" t="str">
        <f t="shared" si="317"/>
        <v/>
      </c>
      <c r="CB492" t="str">
        <f t="shared" si="299"/>
        <v/>
      </c>
      <c r="CC492" t="str">
        <f t="shared" si="318"/>
        <v/>
      </c>
      <c r="CD492" t="str">
        <f t="shared" si="300"/>
        <v/>
      </c>
      <c r="CE492" t="str">
        <f t="shared" si="319"/>
        <v/>
      </c>
      <c r="CF492" t="str">
        <f t="shared" si="301"/>
        <v/>
      </c>
      <c r="CG492" t="str">
        <f t="shared" si="320"/>
        <v/>
      </c>
      <c r="CH492" t="str">
        <f t="shared" si="302"/>
        <v/>
      </c>
      <c r="CI492" t="str">
        <f t="shared" si="321"/>
        <v/>
      </c>
      <c r="CJ492" t="str">
        <f t="shared" si="330"/>
        <v/>
      </c>
    </row>
    <row r="493" spans="2:88" x14ac:dyDescent="0.3">
      <c r="B493" t="str">
        <f t="shared" si="322"/>
        <v>36.823303-76.076814</v>
      </c>
      <c r="C493" s="30" t="s">
        <v>138</v>
      </c>
      <c r="D493">
        <v>36.823303000000003</v>
      </c>
      <c r="E493">
        <v>-76.076813999999999</v>
      </c>
      <c r="F493">
        <v>5</v>
      </c>
      <c r="G493" t="str">
        <f t="shared" si="323"/>
        <v>3136.823303-76.076814</v>
      </c>
      <c r="H493">
        <v>3</v>
      </c>
      <c r="I493">
        <v>1</v>
      </c>
      <c r="J493" s="30" t="s">
        <v>21</v>
      </c>
      <c r="L493" t="s">
        <v>17</v>
      </c>
      <c r="M493">
        <v>4</v>
      </c>
      <c r="S493" t="str">
        <f t="shared" si="335"/>
        <v>Sand</v>
      </c>
      <c r="T493">
        <f t="shared" si="324"/>
        <v>1</v>
      </c>
      <c r="AA493">
        <v>80</v>
      </c>
      <c r="AB493" s="1">
        <f t="shared" si="331"/>
        <v>5</v>
      </c>
      <c r="AC493">
        <f t="shared" si="332"/>
        <v>10</v>
      </c>
      <c r="AD493" t="str">
        <f t="shared" si="325"/>
        <v/>
      </c>
      <c r="AG493" s="21" t="str">
        <f t="shared" si="303"/>
        <v/>
      </c>
      <c r="AI493" s="6" t="str">
        <f t="shared" si="304"/>
        <v/>
      </c>
      <c r="AM493" s="7" t="str">
        <f t="shared" si="305"/>
        <v/>
      </c>
      <c r="AQ493" s="8" t="str">
        <f t="shared" si="306"/>
        <v/>
      </c>
      <c r="AW493" s="25" t="str">
        <f t="shared" si="307"/>
        <v/>
      </c>
      <c r="AZ493" s="12" t="str">
        <f t="shared" si="308"/>
        <v/>
      </c>
      <c r="BI493" s="17" t="str">
        <f t="shared" si="309"/>
        <v/>
      </c>
      <c r="BM493" t="str">
        <f t="shared" si="310"/>
        <v>SPT Relationship</v>
      </c>
      <c r="BN493">
        <f t="shared" si="298"/>
        <v>108</v>
      </c>
      <c r="BO493" t="str">
        <f t="shared" si="311"/>
        <v>Wolff, 1989</v>
      </c>
      <c r="BP493">
        <f t="shared" si="333"/>
        <v>30</v>
      </c>
      <c r="BQ493" t="str">
        <f t="shared" si="312"/>
        <v/>
      </c>
      <c r="BR493" t="str">
        <f t="shared" si="326"/>
        <v/>
      </c>
      <c r="BS493" t="str">
        <f t="shared" si="313"/>
        <v/>
      </c>
      <c r="BT493" t="str">
        <f t="shared" si="334"/>
        <v/>
      </c>
      <c r="BU493" t="str">
        <f t="shared" si="314"/>
        <v/>
      </c>
      <c r="BV493" t="str">
        <f t="shared" si="327"/>
        <v/>
      </c>
      <c r="BW493" t="str">
        <f t="shared" si="315"/>
        <v/>
      </c>
      <c r="BX493" t="str">
        <f t="shared" si="328"/>
        <v/>
      </c>
      <c r="BY493" t="str">
        <f t="shared" si="316"/>
        <v/>
      </c>
      <c r="BZ493" t="str">
        <f t="shared" si="329"/>
        <v/>
      </c>
      <c r="CA493" t="str">
        <f t="shared" si="317"/>
        <v/>
      </c>
      <c r="CB493" t="str">
        <f t="shared" si="299"/>
        <v/>
      </c>
      <c r="CC493" t="str">
        <f t="shared" si="318"/>
        <v/>
      </c>
      <c r="CD493" t="str">
        <f t="shared" si="300"/>
        <v/>
      </c>
      <c r="CE493" t="str">
        <f t="shared" si="319"/>
        <v>Bowles 5th edition</v>
      </c>
      <c r="CF493">
        <f t="shared" si="301"/>
        <v>128</v>
      </c>
      <c r="CG493" t="str">
        <f t="shared" si="320"/>
        <v/>
      </c>
      <c r="CH493" t="str">
        <f t="shared" si="302"/>
        <v/>
      </c>
      <c r="CI493" t="str">
        <f t="shared" si="321"/>
        <v/>
      </c>
      <c r="CJ493" t="str">
        <f t="shared" si="330"/>
        <v/>
      </c>
    </row>
    <row r="494" spans="2:88" x14ac:dyDescent="0.3">
      <c r="B494" t="str">
        <f t="shared" si="322"/>
        <v>36.823303-76.076814</v>
      </c>
      <c r="C494" s="30" t="s">
        <v>138</v>
      </c>
      <c r="D494">
        <v>36.823303000000003</v>
      </c>
      <c r="E494">
        <v>-76.076813999999999</v>
      </c>
      <c r="F494">
        <v>5</v>
      </c>
      <c r="G494" t="str">
        <f t="shared" si="323"/>
        <v>1-136.823303-76.076814</v>
      </c>
      <c r="H494">
        <v>1</v>
      </c>
      <c r="I494">
        <v>-1</v>
      </c>
      <c r="J494" s="30" t="s">
        <v>21</v>
      </c>
      <c r="L494" t="s">
        <v>17</v>
      </c>
      <c r="M494">
        <v>5</v>
      </c>
      <c r="S494" t="str">
        <f t="shared" si="335"/>
        <v>Sand</v>
      </c>
      <c r="T494">
        <f t="shared" si="324"/>
        <v>1</v>
      </c>
      <c r="AA494">
        <v>80</v>
      </c>
      <c r="AB494" s="1">
        <f t="shared" si="331"/>
        <v>7</v>
      </c>
      <c r="AC494">
        <f t="shared" si="332"/>
        <v>12</v>
      </c>
      <c r="AD494" t="str">
        <f t="shared" si="325"/>
        <v/>
      </c>
      <c r="AG494" s="21" t="str">
        <f t="shared" si="303"/>
        <v/>
      </c>
      <c r="AI494" s="6" t="str">
        <f t="shared" si="304"/>
        <v/>
      </c>
      <c r="AM494" s="7" t="str">
        <f t="shared" si="305"/>
        <v/>
      </c>
      <c r="AQ494" s="8" t="str">
        <f t="shared" si="306"/>
        <v/>
      </c>
      <c r="AW494" s="25" t="str">
        <f t="shared" si="307"/>
        <v/>
      </c>
      <c r="AZ494" s="12" t="str">
        <f t="shared" si="308"/>
        <v/>
      </c>
      <c r="BI494" s="17" t="str">
        <f t="shared" si="309"/>
        <v/>
      </c>
      <c r="BM494" t="str">
        <f t="shared" si="310"/>
        <v>SPT Relationship</v>
      </c>
      <c r="BN494">
        <f t="shared" si="298"/>
        <v>111</v>
      </c>
      <c r="BO494" t="str">
        <f t="shared" si="311"/>
        <v>Wolff, 1989</v>
      </c>
      <c r="BP494">
        <f t="shared" si="333"/>
        <v>30</v>
      </c>
      <c r="BQ494" t="str">
        <f t="shared" si="312"/>
        <v/>
      </c>
      <c r="BR494" t="str">
        <f t="shared" si="326"/>
        <v/>
      </c>
      <c r="BS494" t="str">
        <f t="shared" si="313"/>
        <v/>
      </c>
      <c r="BT494" t="str">
        <f t="shared" si="334"/>
        <v/>
      </c>
      <c r="BU494" t="str">
        <f t="shared" si="314"/>
        <v/>
      </c>
      <c r="BV494" t="str">
        <f t="shared" si="327"/>
        <v/>
      </c>
      <c r="BW494" t="str">
        <f t="shared" si="315"/>
        <v/>
      </c>
      <c r="BX494" t="str">
        <f t="shared" si="328"/>
        <v/>
      </c>
      <c r="BY494" t="str">
        <f t="shared" si="316"/>
        <v/>
      </c>
      <c r="BZ494" t="str">
        <f t="shared" si="329"/>
        <v/>
      </c>
      <c r="CA494" t="str">
        <f t="shared" si="317"/>
        <v/>
      </c>
      <c r="CB494" t="str">
        <f t="shared" si="299"/>
        <v/>
      </c>
      <c r="CC494" t="str">
        <f t="shared" si="318"/>
        <v/>
      </c>
      <c r="CD494" t="str">
        <f t="shared" si="300"/>
        <v/>
      </c>
      <c r="CE494" t="str">
        <f t="shared" si="319"/>
        <v>Bowles 5th edition</v>
      </c>
      <c r="CF494">
        <f t="shared" si="301"/>
        <v>141</v>
      </c>
      <c r="CG494" t="str">
        <f t="shared" si="320"/>
        <v/>
      </c>
      <c r="CH494" t="str">
        <f t="shared" si="302"/>
        <v/>
      </c>
      <c r="CI494" t="str">
        <f t="shared" si="321"/>
        <v/>
      </c>
      <c r="CJ494" t="str">
        <f t="shared" si="330"/>
        <v/>
      </c>
    </row>
    <row r="495" spans="2:88" x14ac:dyDescent="0.3">
      <c r="B495" t="str">
        <f t="shared" si="322"/>
        <v>36.824381-76.074599</v>
      </c>
      <c r="C495" s="30" t="s">
        <v>139</v>
      </c>
      <c r="D495">
        <v>36.824381000000002</v>
      </c>
      <c r="E495">
        <v>-76.074599000000006</v>
      </c>
      <c r="F495">
        <v>5</v>
      </c>
      <c r="G495" t="str">
        <f t="shared" si="323"/>
        <v>5336.824381-76.074599</v>
      </c>
      <c r="H495">
        <v>5</v>
      </c>
      <c r="I495">
        <v>3</v>
      </c>
      <c r="J495" s="30" t="s">
        <v>21</v>
      </c>
      <c r="L495" t="s">
        <v>17</v>
      </c>
      <c r="M495">
        <v>13</v>
      </c>
      <c r="S495" t="str">
        <f t="shared" si="335"/>
        <v>Sand</v>
      </c>
      <c r="T495">
        <f t="shared" si="324"/>
        <v>1</v>
      </c>
      <c r="AA495">
        <v>80</v>
      </c>
      <c r="AB495" s="1">
        <f t="shared" si="331"/>
        <v>17</v>
      </c>
      <c r="AC495">
        <f t="shared" si="332"/>
        <v>52</v>
      </c>
      <c r="AD495" t="str">
        <f t="shared" si="325"/>
        <v/>
      </c>
      <c r="AG495" s="21" t="str">
        <f t="shared" si="303"/>
        <v/>
      </c>
      <c r="AI495" s="6" t="str">
        <f t="shared" si="304"/>
        <v/>
      </c>
      <c r="AM495" s="7" t="str">
        <f t="shared" si="305"/>
        <v/>
      </c>
      <c r="AQ495" s="8" t="str">
        <f t="shared" si="306"/>
        <v/>
      </c>
      <c r="AW495" s="25" t="str">
        <f t="shared" si="307"/>
        <v/>
      </c>
      <c r="AZ495" s="12" t="str">
        <f t="shared" si="308"/>
        <v/>
      </c>
      <c r="BI495" s="17" t="str">
        <f t="shared" si="309"/>
        <v/>
      </c>
      <c r="BM495" t="str">
        <f t="shared" si="310"/>
        <v>SPT Relationship</v>
      </c>
      <c r="BN495">
        <f t="shared" si="298"/>
        <v>121</v>
      </c>
      <c r="BO495" t="str">
        <f t="shared" si="311"/>
        <v>Wolff, 1989</v>
      </c>
      <c r="BP495">
        <f t="shared" si="333"/>
        <v>41</v>
      </c>
      <c r="BQ495" t="str">
        <f t="shared" si="312"/>
        <v/>
      </c>
      <c r="BR495" t="str">
        <f t="shared" si="326"/>
        <v/>
      </c>
      <c r="BS495" t="str">
        <f t="shared" si="313"/>
        <v/>
      </c>
      <c r="BT495" t="str">
        <f t="shared" si="334"/>
        <v/>
      </c>
      <c r="BU495" t="str">
        <f t="shared" si="314"/>
        <v/>
      </c>
      <c r="BV495" t="str">
        <f t="shared" si="327"/>
        <v/>
      </c>
      <c r="BW495" t="str">
        <f t="shared" si="315"/>
        <v/>
      </c>
      <c r="BX495" t="str">
        <f t="shared" si="328"/>
        <v/>
      </c>
      <c r="BY495" t="str">
        <f t="shared" si="316"/>
        <v/>
      </c>
      <c r="BZ495" t="str">
        <f t="shared" si="329"/>
        <v/>
      </c>
      <c r="CA495" t="str">
        <f t="shared" si="317"/>
        <v/>
      </c>
      <c r="CB495" t="str">
        <f t="shared" si="299"/>
        <v/>
      </c>
      <c r="CC495" t="str">
        <f t="shared" si="318"/>
        <v/>
      </c>
      <c r="CD495" t="str">
        <f t="shared" si="300"/>
        <v/>
      </c>
      <c r="CE495" t="str">
        <f t="shared" si="319"/>
        <v>Bowles 5th edition</v>
      </c>
      <c r="CF495">
        <f t="shared" si="301"/>
        <v>205</v>
      </c>
      <c r="CG495" t="str">
        <f t="shared" si="320"/>
        <v/>
      </c>
      <c r="CH495" t="str">
        <f t="shared" si="302"/>
        <v/>
      </c>
      <c r="CI495" t="str">
        <f t="shared" si="321"/>
        <v/>
      </c>
      <c r="CJ495" t="str">
        <f t="shared" si="330"/>
        <v/>
      </c>
    </row>
    <row r="496" spans="2:88" x14ac:dyDescent="0.3">
      <c r="B496" t="str">
        <f t="shared" si="322"/>
        <v>36.824381-76.074599</v>
      </c>
      <c r="C496" s="30" t="s">
        <v>139</v>
      </c>
      <c r="D496">
        <v>36.824381000000002</v>
      </c>
      <c r="E496">
        <v>-76.074599000000006</v>
      </c>
      <c r="F496">
        <v>5</v>
      </c>
      <c r="G496" t="str">
        <f t="shared" si="323"/>
        <v>3136.824381-76.074599</v>
      </c>
      <c r="H496">
        <v>3</v>
      </c>
      <c r="I496">
        <v>1</v>
      </c>
      <c r="J496" s="30" t="s">
        <v>21</v>
      </c>
      <c r="L496" t="s">
        <v>17</v>
      </c>
      <c r="M496">
        <v>7</v>
      </c>
      <c r="S496" t="str">
        <f t="shared" si="335"/>
        <v>Sand</v>
      </c>
      <c r="T496">
        <f t="shared" si="324"/>
        <v>1</v>
      </c>
      <c r="AA496">
        <v>80</v>
      </c>
      <c r="AB496" s="1">
        <f t="shared" si="331"/>
        <v>9</v>
      </c>
      <c r="AC496">
        <f t="shared" si="332"/>
        <v>19</v>
      </c>
      <c r="AD496" t="str">
        <f t="shared" si="325"/>
        <v/>
      </c>
      <c r="AG496" s="21" t="str">
        <f t="shared" si="303"/>
        <v/>
      </c>
      <c r="AI496" s="6" t="str">
        <f t="shared" si="304"/>
        <v/>
      </c>
      <c r="AM496" s="7" t="str">
        <f t="shared" si="305"/>
        <v/>
      </c>
      <c r="AQ496" s="8" t="str">
        <f t="shared" si="306"/>
        <v/>
      </c>
      <c r="AW496" s="25" t="str">
        <f t="shared" si="307"/>
        <v/>
      </c>
      <c r="AZ496" s="12" t="str">
        <f t="shared" si="308"/>
        <v/>
      </c>
      <c r="BI496" s="17" t="str">
        <f t="shared" si="309"/>
        <v/>
      </c>
      <c r="BM496" t="str">
        <f t="shared" si="310"/>
        <v>SPT Relationship</v>
      </c>
      <c r="BN496">
        <f t="shared" si="298"/>
        <v>114</v>
      </c>
      <c r="BO496" t="str">
        <f t="shared" si="311"/>
        <v>Wolff, 1989</v>
      </c>
      <c r="BP496">
        <f t="shared" si="333"/>
        <v>32</v>
      </c>
      <c r="BQ496" t="str">
        <f t="shared" si="312"/>
        <v/>
      </c>
      <c r="BR496" t="str">
        <f t="shared" si="326"/>
        <v/>
      </c>
      <c r="BS496" t="str">
        <f t="shared" si="313"/>
        <v/>
      </c>
      <c r="BT496" t="str">
        <f t="shared" si="334"/>
        <v/>
      </c>
      <c r="BU496" t="str">
        <f t="shared" si="314"/>
        <v/>
      </c>
      <c r="BV496" t="str">
        <f t="shared" si="327"/>
        <v/>
      </c>
      <c r="BW496" t="str">
        <f t="shared" si="315"/>
        <v/>
      </c>
      <c r="BX496" t="str">
        <f t="shared" si="328"/>
        <v/>
      </c>
      <c r="BY496" t="str">
        <f t="shared" si="316"/>
        <v/>
      </c>
      <c r="BZ496" t="str">
        <f t="shared" si="329"/>
        <v/>
      </c>
      <c r="CA496" t="str">
        <f t="shared" si="317"/>
        <v/>
      </c>
      <c r="CB496" t="str">
        <f t="shared" si="299"/>
        <v/>
      </c>
      <c r="CC496" t="str">
        <f t="shared" si="318"/>
        <v/>
      </c>
      <c r="CD496" t="str">
        <f t="shared" si="300"/>
        <v/>
      </c>
      <c r="CE496" t="str">
        <f t="shared" si="319"/>
        <v>Bowles 5th edition</v>
      </c>
      <c r="CF496">
        <f t="shared" si="301"/>
        <v>154</v>
      </c>
      <c r="CG496" t="str">
        <f t="shared" si="320"/>
        <v/>
      </c>
      <c r="CH496" t="str">
        <f t="shared" si="302"/>
        <v/>
      </c>
      <c r="CI496" t="str">
        <f t="shared" si="321"/>
        <v/>
      </c>
      <c r="CJ496" t="str">
        <f t="shared" si="330"/>
        <v/>
      </c>
    </row>
    <row r="497" spans="2:88" x14ac:dyDescent="0.3">
      <c r="B497" t="str">
        <f t="shared" si="322"/>
        <v>36.824381-76.074599</v>
      </c>
      <c r="C497" s="30" t="s">
        <v>139</v>
      </c>
      <c r="D497">
        <v>36.824381000000002</v>
      </c>
      <c r="E497">
        <v>-76.074599000000006</v>
      </c>
      <c r="F497">
        <v>5</v>
      </c>
      <c r="G497" t="str">
        <f t="shared" si="323"/>
        <v>1-136.824381-76.074599</v>
      </c>
      <c r="H497">
        <v>1</v>
      </c>
      <c r="I497">
        <v>-1</v>
      </c>
      <c r="J497" s="30" t="s">
        <v>21</v>
      </c>
      <c r="L497" t="s">
        <v>17</v>
      </c>
      <c r="M497">
        <v>7</v>
      </c>
      <c r="S497" t="str">
        <f t="shared" si="335"/>
        <v>Sand</v>
      </c>
      <c r="T497">
        <f t="shared" si="324"/>
        <v>1</v>
      </c>
      <c r="AA497">
        <v>80</v>
      </c>
      <c r="AB497" s="1">
        <f t="shared" si="331"/>
        <v>9</v>
      </c>
      <c r="AC497">
        <f t="shared" si="332"/>
        <v>16</v>
      </c>
      <c r="AD497" t="str">
        <f t="shared" si="325"/>
        <v/>
      </c>
      <c r="AG497" s="21" t="str">
        <f t="shared" si="303"/>
        <v/>
      </c>
      <c r="AI497" s="6" t="str">
        <f t="shared" si="304"/>
        <v/>
      </c>
      <c r="AM497" s="7" t="str">
        <f t="shared" si="305"/>
        <v/>
      </c>
      <c r="AQ497" s="8" t="str">
        <f t="shared" si="306"/>
        <v/>
      </c>
      <c r="AW497" s="25" t="str">
        <f t="shared" si="307"/>
        <v/>
      </c>
      <c r="AZ497" s="12" t="str">
        <f t="shared" si="308"/>
        <v/>
      </c>
      <c r="BI497" s="17" t="str">
        <f t="shared" si="309"/>
        <v/>
      </c>
      <c r="BM497" t="str">
        <f t="shared" si="310"/>
        <v>SPT Relationship</v>
      </c>
      <c r="BN497">
        <f t="shared" si="298"/>
        <v>114</v>
      </c>
      <c r="BO497" t="str">
        <f t="shared" si="311"/>
        <v>Wolff, 1989</v>
      </c>
      <c r="BP497">
        <f t="shared" si="333"/>
        <v>31</v>
      </c>
      <c r="BQ497" t="str">
        <f t="shared" si="312"/>
        <v/>
      </c>
      <c r="BR497" t="str">
        <f t="shared" si="326"/>
        <v/>
      </c>
      <c r="BS497" t="str">
        <f t="shared" si="313"/>
        <v/>
      </c>
      <c r="BT497" t="str">
        <f t="shared" si="334"/>
        <v/>
      </c>
      <c r="BU497" t="str">
        <f t="shared" si="314"/>
        <v/>
      </c>
      <c r="BV497" t="str">
        <f t="shared" si="327"/>
        <v/>
      </c>
      <c r="BW497" t="str">
        <f t="shared" si="315"/>
        <v/>
      </c>
      <c r="BX497" t="str">
        <f t="shared" si="328"/>
        <v/>
      </c>
      <c r="BY497" t="str">
        <f t="shared" si="316"/>
        <v/>
      </c>
      <c r="BZ497" t="str">
        <f t="shared" si="329"/>
        <v/>
      </c>
      <c r="CA497" t="str">
        <f t="shared" si="317"/>
        <v/>
      </c>
      <c r="CB497" t="str">
        <f t="shared" si="299"/>
        <v/>
      </c>
      <c r="CC497" t="str">
        <f t="shared" si="318"/>
        <v/>
      </c>
      <c r="CD497" t="str">
        <f t="shared" si="300"/>
        <v/>
      </c>
      <c r="CE497" t="str">
        <f t="shared" si="319"/>
        <v>Bowles 5th edition</v>
      </c>
      <c r="CF497">
        <f t="shared" si="301"/>
        <v>154</v>
      </c>
      <c r="CG497" t="str">
        <f t="shared" si="320"/>
        <v/>
      </c>
      <c r="CH497" t="str">
        <f t="shared" si="302"/>
        <v/>
      </c>
      <c r="CI497" t="str">
        <f t="shared" si="321"/>
        <v/>
      </c>
      <c r="CJ497" t="str">
        <f t="shared" si="330"/>
        <v/>
      </c>
    </row>
    <row r="498" spans="2:88" x14ac:dyDescent="0.3">
      <c r="B498" t="str">
        <f t="shared" si="322"/>
        <v>36.824139-76.074577</v>
      </c>
      <c r="C498" s="30" t="s">
        <v>140</v>
      </c>
      <c r="D498">
        <v>36.824139000000002</v>
      </c>
      <c r="E498">
        <v>-76.074577000000005</v>
      </c>
      <c r="F498">
        <v>5</v>
      </c>
      <c r="G498" t="str">
        <f t="shared" si="323"/>
        <v>5336.824139-76.074577</v>
      </c>
      <c r="H498">
        <v>5</v>
      </c>
      <c r="I498">
        <v>3</v>
      </c>
      <c r="J498" s="30" t="s">
        <v>21</v>
      </c>
      <c r="L498" t="s">
        <v>17</v>
      </c>
      <c r="M498">
        <v>14</v>
      </c>
      <c r="S498" t="str">
        <f t="shared" si="335"/>
        <v>Sand</v>
      </c>
      <c r="T498">
        <f t="shared" si="324"/>
        <v>1</v>
      </c>
      <c r="AA498">
        <v>80</v>
      </c>
      <c r="AB498" s="1">
        <f t="shared" si="331"/>
        <v>19</v>
      </c>
      <c r="AC498">
        <f t="shared" si="332"/>
        <v>58</v>
      </c>
      <c r="AD498" t="str">
        <f t="shared" si="325"/>
        <v/>
      </c>
      <c r="AG498" s="21" t="str">
        <f t="shared" si="303"/>
        <v/>
      </c>
      <c r="AI498" s="6" t="str">
        <f t="shared" si="304"/>
        <v/>
      </c>
      <c r="AM498" s="7" t="str">
        <f t="shared" si="305"/>
        <v/>
      </c>
      <c r="AQ498" s="8" t="str">
        <f t="shared" si="306"/>
        <v/>
      </c>
      <c r="AW498" s="25" t="str">
        <f t="shared" si="307"/>
        <v/>
      </c>
      <c r="AZ498" s="12" t="str">
        <f t="shared" si="308"/>
        <v/>
      </c>
      <c r="BI498" s="17" t="str">
        <f t="shared" si="309"/>
        <v/>
      </c>
      <c r="BM498" t="str">
        <f t="shared" si="310"/>
        <v>SPT Relationship</v>
      </c>
      <c r="BN498">
        <f t="shared" si="298"/>
        <v>122</v>
      </c>
      <c r="BO498" t="str">
        <f t="shared" si="311"/>
        <v>Wolff, 1989</v>
      </c>
      <c r="BP498">
        <f t="shared" si="333"/>
        <v>42</v>
      </c>
      <c r="BQ498" t="str">
        <f t="shared" si="312"/>
        <v/>
      </c>
      <c r="BR498" t="str">
        <f t="shared" si="326"/>
        <v/>
      </c>
      <c r="BS498" t="str">
        <f t="shared" si="313"/>
        <v/>
      </c>
      <c r="BT498" t="str">
        <f t="shared" si="334"/>
        <v/>
      </c>
      <c r="BU498" t="str">
        <f t="shared" si="314"/>
        <v/>
      </c>
      <c r="BV498" t="str">
        <f t="shared" si="327"/>
        <v/>
      </c>
      <c r="BW498" t="str">
        <f t="shared" si="315"/>
        <v/>
      </c>
      <c r="BX498" t="str">
        <f t="shared" si="328"/>
        <v/>
      </c>
      <c r="BY498" t="str">
        <f t="shared" si="316"/>
        <v/>
      </c>
      <c r="BZ498" t="str">
        <f t="shared" si="329"/>
        <v/>
      </c>
      <c r="CA498" t="str">
        <f t="shared" si="317"/>
        <v/>
      </c>
      <c r="CB498" t="str">
        <f t="shared" si="299"/>
        <v/>
      </c>
      <c r="CC498" t="str">
        <f t="shared" si="318"/>
        <v/>
      </c>
      <c r="CD498" t="str">
        <f t="shared" si="300"/>
        <v/>
      </c>
      <c r="CE498" t="str">
        <f t="shared" si="319"/>
        <v>Bowles 5th edition</v>
      </c>
      <c r="CF498">
        <f t="shared" si="301"/>
        <v>218</v>
      </c>
      <c r="CG498" t="str">
        <f t="shared" si="320"/>
        <v/>
      </c>
      <c r="CH498" t="str">
        <f t="shared" si="302"/>
        <v/>
      </c>
      <c r="CI498" t="str">
        <f t="shared" si="321"/>
        <v/>
      </c>
      <c r="CJ498" t="str">
        <f t="shared" si="330"/>
        <v/>
      </c>
    </row>
    <row r="499" spans="2:88" x14ac:dyDescent="0.3">
      <c r="B499" t="str">
        <f t="shared" si="322"/>
        <v>36.824139-76.074577</v>
      </c>
      <c r="C499" s="30" t="s">
        <v>140</v>
      </c>
      <c r="D499">
        <v>36.824139000000002</v>
      </c>
      <c r="E499">
        <v>-76.074577000000005</v>
      </c>
      <c r="F499">
        <v>5</v>
      </c>
      <c r="G499" t="str">
        <f t="shared" si="323"/>
        <v>3136.824139-76.074577</v>
      </c>
      <c r="H499">
        <v>3</v>
      </c>
      <c r="I499">
        <v>1</v>
      </c>
      <c r="J499" s="30" t="s">
        <v>21</v>
      </c>
      <c r="L499" t="s">
        <v>17</v>
      </c>
      <c r="M499">
        <v>8</v>
      </c>
      <c r="S499" t="str">
        <f t="shared" si="335"/>
        <v>Sand</v>
      </c>
      <c r="T499">
        <f t="shared" si="324"/>
        <v>1</v>
      </c>
      <c r="AA499">
        <v>80</v>
      </c>
      <c r="AB499" s="1">
        <f t="shared" si="331"/>
        <v>11</v>
      </c>
      <c r="AC499">
        <f t="shared" si="332"/>
        <v>23</v>
      </c>
      <c r="AD499" t="str">
        <f t="shared" si="325"/>
        <v/>
      </c>
      <c r="AG499" s="21" t="str">
        <f t="shared" si="303"/>
        <v/>
      </c>
      <c r="AI499" s="6" t="str">
        <f t="shared" si="304"/>
        <v/>
      </c>
      <c r="AM499" s="7" t="str">
        <f t="shared" si="305"/>
        <v/>
      </c>
      <c r="AQ499" s="8" t="str">
        <f t="shared" si="306"/>
        <v/>
      </c>
      <c r="AW499" s="25" t="str">
        <f t="shared" si="307"/>
        <v/>
      </c>
      <c r="AZ499" s="12" t="str">
        <f t="shared" si="308"/>
        <v/>
      </c>
      <c r="BI499" s="17" t="str">
        <f t="shared" si="309"/>
        <v/>
      </c>
      <c r="BM499" t="str">
        <f t="shared" si="310"/>
        <v>SPT Relationship</v>
      </c>
      <c r="BN499">
        <f t="shared" si="298"/>
        <v>116</v>
      </c>
      <c r="BO499" t="str">
        <f t="shared" si="311"/>
        <v>Wolff, 1989</v>
      </c>
      <c r="BP499">
        <f t="shared" si="333"/>
        <v>33</v>
      </c>
      <c r="BQ499" t="str">
        <f t="shared" si="312"/>
        <v/>
      </c>
      <c r="BR499" t="str">
        <f t="shared" si="326"/>
        <v/>
      </c>
      <c r="BS499" t="str">
        <f t="shared" si="313"/>
        <v/>
      </c>
      <c r="BT499" t="str">
        <f t="shared" si="334"/>
        <v/>
      </c>
      <c r="BU499" t="str">
        <f t="shared" si="314"/>
        <v/>
      </c>
      <c r="BV499" t="str">
        <f t="shared" si="327"/>
        <v/>
      </c>
      <c r="BW499" t="str">
        <f t="shared" si="315"/>
        <v/>
      </c>
      <c r="BX499" t="str">
        <f t="shared" si="328"/>
        <v/>
      </c>
      <c r="BY499" t="str">
        <f t="shared" si="316"/>
        <v/>
      </c>
      <c r="BZ499" t="str">
        <f t="shared" si="329"/>
        <v/>
      </c>
      <c r="CA499" t="str">
        <f t="shared" si="317"/>
        <v/>
      </c>
      <c r="CB499" t="str">
        <f t="shared" si="299"/>
        <v/>
      </c>
      <c r="CC499" t="str">
        <f t="shared" si="318"/>
        <v/>
      </c>
      <c r="CD499" t="str">
        <f t="shared" si="300"/>
        <v/>
      </c>
      <c r="CE499" t="str">
        <f t="shared" si="319"/>
        <v>Bowles 5th edition</v>
      </c>
      <c r="CF499">
        <f t="shared" si="301"/>
        <v>166</v>
      </c>
      <c r="CG499" t="str">
        <f t="shared" si="320"/>
        <v/>
      </c>
      <c r="CH499" t="str">
        <f t="shared" si="302"/>
        <v/>
      </c>
      <c r="CI499" t="str">
        <f t="shared" si="321"/>
        <v/>
      </c>
      <c r="CJ499" t="str">
        <f t="shared" si="330"/>
        <v/>
      </c>
    </row>
    <row r="500" spans="2:88" x14ac:dyDescent="0.3">
      <c r="B500" t="str">
        <f t="shared" si="322"/>
        <v>36.824139-76.074577</v>
      </c>
      <c r="C500" s="30" t="s">
        <v>140</v>
      </c>
      <c r="D500">
        <v>36.824139000000002</v>
      </c>
      <c r="E500">
        <v>-76.074577000000005</v>
      </c>
      <c r="F500">
        <v>5</v>
      </c>
      <c r="G500" t="str">
        <f t="shared" si="323"/>
        <v>1-136.824139-76.074577</v>
      </c>
      <c r="H500">
        <v>1</v>
      </c>
      <c r="I500">
        <v>-1</v>
      </c>
      <c r="J500" s="30" t="s">
        <v>21</v>
      </c>
      <c r="L500" t="s">
        <v>17</v>
      </c>
      <c r="M500">
        <v>8</v>
      </c>
      <c r="S500" t="str">
        <f t="shared" si="335"/>
        <v>Sand</v>
      </c>
      <c r="T500">
        <f t="shared" si="324"/>
        <v>1</v>
      </c>
      <c r="AA500">
        <v>80</v>
      </c>
      <c r="AB500" s="1">
        <f t="shared" si="331"/>
        <v>11</v>
      </c>
      <c r="AC500">
        <f t="shared" si="332"/>
        <v>19</v>
      </c>
      <c r="AD500" t="str">
        <f t="shared" si="325"/>
        <v/>
      </c>
      <c r="AG500" s="21" t="str">
        <f t="shared" si="303"/>
        <v/>
      </c>
      <c r="AI500" s="6" t="str">
        <f t="shared" si="304"/>
        <v/>
      </c>
      <c r="AM500" s="7" t="str">
        <f t="shared" si="305"/>
        <v/>
      </c>
      <c r="AQ500" s="8" t="str">
        <f t="shared" si="306"/>
        <v/>
      </c>
      <c r="AW500" s="25" t="str">
        <f t="shared" si="307"/>
        <v/>
      </c>
      <c r="AZ500" s="12" t="str">
        <f t="shared" si="308"/>
        <v/>
      </c>
      <c r="BI500" s="17" t="str">
        <f t="shared" si="309"/>
        <v/>
      </c>
      <c r="BM500" t="str">
        <f t="shared" si="310"/>
        <v>SPT Relationship</v>
      </c>
      <c r="BN500">
        <f t="shared" si="298"/>
        <v>116</v>
      </c>
      <c r="BO500" t="str">
        <f t="shared" si="311"/>
        <v>Wolff, 1989</v>
      </c>
      <c r="BP500">
        <f t="shared" si="333"/>
        <v>32</v>
      </c>
      <c r="BQ500" t="str">
        <f t="shared" si="312"/>
        <v/>
      </c>
      <c r="BR500" t="str">
        <f t="shared" si="326"/>
        <v/>
      </c>
      <c r="BS500" t="str">
        <f t="shared" si="313"/>
        <v/>
      </c>
      <c r="BT500" t="str">
        <f t="shared" si="334"/>
        <v/>
      </c>
      <c r="BU500" t="str">
        <f t="shared" si="314"/>
        <v/>
      </c>
      <c r="BV500" t="str">
        <f t="shared" si="327"/>
        <v/>
      </c>
      <c r="BW500" t="str">
        <f t="shared" si="315"/>
        <v/>
      </c>
      <c r="BX500" t="str">
        <f t="shared" si="328"/>
        <v/>
      </c>
      <c r="BY500" t="str">
        <f t="shared" si="316"/>
        <v/>
      </c>
      <c r="BZ500" t="str">
        <f t="shared" si="329"/>
        <v/>
      </c>
      <c r="CA500" t="str">
        <f t="shared" si="317"/>
        <v/>
      </c>
      <c r="CB500" t="str">
        <f t="shared" si="299"/>
        <v/>
      </c>
      <c r="CC500" t="str">
        <f t="shared" si="318"/>
        <v/>
      </c>
      <c r="CD500" t="str">
        <f t="shared" si="300"/>
        <v/>
      </c>
      <c r="CE500" t="str">
        <f t="shared" si="319"/>
        <v>Bowles 5th edition</v>
      </c>
      <c r="CF500">
        <f t="shared" si="301"/>
        <v>166</v>
      </c>
      <c r="CG500" t="str">
        <f t="shared" si="320"/>
        <v/>
      </c>
      <c r="CH500" t="str">
        <f t="shared" si="302"/>
        <v/>
      </c>
      <c r="CI500" t="str">
        <f t="shared" si="321"/>
        <v/>
      </c>
      <c r="CJ500" t="str">
        <f t="shared" si="330"/>
        <v/>
      </c>
    </row>
    <row r="501" spans="2:88" x14ac:dyDescent="0.3">
      <c r="B501" t="str">
        <f t="shared" si="322"/>
        <v>36.824139-76.074577</v>
      </c>
      <c r="C501" s="30" t="s">
        <v>140</v>
      </c>
      <c r="D501">
        <v>36.824139000000002</v>
      </c>
      <c r="E501">
        <v>-76.074577000000005</v>
      </c>
      <c r="F501">
        <v>5</v>
      </c>
      <c r="G501" t="str">
        <f t="shared" si="323"/>
        <v>-1-336.824139-76.074577</v>
      </c>
      <c r="H501">
        <v>-1</v>
      </c>
      <c r="I501">
        <v>-3</v>
      </c>
      <c r="J501" s="30" t="s">
        <v>21</v>
      </c>
      <c r="L501" t="s">
        <v>17</v>
      </c>
      <c r="M501">
        <v>3</v>
      </c>
      <c r="S501" t="str">
        <f t="shared" si="335"/>
        <v>Sand</v>
      </c>
      <c r="T501">
        <f t="shared" si="324"/>
        <v>1</v>
      </c>
      <c r="AA501">
        <v>80</v>
      </c>
      <c r="AB501" s="1">
        <f t="shared" si="331"/>
        <v>4</v>
      </c>
      <c r="AC501">
        <f t="shared" si="332"/>
        <v>6</v>
      </c>
      <c r="AD501" t="str">
        <f t="shared" si="325"/>
        <v/>
      </c>
      <c r="AG501" s="21" t="str">
        <f t="shared" si="303"/>
        <v/>
      </c>
      <c r="AI501" s="6" t="str">
        <f t="shared" si="304"/>
        <v/>
      </c>
      <c r="AM501" s="7" t="str">
        <f t="shared" si="305"/>
        <v/>
      </c>
      <c r="AQ501" s="8" t="str">
        <f t="shared" si="306"/>
        <v/>
      </c>
      <c r="AW501" s="25" t="str">
        <f t="shared" si="307"/>
        <v/>
      </c>
      <c r="AZ501" s="12" t="str">
        <f t="shared" si="308"/>
        <v/>
      </c>
      <c r="BI501" s="17" t="str">
        <f t="shared" si="309"/>
        <v/>
      </c>
      <c r="BM501" t="str">
        <f t="shared" si="310"/>
        <v>SPT Relationship</v>
      </c>
      <c r="BN501">
        <f t="shared" si="298"/>
        <v>105</v>
      </c>
      <c r="BO501" t="str">
        <f t="shared" si="311"/>
        <v>Wolff, 1989</v>
      </c>
      <c r="BP501">
        <f t="shared" si="333"/>
        <v>28</v>
      </c>
      <c r="BQ501" t="str">
        <f t="shared" si="312"/>
        <v/>
      </c>
      <c r="BR501" t="str">
        <f t="shared" si="326"/>
        <v/>
      </c>
      <c r="BS501" t="str">
        <f t="shared" si="313"/>
        <v/>
      </c>
      <c r="BT501" t="str">
        <f t="shared" si="334"/>
        <v/>
      </c>
      <c r="BU501" t="str">
        <f t="shared" si="314"/>
        <v/>
      </c>
      <c r="BV501" t="str">
        <f t="shared" si="327"/>
        <v/>
      </c>
      <c r="BW501" t="str">
        <f t="shared" si="315"/>
        <v/>
      </c>
      <c r="BX501" t="str">
        <f t="shared" si="328"/>
        <v/>
      </c>
      <c r="BY501" t="str">
        <f t="shared" si="316"/>
        <v/>
      </c>
      <c r="BZ501" t="str">
        <f t="shared" si="329"/>
        <v/>
      </c>
      <c r="CA501" t="str">
        <f t="shared" si="317"/>
        <v/>
      </c>
      <c r="CB501" t="str">
        <f t="shared" si="299"/>
        <v/>
      </c>
      <c r="CC501" t="str">
        <f t="shared" si="318"/>
        <v/>
      </c>
      <c r="CD501" t="str">
        <f t="shared" si="300"/>
        <v/>
      </c>
      <c r="CE501" t="str">
        <f t="shared" si="319"/>
        <v>Bowles 5th edition</v>
      </c>
      <c r="CF501">
        <f t="shared" si="301"/>
        <v>122</v>
      </c>
      <c r="CG501" t="str">
        <f t="shared" si="320"/>
        <v/>
      </c>
      <c r="CH501" t="str">
        <f t="shared" si="302"/>
        <v/>
      </c>
      <c r="CI501" t="str">
        <f t="shared" si="321"/>
        <v/>
      </c>
      <c r="CJ501" t="str">
        <f t="shared" si="330"/>
        <v/>
      </c>
    </row>
    <row r="502" spans="2:88" x14ac:dyDescent="0.3">
      <c r="B502" t="str">
        <f t="shared" si="322"/>
        <v>36.824139-76.074577</v>
      </c>
      <c r="C502" s="30" t="s">
        <v>140</v>
      </c>
      <c r="D502">
        <v>36.824139000000002</v>
      </c>
      <c r="E502">
        <v>-76.074577000000005</v>
      </c>
      <c r="F502">
        <v>5</v>
      </c>
      <c r="G502" t="str">
        <f t="shared" si="323"/>
        <v>-3-536.824139-76.074577</v>
      </c>
      <c r="H502">
        <v>-3</v>
      </c>
      <c r="I502">
        <v>-5</v>
      </c>
      <c r="J502" s="30" t="s">
        <v>21</v>
      </c>
      <c r="L502" t="s">
        <v>113</v>
      </c>
      <c r="M502">
        <v>2</v>
      </c>
      <c r="S502" t="str">
        <f t="shared" si="335"/>
        <v>Clay</v>
      </c>
      <c r="T502">
        <f t="shared" si="324"/>
        <v>1</v>
      </c>
      <c r="AA502">
        <v>80</v>
      </c>
      <c r="AB502" s="1">
        <f t="shared" si="331"/>
        <v>3</v>
      </c>
      <c r="AC502">
        <f t="shared" si="332"/>
        <v>4</v>
      </c>
      <c r="AD502" t="str">
        <f t="shared" si="325"/>
        <v/>
      </c>
      <c r="AG502" s="21" t="str">
        <f t="shared" si="303"/>
        <v/>
      </c>
      <c r="AI502" s="6" t="str">
        <f t="shared" si="304"/>
        <v/>
      </c>
      <c r="AM502" s="7" t="str">
        <f t="shared" si="305"/>
        <v/>
      </c>
      <c r="AQ502" s="8" t="str">
        <f t="shared" si="306"/>
        <v/>
      </c>
      <c r="AW502" s="25" t="str">
        <f t="shared" si="307"/>
        <v/>
      </c>
      <c r="AZ502" s="12" t="str">
        <f t="shared" si="308"/>
        <v/>
      </c>
      <c r="BI502" s="17" t="str">
        <f t="shared" si="309"/>
        <v/>
      </c>
      <c r="BM502" t="str">
        <f t="shared" si="310"/>
        <v>SPT Relationship</v>
      </c>
      <c r="BN502">
        <f t="shared" si="298"/>
        <v>101</v>
      </c>
      <c r="BO502" t="str">
        <f t="shared" si="311"/>
        <v>Wolff, 1989</v>
      </c>
      <c r="BP502">
        <f t="shared" si="333"/>
        <v>28</v>
      </c>
      <c r="BQ502" t="str">
        <f t="shared" si="312"/>
        <v/>
      </c>
      <c r="BR502" t="str">
        <f t="shared" si="326"/>
        <v/>
      </c>
      <c r="BS502" t="str">
        <f t="shared" si="313"/>
        <v>Stroud 1974 (K=3.5)</v>
      </c>
      <c r="BT502">
        <f t="shared" si="334"/>
        <v>219</v>
      </c>
      <c r="BU502" t="str">
        <f t="shared" si="314"/>
        <v/>
      </c>
      <c r="BV502" t="str">
        <f t="shared" si="327"/>
        <v/>
      </c>
      <c r="BW502" t="str">
        <f t="shared" si="315"/>
        <v/>
      </c>
      <c r="BX502" t="str">
        <f t="shared" si="328"/>
        <v/>
      </c>
      <c r="BY502" t="str">
        <f t="shared" si="316"/>
        <v/>
      </c>
      <c r="BZ502" t="str">
        <f t="shared" si="329"/>
        <v/>
      </c>
      <c r="CA502" t="str">
        <f t="shared" si="317"/>
        <v/>
      </c>
      <c r="CB502" t="str">
        <f t="shared" si="299"/>
        <v/>
      </c>
      <c r="CC502" t="str">
        <f t="shared" si="318"/>
        <v/>
      </c>
      <c r="CD502" t="str">
        <f t="shared" si="300"/>
        <v/>
      </c>
      <c r="CE502" t="str">
        <f t="shared" si="319"/>
        <v/>
      </c>
      <c r="CF502" t="str">
        <f t="shared" si="301"/>
        <v/>
      </c>
      <c r="CG502" t="str">
        <f t="shared" si="320"/>
        <v/>
      </c>
      <c r="CH502" t="str">
        <f t="shared" si="302"/>
        <v/>
      </c>
      <c r="CI502" t="str">
        <f t="shared" si="321"/>
        <v/>
      </c>
      <c r="CJ502" t="str">
        <f t="shared" si="330"/>
        <v/>
      </c>
    </row>
    <row r="503" spans="2:88" x14ac:dyDescent="0.3">
      <c r="B503" t="str">
        <f t="shared" si="322"/>
        <v>36.824139-76.074577</v>
      </c>
      <c r="C503" s="30" t="s">
        <v>140</v>
      </c>
      <c r="D503">
        <v>36.824139000000002</v>
      </c>
      <c r="E503">
        <v>-76.074577000000005</v>
      </c>
      <c r="F503">
        <v>5</v>
      </c>
      <c r="G503" t="str">
        <f t="shared" si="323"/>
        <v>-5-736.824139-76.074577</v>
      </c>
      <c r="H503">
        <v>-5</v>
      </c>
      <c r="I503">
        <v>-7</v>
      </c>
      <c r="J503" s="30" t="s">
        <v>21</v>
      </c>
      <c r="L503" t="s">
        <v>17</v>
      </c>
      <c r="M503">
        <v>2</v>
      </c>
      <c r="S503" t="str">
        <f t="shared" si="335"/>
        <v>Sand</v>
      </c>
      <c r="T503">
        <f t="shared" si="324"/>
        <v>1</v>
      </c>
      <c r="AA503">
        <v>80</v>
      </c>
      <c r="AB503" s="1">
        <f t="shared" si="331"/>
        <v>3</v>
      </c>
      <c r="AC503">
        <f t="shared" si="332"/>
        <v>3</v>
      </c>
      <c r="AD503" t="str">
        <f t="shared" si="325"/>
        <v/>
      </c>
      <c r="AG503" s="21" t="str">
        <f t="shared" si="303"/>
        <v/>
      </c>
      <c r="AI503" s="6" t="str">
        <f t="shared" si="304"/>
        <v/>
      </c>
      <c r="AM503" s="7" t="str">
        <f t="shared" si="305"/>
        <v/>
      </c>
      <c r="AQ503" s="8" t="str">
        <f t="shared" si="306"/>
        <v/>
      </c>
      <c r="AW503" s="25" t="str">
        <f t="shared" si="307"/>
        <v/>
      </c>
      <c r="AZ503" s="12" t="str">
        <f t="shared" si="308"/>
        <v/>
      </c>
      <c r="BI503" s="17" t="str">
        <f t="shared" si="309"/>
        <v/>
      </c>
      <c r="BM503" t="str">
        <f t="shared" si="310"/>
        <v>SPT Relationship</v>
      </c>
      <c r="BN503">
        <f t="shared" si="298"/>
        <v>101</v>
      </c>
      <c r="BO503" t="str">
        <f t="shared" si="311"/>
        <v>Wolff, 1989</v>
      </c>
      <c r="BP503">
        <f t="shared" si="333"/>
        <v>27</v>
      </c>
      <c r="BQ503" t="str">
        <f t="shared" si="312"/>
        <v/>
      </c>
      <c r="BR503" t="str">
        <f t="shared" si="326"/>
        <v/>
      </c>
      <c r="BS503" t="str">
        <f t="shared" si="313"/>
        <v/>
      </c>
      <c r="BT503" t="str">
        <f t="shared" si="334"/>
        <v/>
      </c>
      <c r="BU503" t="str">
        <f t="shared" si="314"/>
        <v/>
      </c>
      <c r="BV503" t="str">
        <f t="shared" si="327"/>
        <v/>
      </c>
      <c r="BW503" t="str">
        <f t="shared" si="315"/>
        <v/>
      </c>
      <c r="BX503" t="str">
        <f t="shared" si="328"/>
        <v/>
      </c>
      <c r="BY503" t="str">
        <f t="shared" si="316"/>
        <v/>
      </c>
      <c r="BZ503" t="str">
        <f t="shared" si="329"/>
        <v/>
      </c>
      <c r="CA503" t="str">
        <f t="shared" si="317"/>
        <v/>
      </c>
      <c r="CB503" t="str">
        <f t="shared" si="299"/>
        <v/>
      </c>
      <c r="CC503" t="str">
        <f t="shared" si="318"/>
        <v/>
      </c>
      <c r="CD503" t="str">
        <f t="shared" si="300"/>
        <v/>
      </c>
      <c r="CE503" t="str">
        <f t="shared" si="319"/>
        <v>Bowles 5th edition</v>
      </c>
      <c r="CF503">
        <f t="shared" si="301"/>
        <v>115</v>
      </c>
      <c r="CG503" t="str">
        <f t="shared" si="320"/>
        <v/>
      </c>
      <c r="CH503" t="str">
        <f t="shared" si="302"/>
        <v/>
      </c>
      <c r="CI503" t="str">
        <f t="shared" si="321"/>
        <v/>
      </c>
      <c r="CJ503" t="str">
        <f t="shared" si="330"/>
        <v/>
      </c>
    </row>
    <row r="504" spans="2:88" x14ac:dyDescent="0.3">
      <c r="B504" t="str">
        <f t="shared" si="322"/>
        <v>36.824139-76.074577</v>
      </c>
      <c r="C504" s="30" t="s">
        <v>140</v>
      </c>
      <c r="D504">
        <v>36.824139000000002</v>
      </c>
      <c r="E504">
        <v>-76.074577000000005</v>
      </c>
      <c r="F504">
        <v>5</v>
      </c>
      <c r="G504" t="str">
        <f t="shared" si="323"/>
        <v>-8-1036.824139-76.074577</v>
      </c>
      <c r="H504">
        <v>-8</v>
      </c>
      <c r="I504">
        <v>-10</v>
      </c>
      <c r="J504" s="30" t="s">
        <v>21</v>
      </c>
      <c r="L504" t="s">
        <v>113</v>
      </c>
      <c r="M504">
        <v>2</v>
      </c>
      <c r="S504" t="str">
        <f t="shared" si="335"/>
        <v>Clay</v>
      </c>
      <c r="T504">
        <f t="shared" si="324"/>
        <v>1</v>
      </c>
      <c r="AA504">
        <v>80</v>
      </c>
      <c r="AB504" s="1">
        <f t="shared" si="331"/>
        <v>3</v>
      </c>
      <c r="AC504">
        <f t="shared" si="332"/>
        <v>3</v>
      </c>
      <c r="AD504" t="str">
        <f t="shared" si="325"/>
        <v/>
      </c>
      <c r="AG504" s="21" t="str">
        <f t="shared" si="303"/>
        <v/>
      </c>
      <c r="AI504" s="6" t="str">
        <f t="shared" si="304"/>
        <v/>
      </c>
      <c r="AM504" s="7" t="str">
        <f t="shared" si="305"/>
        <v/>
      </c>
      <c r="AQ504" s="8" t="str">
        <f t="shared" si="306"/>
        <v/>
      </c>
      <c r="AW504" s="25" t="str">
        <f t="shared" si="307"/>
        <v/>
      </c>
      <c r="AZ504" s="12" t="str">
        <f t="shared" si="308"/>
        <v/>
      </c>
      <c r="BI504" s="17" t="str">
        <f t="shared" si="309"/>
        <v/>
      </c>
      <c r="BM504" t="str">
        <f t="shared" si="310"/>
        <v>SPT Relationship</v>
      </c>
      <c r="BN504">
        <f t="shared" si="298"/>
        <v>101</v>
      </c>
      <c r="BO504" t="str">
        <f t="shared" si="311"/>
        <v>Wolff, 1989</v>
      </c>
      <c r="BP504">
        <f t="shared" si="333"/>
        <v>27</v>
      </c>
      <c r="BQ504" t="str">
        <f t="shared" si="312"/>
        <v/>
      </c>
      <c r="BR504" t="str">
        <f t="shared" si="326"/>
        <v/>
      </c>
      <c r="BS504" t="str">
        <f t="shared" si="313"/>
        <v>Stroud 1974 (K=3.5)</v>
      </c>
      <c r="BT504">
        <f t="shared" si="334"/>
        <v>219</v>
      </c>
      <c r="BU504" t="str">
        <f t="shared" si="314"/>
        <v/>
      </c>
      <c r="BV504" t="str">
        <f t="shared" si="327"/>
        <v/>
      </c>
      <c r="BW504" t="str">
        <f t="shared" si="315"/>
        <v/>
      </c>
      <c r="BX504" t="str">
        <f t="shared" si="328"/>
        <v/>
      </c>
      <c r="BY504" t="str">
        <f t="shared" si="316"/>
        <v/>
      </c>
      <c r="BZ504" t="str">
        <f t="shared" si="329"/>
        <v/>
      </c>
      <c r="CA504" t="str">
        <f t="shared" si="317"/>
        <v/>
      </c>
      <c r="CB504" t="str">
        <f t="shared" si="299"/>
        <v/>
      </c>
      <c r="CC504" t="str">
        <f t="shared" si="318"/>
        <v/>
      </c>
      <c r="CD504" t="str">
        <f t="shared" si="300"/>
        <v/>
      </c>
      <c r="CE504" t="str">
        <f t="shared" si="319"/>
        <v/>
      </c>
      <c r="CF504" t="str">
        <f t="shared" si="301"/>
        <v/>
      </c>
      <c r="CG504" t="str">
        <f t="shared" si="320"/>
        <v/>
      </c>
      <c r="CH504" t="str">
        <f t="shared" si="302"/>
        <v/>
      </c>
      <c r="CI504" t="str">
        <f t="shared" si="321"/>
        <v/>
      </c>
      <c r="CJ504" t="str">
        <f t="shared" si="330"/>
        <v/>
      </c>
    </row>
    <row r="505" spans="2:88" x14ac:dyDescent="0.3">
      <c r="B505" t="str">
        <f t="shared" si="322"/>
        <v>36.824139-76.074577</v>
      </c>
      <c r="C505" s="30" t="s">
        <v>140</v>
      </c>
      <c r="D505">
        <v>36.824139000000002</v>
      </c>
      <c r="E505">
        <v>-76.074577000000005</v>
      </c>
      <c r="F505">
        <v>5</v>
      </c>
      <c r="G505" t="str">
        <f t="shared" si="323"/>
        <v>-13-1536.824139-76.074577</v>
      </c>
      <c r="H505">
        <v>-13</v>
      </c>
      <c r="I505">
        <v>-15</v>
      </c>
      <c r="J505" s="30" t="s">
        <v>21</v>
      </c>
      <c r="L505" t="s">
        <v>8</v>
      </c>
      <c r="M505">
        <v>9</v>
      </c>
      <c r="S505" t="str">
        <f t="shared" si="335"/>
        <v>Sand</v>
      </c>
      <c r="T505">
        <f t="shared" si="324"/>
        <v>1</v>
      </c>
      <c r="AA505">
        <v>80</v>
      </c>
      <c r="AB505" s="1">
        <f t="shared" si="331"/>
        <v>12</v>
      </c>
      <c r="AC505">
        <f t="shared" si="332"/>
        <v>11</v>
      </c>
      <c r="AD505" t="str">
        <f t="shared" si="325"/>
        <v/>
      </c>
      <c r="AG505" s="21" t="str">
        <f t="shared" si="303"/>
        <v/>
      </c>
      <c r="AI505" s="6" t="str">
        <f t="shared" si="304"/>
        <v/>
      </c>
      <c r="AM505" s="7" t="str">
        <f t="shared" si="305"/>
        <v/>
      </c>
      <c r="AQ505" s="8" t="str">
        <f t="shared" si="306"/>
        <v/>
      </c>
      <c r="AW505" s="25" t="str">
        <f t="shared" si="307"/>
        <v/>
      </c>
      <c r="AZ505" s="12" t="str">
        <f t="shared" si="308"/>
        <v/>
      </c>
      <c r="BI505" s="17" t="str">
        <f t="shared" si="309"/>
        <v/>
      </c>
      <c r="BM505" t="str">
        <f t="shared" si="310"/>
        <v>SPT Relationship</v>
      </c>
      <c r="BN505">
        <f t="shared" si="298"/>
        <v>117</v>
      </c>
      <c r="BO505" t="str">
        <f t="shared" si="311"/>
        <v>Wolff, 1989</v>
      </c>
      <c r="BP505">
        <f t="shared" si="333"/>
        <v>30</v>
      </c>
      <c r="BQ505" t="str">
        <f t="shared" si="312"/>
        <v/>
      </c>
      <c r="BR505" t="str">
        <f t="shared" si="326"/>
        <v/>
      </c>
      <c r="BS505" t="str">
        <f t="shared" si="313"/>
        <v/>
      </c>
      <c r="BT505" t="str">
        <f t="shared" si="334"/>
        <v/>
      </c>
      <c r="BU505" t="str">
        <f t="shared" si="314"/>
        <v/>
      </c>
      <c r="BV505" t="str">
        <f t="shared" si="327"/>
        <v/>
      </c>
      <c r="BW505" t="str">
        <f t="shared" si="315"/>
        <v/>
      </c>
      <c r="BX505" t="str">
        <f t="shared" si="328"/>
        <v/>
      </c>
      <c r="BY505" t="str">
        <f t="shared" si="316"/>
        <v/>
      </c>
      <c r="BZ505" t="str">
        <f t="shared" si="329"/>
        <v/>
      </c>
      <c r="CA505" t="str">
        <f t="shared" si="317"/>
        <v/>
      </c>
      <c r="CB505" t="str">
        <f t="shared" si="299"/>
        <v/>
      </c>
      <c r="CC505" t="str">
        <f t="shared" si="318"/>
        <v/>
      </c>
      <c r="CD505" t="str">
        <f t="shared" si="300"/>
        <v/>
      </c>
      <c r="CE505" t="str">
        <f t="shared" si="319"/>
        <v>Bowles 5th edition</v>
      </c>
      <c r="CF505">
        <f t="shared" si="301"/>
        <v>173</v>
      </c>
      <c r="CG505" t="str">
        <f t="shared" si="320"/>
        <v/>
      </c>
      <c r="CH505" t="str">
        <f t="shared" si="302"/>
        <v/>
      </c>
      <c r="CI505" t="str">
        <f t="shared" si="321"/>
        <v/>
      </c>
      <c r="CJ505" t="str">
        <f t="shared" si="330"/>
        <v/>
      </c>
    </row>
    <row r="506" spans="2:88" x14ac:dyDescent="0.3">
      <c r="B506" t="str">
        <f t="shared" si="322"/>
        <v>36.824139-76.074577</v>
      </c>
      <c r="C506" s="30" t="s">
        <v>140</v>
      </c>
      <c r="D506">
        <v>36.824139000000002</v>
      </c>
      <c r="E506">
        <v>-76.074577000000005</v>
      </c>
      <c r="F506">
        <v>5</v>
      </c>
      <c r="G506" t="str">
        <f t="shared" si="323"/>
        <v>-18-2036.824139-76.074577</v>
      </c>
      <c r="H506">
        <v>-18</v>
      </c>
      <c r="I506">
        <v>-20</v>
      </c>
      <c r="J506" s="30" t="s">
        <v>21</v>
      </c>
      <c r="L506" t="s">
        <v>8</v>
      </c>
      <c r="M506">
        <v>8</v>
      </c>
      <c r="S506" t="str">
        <f t="shared" si="335"/>
        <v>Sand</v>
      </c>
      <c r="T506">
        <f t="shared" si="324"/>
        <v>1</v>
      </c>
      <c r="AA506">
        <v>80</v>
      </c>
      <c r="AB506" s="1">
        <f t="shared" si="331"/>
        <v>11</v>
      </c>
      <c r="AC506">
        <f t="shared" si="332"/>
        <v>9</v>
      </c>
      <c r="AD506" t="str">
        <f t="shared" si="325"/>
        <v/>
      </c>
      <c r="AG506" s="21" t="str">
        <f t="shared" si="303"/>
        <v/>
      </c>
      <c r="AI506" s="6" t="str">
        <f t="shared" si="304"/>
        <v/>
      </c>
      <c r="AM506" s="7" t="str">
        <f t="shared" si="305"/>
        <v/>
      </c>
      <c r="AQ506" s="8" t="str">
        <f t="shared" si="306"/>
        <v/>
      </c>
      <c r="AW506" s="25" t="str">
        <f t="shared" si="307"/>
        <v/>
      </c>
      <c r="AZ506" s="12" t="str">
        <f t="shared" si="308"/>
        <v/>
      </c>
      <c r="BI506" s="17" t="str">
        <f t="shared" si="309"/>
        <v/>
      </c>
      <c r="BM506" t="str">
        <f t="shared" si="310"/>
        <v>SPT Relationship</v>
      </c>
      <c r="BN506">
        <f t="shared" si="298"/>
        <v>116</v>
      </c>
      <c r="BO506" t="str">
        <f t="shared" si="311"/>
        <v>Wolff, 1989</v>
      </c>
      <c r="BP506">
        <f t="shared" si="333"/>
        <v>29</v>
      </c>
      <c r="BQ506" t="str">
        <f t="shared" si="312"/>
        <v/>
      </c>
      <c r="BR506" t="str">
        <f t="shared" si="326"/>
        <v/>
      </c>
      <c r="BS506" t="str">
        <f t="shared" si="313"/>
        <v/>
      </c>
      <c r="BT506" t="str">
        <f t="shared" si="334"/>
        <v/>
      </c>
      <c r="BU506" t="str">
        <f t="shared" si="314"/>
        <v/>
      </c>
      <c r="BV506" t="str">
        <f t="shared" si="327"/>
        <v/>
      </c>
      <c r="BW506" t="str">
        <f t="shared" si="315"/>
        <v/>
      </c>
      <c r="BX506" t="str">
        <f t="shared" si="328"/>
        <v/>
      </c>
      <c r="BY506" t="str">
        <f t="shared" si="316"/>
        <v/>
      </c>
      <c r="BZ506" t="str">
        <f t="shared" si="329"/>
        <v/>
      </c>
      <c r="CA506" t="str">
        <f t="shared" si="317"/>
        <v/>
      </c>
      <c r="CB506" t="str">
        <f t="shared" si="299"/>
        <v/>
      </c>
      <c r="CC506" t="str">
        <f t="shared" si="318"/>
        <v/>
      </c>
      <c r="CD506" t="str">
        <f t="shared" si="300"/>
        <v/>
      </c>
      <c r="CE506" t="str">
        <f t="shared" si="319"/>
        <v>Bowles 5th edition</v>
      </c>
      <c r="CF506">
        <f t="shared" si="301"/>
        <v>166</v>
      </c>
      <c r="CG506" t="str">
        <f t="shared" si="320"/>
        <v/>
      </c>
      <c r="CH506" t="str">
        <f t="shared" si="302"/>
        <v/>
      </c>
      <c r="CI506" t="str">
        <f t="shared" si="321"/>
        <v/>
      </c>
      <c r="CJ506" t="str">
        <f t="shared" si="330"/>
        <v/>
      </c>
    </row>
    <row r="507" spans="2:88" x14ac:dyDescent="0.3">
      <c r="B507" t="str">
        <f t="shared" si="322"/>
        <v>36.824139-76.074577</v>
      </c>
      <c r="C507" s="30" t="s">
        <v>140</v>
      </c>
      <c r="D507">
        <v>36.824139000000002</v>
      </c>
      <c r="E507">
        <v>-76.074577000000005</v>
      </c>
      <c r="F507">
        <v>5</v>
      </c>
      <c r="G507" t="str">
        <f t="shared" si="323"/>
        <v>-23-2536.824139-76.074577</v>
      </c>
      <c r="H507">
        <v>-23</v>
      </c>
      <c r="I507">
        <v>-25</v>
      </c>
      <c r="J507" s="30" t="s">
        <v>21</v>
      </c>
      <c r="L507" t="s">
        <v>17</v>
      </c>
      <c r="M507">
        <v>3</v>
      </c>
      <c r="S507" t="str">
        <f t="shared" si="335"/>
        <v>Sand</v>
      </c>
      <c r="T507">
        <f t="shared" si="324"/>
        <v>1</v>
      </c>
      <c r="AA507">
        <v>80</v>
      </c>
      <c r="AB507" s="1">
        <f t="shared" si="331"/>
        <v>4</v>
      </c>
      <c r="AC507">
        <f t="shared" si="332"/>
        <v>3</v>
      </c>
      <c r="AD507" t="str">
        <f t="shared" si="325"/>
        <v/>
      </c>
      <c r="AG507" s="21" t="str">
        <f t="shared" si="303"/>
        <v/>
      </c>
      <c r="AI507" s="6" t="str">
        <f t="shared" si="304"/>
        <v/>
      </c>
      <c r="AM507" s="7" t="str">
        <f t="shared" si="305"/>
        <v/>
      </c>
      <c r="AQ507" s="8" t="str">
        <f t="shared" si="306"/>
        <v/>
      </c>
      <c r="AW507" s="25" t="str">
        <f t="shared" si="307"/>
        <v/>
      </c>
      <c r="AZ507" s="12" t="str">
        <f t="shared" si="308"/>
        <v/>
      </c>
      <c r="BI507" s="17" t="str">
        <f t="shared" si="309"/>
        <v/>
      </c>
      <c r="BM507" t="str">
        <f t="shared" si="310"/>
        <v>SPT Relationship</v>
      </c>
      <c r="BN507">
        <f t="shared" si="298"/>
        <v>105</v>
      </c>
      <c r="BO507" t="str">
        <f t="shared" si="311"/>
        <v>Wolff, 1989</v>
      </c>
      <c r="BP507">
        <f t="shared" si="333"/>
        <v>27</v>
      </c>
      <c r="BQ507" t="str">
        <f t="shared" si="312"/>
        <v/>
      </c>
      <c r="BR507" t="str">
        <f t="shared" si="326"/>
        <v/>
      </c>
      <c r="BS507" t="str">
        <f t="shared" si="313"/>
        <v/>
      </c>
      <c r="BT507" t="str">
        <f t="shared" si="334"/>
        <v/>
      </c>
      <c r="BU507" t="str">
        <f t="shared" si="314"/>
        <v/>
      </c>
      <c r="BV507" t="str">
        <f t="shared" si="327"/>
        <v/>
      </c>
      <c r="BW507" t="str">
        <f t="shared" si="315"/>
        <v/>
      </c>
      <c r="BX507" t="str">
        <f t="shared" si="328"/>
        <v/>
      </c>
      <c r="BY507" t="str">
        <f t="shared" si="316"/>
        <v/>
      </c>
      <c r="BZ507" t="str">
        <f t="shared" si="329"/>
        <v/>
      </c>
      <c r="CA507" t="str">
        <f t="shared" si="317"/>
        <v/>
      </c>
      <c r="CB507" t="str">
        <f t="shared" si="299"/>
        <v/>
      </c>
      <c r="CC507" t="str">
        <f t="shared" si="318"/>
        <v/>
      </c>
      <c r="CD507" t="str">
        <f t="shared" si="300"/>
        <v/>
      </c>
      <c r="CE507" t="str">
        <f t="shared" si="319"/>
        <v>Bowles 5th edition</v>
      </c>
      <c r="CF507">
        <f t="shared" si="301"/>
        <v>122</v>
      </c>
      <c r="CG507" t="str">
        <f t="shared" si="320"/>
        <v/>
      </c>
      <c r="CH507" t="str">
        <f t="shared" si="302"/>
        <v/>
      </c>
      <c r="CI507" t="str">
        <f t="shared" si="321"/>
        <v/>
      </c>
      <c r="CJ507" t="str">
        <f t="shared" si="330"/>
        <v/>
      </c>
    </row>
    <row r="508" spans="2:88" x14ac:dyDescent="0.3">
      <c r="B508" t="str">
        <f t="shared" si="322"/>
        <v>36.824139-76.074577</v>
      </c>
      <c r="C508" s="30" t="s">
        <v>140</v>
      </c>
      <c r="D508">
        <v>36.824139000000002</v>
      </c>
      <c r="E508">
        <v>-76.074577000000005</v>
      </c>
      <c r="F508">
        <v>5</v>
      </c>
      <c r="G508" t="str">
        <f t="shared" si="323"/>
        <v>-28-3036.824139-76.074577</v>
      </c>
      <c r="H508">
        <v>-28</v>
      </c>
      <c r="I508">
        <v>-30</v>
      </c>
      <c r="J508" s="30" t="s">
        <v>21</v>
      </c>
      <c r="L508" t="s">
        <v>17</v>
      </c>
      <c r="M508">
        <v>3</v>
      </c>
      <c r="S508" t="str">
        <f t="shared" si="335"/>
        <v>Sand</v>
      </c>
      <c r="T508">
        <f t="shared" si="324"/>
        <v>1</v>
      </c>
      <c r="AA508">
        <v>80</v>
      </c>
      <c r="AB508" s="1">
        <f t="shared" si="331"/>
        <v>4</v>
      </c>
      <c r="AC508">
        <f t="shared" si="332"/>
        <v>2</v>
      </c>
      <c r="AD508" t="str">
        <f t="shared" si="325"/>
        <v/>
      </c>
      <c r="AG508" s="21" t="str">
        <f t="shared" si="303"/>
        <v/>
      </c>
      <c r="AI508" s="6" t="str">
        <f t="shared" si="304"/>
        <v/>
      </c>
      <c r="AM508" s="7" t="str">
        <f t="shared" si="305"/>
        <v/>
      </c>
      <c r="AQ508" s="8" t="str">
        <f t="shared" si="306"/>
        <v/>
      </c>
      <c r="AW508" s="25" t="str">
        <f t="shared" si="307"/>
        <v/>
      </c>
      <c r="AZ508" s="12" t="str">
        <f t="shared" si="308"/>
        <v/>
      </c>
      <c r="BI508" s="17" t="str">
        <f t="shared" si="309"/>
        <v/>
      </c>
      <c r="BM508" t="str">
        <f t="shared" si="310"/>
        <v>SPT Relationship</v>
      </c>
      <c r="BN508">
        <f t="shared" si="298"/>
        <v>105</v>
      </c>
      <c r="BO508" t="str">
        <f t="shared" si="311"/>
        <v>Wolff, 1989</v>
      </c>
      <c r="BP508">
        <f t="shared" si="333"/>
        <v>27</v>
      </c>
      <c r="BQ508" t="str">
        <f t="shared" si="312"/>
        <v/>
      </c>
      <c r="BR508" t="str">
        <f t="shared" si="326"/>
        <v/>
      </c>
      <c r="BS508" t="str">
        <f t="shared" si="313"/>
        <v/>
      </c>
      <c r="BT508" t="str">
        <f t="shared" si="334"/>
        <v/>
      </c>
      <c r="BU508" t="str">
        <f t="shared" si="314"/>
        <v/>
      </c>
      <c r="BV508" t="str">
        <f t="shared" si="327"/>
        <v/>
      </c>
      <c r="BW508" t="str">
        <f t="shared" si="315"/>
        <v/>
      </c>
      <c r="BX508" t="str">
        <f t="shared" si="328"/>
        <v/>
      </c>
      <c r="BY508" t="str">
        <f t="shared" si="316"/>
        <v/>
      </c>
      <c r="BZ508" t="str">
        <f t="shared" si="329"/>
        <v/>
      </c>
      <c r="CA508" t="str">
        <f t="shared" si="317"/>
        <v/>
      </c>
      <c r="CB508" t="str">
        <f t="shared" si="299"/>
        <v/>
      </c>
      <c r="CC508" t="str">
        <f t="shared" si="318"/>
        <v/>
      </c>
      <c r="CD508" t="str">
        <f t="shared" si="300"/>
        <v/>
      </c>
      <c r="CE508" t="str">
        <f t="shared" si="319"/>
        <v>Bowles 5th edition</v>
      </c>
      <c r="CF508">
        <f t="shared" si="301"/>
        <v>122</v>
      </c>
      <c r="CG508" t="str">
        <f t="shared" si="320"/>
        <v/>
      </c>
      <c r="CH508" t="str">
        <f t="shared" si="302"/>
        <v/>
      </c>
      <c r="CI508" t="str">
        <f t="shared" si="321"/>
        <v/>
      </c>
      <c r="CJ508" t="str">
        <f t="shared" si="330"/>
        <v/>
      </c>
    </row>
    <row r="509" spans="2:88" x14ac:dyDescent="0.3">
      <c r="B509" t="str">
        <f t="shared" si="322"/>
        <v>36.824139-76.074577</v>
      </c>
      <c r="C509" s="30" t="s">
        <v>140</v>
      </c>
      <c r="D509">
        <v>36.824139000000002</v>
      </c>
      <c r="E509">
        <v>-76.074577000000005</v>
      </c>
      <c r="F509">
        <v>5</v>
      </c>
      <c r="G509" t="str">
        <f t="shared" si="323"/>
        <v>-33-3536.824139-76.074577</v>
      </c>
      <c r="H509">
        <v>-33</v>
      </c>
      <c r="I509">
        <v>-35</v>
      </c>
      <c r="J509" s="30" t="s">
        <v>21</v>
      </c>
      <c r="L509" t="s">
        <v>17</v>
      </c>
      <c r="M509">
        <v>1</v>
      </c>
      <c r="S509" t="str">
        <f t="shared" si="335"/>
        <v>Sand</v>
      </c>
      <c r="T509">
        <f t="shared" si="324"/>
        <v>1</v>
      </c>
      <c r="AA509">
        <v>80</v>
      </c>
      <c r="AB509" s="1">
        <f t="shared" si="331"/>
        <v>1</v>
      </c>
      <c r="AC509">
        <f t="shared" si="332"/>
        <v>0</v>
      </c>
      <c r="AD509" t="str">
        <f t="shared" si="325"/>
        <v/>
      </c>
      <c r="AG509" s="21" t="str">
        <f t="shared" si="303"/>
        <v/>
      </c>
      <c r="AI509" s="6" t="str">
        <f t="shared" si="304"/>
        <v/>
      </c>
      <c r="AM509" s="7" t="str">
        <f t="shared" si="305"/>
        <v/>
      </c>
      <c r="AQ509" s="8" t="str">
        <f t="shared" si="306"/>
        <v/>
      </c>
      <c r="AW509" s="25" t="str">
        <f t="shared" si="307"/>
        <v/>
      </c>
      <c r="AZ509" s="12" t="str">
        <f t="shared" si="308"/>
        <v/>
      </c>
      <c r="BI509" s="17" t="str">
        <f t="shared" si="309"/>
        <v/>
      </c>
      <c r="BM509" t="str">
        <f t="shared" si="310"/>
        <v>SPT Relationship</v>
      </c>
      <c r="BN509">
        <f t="shared" si="298"/>
        <v>95</v>
      </c>
      <c r="BO509" t="str">
        <f t="shared" si="311"/>
        <v>Wolff, 1989</v>
      </c>
      <c r="BP509">
        <f t="shared" si="333"/>
        <v>27</v>
      </c>
      <c r="BQ509" t="str">
        <f t="shared" si="312"/>
        <v/>
      </c>
      <c r="BR509" t="str">
        <f t="shared" si="326"/>
        <v/>
      </c>
      <c r="BS509" t="str">
        <f t="shared" si="313"/>
        <v/>
      </c>
      <c r="BT509" t="str">
        <f t="shared" si="334"/>
        <v/>
      </c>
      <c r="BU509" t="str">
        <f t="shared" si="314"/>
        <v/>
      </c>
      <c r="BV509" t="str">
        <f t="shared" si="327"/>
        <v/>
      </c>
      <c r="BW509" t="str">
        <f t="shared" si="315"/>
        <v/>
      </c>
      <c r="BX509" t="str">
        <f t="shared" si="328"/>
        <v/>
      </c>
      <c r="BY509" t="str">
        <f t="shared" si="316"/>
        <v/>
      </c>
      <c r="BZ509" t="str">
        <f t="shared" si="329"/>
        <v/>
      </c>
      <c r="CA509" t="str">
        <f t="shared" si="317"/>
        <v/>
      </c>
      <c r="CB509" t="str">
        <f t="shared" si="299"/>
        <v/>
      </c>
      <c r="CC509" t="str">
        <f t="shared" si="318"/>
        <v/>
      </c>
      <c r="CD509" t="str">
        <f t="shared" si="300"/>
        <v/>
      </c>
      <c r="CE509" t="str">
        <f t="shared" si="319"/>
        <v>Bowles 5th edition</v>
      </c>
      <c r="CF509">
        <f t="shared" si="301"/>
        <v>102</v>
      </c>
      <c r="CG509" t="str">
        <f t="shared" si="320"/>
        <v/>
      </c>
      <c r="CH509" t="str">
        <f t="shared" si="302"/>
        <v/>
      </c>
      <c r="CI509" t="str">
        <f t="shared" si="321"/>
        <v/>
      </c>
      <c r="CJ509" t="str">
        <f t="shared" si="330"/>
        <v/>
      </c>
    </row>
    <row r="510" spans="2:88" x14ac:dyDescent="0.3">
      <c r="B510" t="str">
        <f t="shared" si="322"/>
        <v>36.824139-76.074577</v>
      </c>
      <c r="C510" s="30" t="s">
        <v>140</v>
      </c>
      <c r="D510">
        <v>36.824139000000002</v>
      </c>
      <c r="E510">
        <v>-76.074577000000005</v>
      </c>
      <c r="F510">
        <v>5</v>
      </c>
      <c r="G510" t="str">
        <f t="shared" si="323"/>
        <v>-38-4036.824139-76.074577</v>
      </c>
      <c r="H510">
        <v>-38</v>
      </c>
      <c r="I510">
        <v>-40</v>
      </c>
      <c r="J510" s="30" t="s">
        <v>21</v>
      </c>
      <c r="L510" t="s">
        <v>17</v>
      </c>
      <c r="M510">
        <v>3</v>
      </c>
      <c r="S510" t="str">
        <f t="shared" si="335"/>
        <v>Sand</v>
      </c>
      <c r="T510">
        <f t="shared" si="324"/>
        <v>1</v>
      </c>
      <c r="AA510">
        <v>80</v>
      </c>
      <c r="AB510" s="1">
        <f t="shared" si="331"/>
        <v>4</v>
      </c>
      <c r="AC510">
        <f t="shared" si="332"/>
        <v>2</v>
      </c>
      <c r="AD510" t="str">
        <f t="shared" si="325"/>
        <v/>
      </c>
      <c r="AG510" s="21" t="str">
        <f t="shared" si="303"/>
        <v/>
      </c>
      <c r="AI510" s="6" t="str">
        <f t="shared" si="304"/>
        <v/>
      </c>
      <c r="AM510" s="7" t="str">
        <f t="shared" si="305"/>
        <v/>
      </c>
      <c r="AQ510" s="8" t="str">
        <f t="shared" si="306"/>
        <v/>
      </c>
      <c r="AW510" s="25" t="str">
        <f t="shared" si="307"/>
        <v/>
      </c>
      <c r="AZ510" s="12" t="str">
        <f t="shared" si="308"/>
        <v/>
      </c>
      <c r="BI510" s="17" t="str">
        <f t="shared" si="309"/>
        <v/>
      </c>
      <c r="BM510" t="str">
        <f t="shared" si="310"/>
        <v>SPT Relationship</v>
      </c>
      <c r="BN510">
        <f t="shared" si="298"/>
        <v>105</v>
      </c>
      <c r="BO510" t="str">
        <f t="shared" si="311"/>
        <v>Wolff, 1989</v>
      </c>
      <c r="BP510">
        <f t="shared" si="333"/>
        <v>27</v>
      </c>
      <c r="BQ510" t="str">
        <f t="shared" si="312"/>
        <v/>
      </c>
      <c r="BR510" t="str">
        <f t="shared" si="326"/>
        <v/>
      </c>
      <c r="BS510" t="str">
        <f t="shared" si="313"/>
        <v/>
      </c>
      <c r="BT510" t="str">
        <f t="shared" si="334"/>
        <v/>
      </c>
      <c r="BU510" t="str">
        <f t="shared" si="314"/>
        <v/>
      </c>
      <c r="BV510" t="str">
        <f t="shared" si="327"/>
        <v/>
      </c>
      <c r="BW510" t="str">
        <f t="shared" si="315"/>
        <v/>
      </c>
      <c r="BX510" t="str">
        <f t="shared" si="328"/>
        <v/>
      </c>
      <c r="BY510" t="str">
        <f t="shared" si="316"/>
        <v/>
      </c>
      <c r="BZ510" t="str">
        <f t="shared" si="329"/>
        <v/>
      </c>
      <c r="CA510" t="str">
        <f t="shared" si="317"/>
        <v/>
      </c>
      <c r="CB510" t="str">
        <f t="shared" si="299"/>
        <v/>
      </c>
      <c r="CC510" t="str">
        <f t="shared" si="318"/>
        <v/>
      </c>
      <c r="CD510" t="str">
        <f t="shared" si="300"/>
        <v/>
      </c>
      <c r="CE510" t="str">
        <f t="shared" si="319"/>
        <v>Bowles 5th edition</v>
      </c>
      <c r="CF510">
        <f t="shared" si="301"/>
        <v>122</v>
      </c>
      <c r="CG510" t="str">
        <f t="shared" si="320"/>
        <v/>
      </c>
      <c r="CH510" t="str">
        <f t="shared" si="302"/>
        <v/>
      </c>
      <c r="CI510" t="str">
        <f t="shared" si="321"/>
        <v/>
      </c>
      <c r="CJ510" t="str">
        <f t="shared" si="330"/>
        <v/>
      </c>
    </row>
    <row r="511" spans="2:88" x14ac:dyDescent="0.3">
      <c r="B511" t="str">
        <f t="shared" si="322"/>
        <v>36.824139-76.074577</v>
      </c>
      <c r="C511" s="30" t="s">
        <v>140</v>
      </c>
      <c r="D511">
        <v>36.824139000000002</v>
      </c>
      <c r="E511">
        <v>-76.074577000000005</v>
      </c>
      <c r="F511">
        <v>5</v>
      </c>
      <c r="G511" t="str">
        <f t="shared" si="323"/>
        <v>-43-4536.824139-76.074577</v>
      </c>
      <c r="H511">
        <v>-43</v>
      </c>
      <c r="I511">
        <v>-45</v>
      </c>
      <c r="J511" s="30" t="s">
        <v>21</v>
      </c>
      <c r="L511" t="s">
        <v>113</v>
      </c>
      <c r="M511">
        <v>2</v>
      </c>
      <c r="S511" t="str">
        <f t="shared" si="335"/>
        <v>Clay</v>
      </c>
      <c r="T511">
        <f t="shared" si="324"/>
        <v>1</v>
      </c>
      <c r="AA511">
        <v>80</v>
      </c>
      <c r="AB511" s="1">
        <f t="shared" si="331"/>
        <v>3</v>
      </c>
      <c r="AC511">
        <f t="shared" si="332"/>
        <v>1</v>
      </c>
      <c r="AD511" t="str">
        <f t="shared" si="325"/>
        <v/>
      </c>
      <c r="AG511" s="21" t="str">
        <f t="shared" si="303"/>
        <v/>
      </c>
      <c r="AI511" s="6" t="str">
        <f t="shared" si="304"/>
        <v/>
      </c>
      <c r="AM511" s="7" t="str">
        <f t="shared" si="305"/>
        <v/>
      </c>
      <c r="AQ511" s="8" t="str">
        <f t="shared" si="306"/>
        <v/>
      </c>
      <c r="AW511" s="25" t="str">
        <f t="shared" si="307"/>
        <v/>
      </c>
      <c r="AZ511" s="12" t="str">
        <f t="shared" si="308"/>
        <v/>
      </c>
      <c r="BI511" s="17" t="str">
        <f t="shared" si="309"/>
        <v/>
      </c>
      <c r="BM511" t="str">
        <f t="shared" si="310"/>
        <v>SPT Relationship</v>
      </c>
      <c r="BN511">
        <f t="shared" si="298"/>
        <v>101</v>
      </c>
      <c r="BO511" t="str">
        <f t="shared" si="311"/>
        <v>Wolff, 1989</v>
      </c>
      <c r="BP511">
        <f t="shared" si="333"/>
        <v>27</v>
      </c>
      <c r="BQ511" t="str">
        <f t="shared" si="312"/>
        <v/>
      </c>
      <c r="BR511" t="str">
        <f t="shared" si="326"/>
        <v/>
      </c>
      <c r="BS511" t="str">
        <f t="shared" si="313"/>
        <v>Stroud 1974 (K=3.5)</v>
      </c>
      <c r="BT511">
        <f t="shared" si="334"/>
        <v>219</v>
      </c>
      <c r="BU511" t="str">
        <f t="shared" si="314"/>
        <v/>
      </c>
      <c r="BV511" t="str">
        <f t="shared" si="327"/>
        <v/>
      </c>
      <c r="BW511" t="str">
        <f t="shared" si="315"/>
        <v/>
      </c>
      <c r="BX511" t="str">
        <f t="shared" si="328"/>
        <v/>
      </c>
      <c r="BY511" t="str">
        <f t="shared" si="316"/>
        <v/>
      </c>
      <c r="BZ511" t="str">
        <f t="shared" si="329"/>
        <v/>
      </c>
      <c r="CA511" t="str">
        <f t="shared" si="317"/>
        <v/>
      </c>
      <c r="CB511" t="str">
        <f t="shared" si="299"/>
        <v/>
      </c>
      <c r="CC511" t="str">
        <f t="shared" si="318"/>
        <v/>
      </c>
      <c r="CD511" t="str">
        <f t="shared" si="300"/>
        <v/>
      </c>
      <c r="CE511" t="str">
        <f t="shared" si="319"/>
        <v/>
      </c>
      <c r="CF511" t="str">
        <f t="shared" si="301"/>
        <v/>
      </c>
      <c r="CG511" t="str">
        <f t="shared" si="320"/>
        <v/>
      </c>
      <c r="CH511" t="str">
        <f t="shared" si="302"/>
        <v/>
      </c>
      <c r="CI511" t="str">
        <f t="shared" si="321"/>
        <v/>
      </c>
      <c r="CJ511" t="str">
        <f t="shared" si="330"/>
        <v/>
      </c>
    </row>
    <row r="512" spans="2:88" x14ac:dyDescent="0.3">
      <c r="B512" t="str">
        <f t="shared" si="322"/>
        <v>36.824139-76.074577</v>
      </c>
      <c r="C512" s="30" t="s">
        <v>140</v>
      </c>
      <c r="D512">
        <v>36.824139000000002</v>
      </c>
      <c r="E512">
        <v>-76.074577000000005</v>
      </c>
      <c r="F512">
        <v>5</v>
      </c>
      <c r="G512" t="str">
        <f t="shared" si="323"/>
        <v>-48-5036.824139-76.074577</v>
      </c>
      <c r="H512">
        <v>-48</v>
      </c>
      <c r="I512">
        <v>-50</v>
      </c>
      <c r="J512" s="30" t="s">
        <v>21</v>
      </c>
      <c r="L512" t="s">
        <v>113</v>
      </c>
      <c r="M512">
        <v>1</v>
      </c>
      <c r="S512" t="str">
        <f t="shared" si="335"/>
        <v>Clay</v>
      </c>
      <c r="T512">
        <f t="shared" si="324"/>
        <v>1</v>
      </c>
      <c r="AA512">
        <v>80</v>
      </c>
      <c r="AB512" s="1">
        <f t="shared" si="331"/>
        <v>1</v>
      </c>
      <c r="AC512">
        <f t="shared" si="332"/>
        <v>0</v>
      </c>
      <c r="AD512" t="str">
        <f t="shared" si="325"/>
        <v/>
      </c>
      <c r="AG512" s="21" t="str">
        <f t="shared" si="303"/>
        <v/>
      </c>
      <c r="AI512" s="6" t="str">
        <f t="shared" si="304"/>
        <v/>
      </c>
      <c r="AM512" s="7" t="str">
        <f t="shared" si="305"/>
        <v/>
      </c>
      <c r="AQ512" s="8" t="str">
        <f t="shared" si="306"/>
        <v/>
      </c>
      <c r="AW512" s="25" t="str">
        <f t="shared" si="307"/>
        <v/>
      </c>
      <c r="AZ512" s="12" t="str">
        <f t="shared" si="308"/>
        <v/>
      </c>
      <c r="BI512" s="17" t="str">
        <f t="shared" si="309"/>
        <v/>
      </c>
      <c r="BM512" t="str">
        <f t="shared" si="310"/>
        <v>SPT Relationship</v>
      </c>
      <c r="BN512">
        <f t="shared" ref="BN512:BN575" si="336">IFERROR(IF(M512=0,95,ROUND(95*M512^0.095,0)),"")</f>
        <v>95</v>
      </c>
      <c r="BO512" t="str">
        <f t="shared" si="311"/>
        <v>Wolff, 1989</v>
      </c>
      <c r="BP512">
        <f t="shared" si="333"/>
        <v>27</v>
      </c>
      <c r="BQ512" t="str">
        <f t="shared" si="312"/>
        <v/>
      </c>
      <c r="BR512" t="str">
        <f t="shared" si="326"/>
        <v/>
      </c>
      <c r="BS512" t="str">
        <f t="shared" si="313"/>
        <v>Stroud 1974 (K=3.5)</v>
      </c>
      <c r="BT512">
        <f t="shared" si="334"/>
        <v>73</v>
      </c>
      <c r="BU512" t="str">
        <f t="shared" si="314"/>
        <v/>
      </c>
      <c r="BV512" t="str">
        <f t="shared" si="327"/>
        <v/>
      </c>
      <c r="BW512" t="str">
        <f t="shared" si="315"/>
        <v/>
      </c>
      <c r="BX512" t="str">
        <f t="shared" si="328"/>
        <v/>
      </c>
      <c r="BY512" t="str">
        <f t="shared" si="316"/>
        <v/>
      </c>
      <c r="BZ512" t="str">
        <f t="shared" si="329"/>
        <v/>
      </c>
      <c r="CA512" t="str">
        <f t="shared" si="317"/>
        <v/>
      </c>
      <c r="CB512" t="str">
        <f t="shared" ref="CB512:CB575" si="337">IF(P512="","",-0.0000000002*P512^5+0.00000009*P512^4-0.00002*P512^3+0.0019*P512^2-0.0999*P512+2.2178)</f>
        <v/>
      </c>
      <c r="CC512" t="str">
        <f t="shared" si="318"/>
        <v/>
      </c>
      <c r="CD512" t="str">
        <f t="shared" ref="CD512:CD575" si="338">IF(AD512="","",(10^(1.11-1.62*AD512)*100)*20.885434273039)</f>
        <v/>
      </c>
      <c r="CE512" t="str">
        <f t="shared" si="319"/>
        <v/>
      </c>
      <c r="CF512" t="str">
        <f t="shared" ref="CF512:CF575" si="339">IF(S512="Clay","",IF(AB512="","",ROUND((AB512+15)*6.4,0)))</f>
        <v/>
      </c>
      <c r="CG512" t="str">
        <f t="shared" si="320"/>
        <v/>
      </c>
      <c r="CH512" t="str">
        <f t="shared" ref="CH512:CH575" si="340">IF(N512="","",ROUND(N512/100*2.67,2))</f>
        <v/>
      </c>
      <c r="CI512" t="str">
        <f t="shared" si="321"/>
        <v/>
      </c>
      <c r="CJ512" t="str">
        <f t="shared" si="330"/>
        <v/>
      </c>
    </row>
    <row r="513" spans="2:88" x14ac:dyDescent="0.3">
      <c r="B513" t="str">
        <f t="shared" si="322"/>
        <v>36.824139-76.074577</v>
      </c>
      <c r="C513" s="30" t="s">
        <v>140</v>
      </c>
      <c r="D513">
        <v>36.824139000000002</v>
      </c>
      <c r="E513">
        <v>-76.074577000000005</v>
      </c>
      <c r="F513">
        <v>5</v>
      </c>
      <c r="G513" t="str">
        <f t="shared" si="323"/>
        <v>-53-5536.824139-76.074577</v>
      </c>
      <c r="H513">
        <v>-53</v>
      </c>
      <c r="I513">
        <v>-55</v>
      </c>
      <c r="J513" s="30" t="s">
        <v>21</v>
      </c>
      <c r="L513" t="s">
        <v>113</v>
      </c>
      <c r="M513">
        <v>2</v>
      </c>
      <c r="S513" t="str">
        <f t="shared" si="335"/>
        <v>Clay</v>
      </c>
      <c r="T513">
        <f t="shared" si="324"/>
        <v>1</v>
      </c>
      <c r="AA513">
        <v>80</v>
      </c>
      <c r="AB513" s="1">
        <f t="shared" si="331"/>
        <v>3</v>
      </c>
      <c r="AC513">
        <f t="shared" si="332"/>
        <v>1</v>
      </c>
      <c r="AD513" t="str">
        <f t="shared" si="325"/>
        <v/>
      </c>
      <c r="AG513" s="21" t="str">
        <f t="shared" si="303"/>
        <v/>
      </c>
      <c r="AI513" s="6" t="str">
        <f t="shared" si="304"/>
        <v/>
      </c>
      <c r="AM513" s="7" t="str">
        <f t="shared" si="305"/>
        <v/>
      </c>
      <c r="AQ513" s="8" t="str">
        <f t="shared" si="306"/>
        <v/>
      </c>
      <c r="AW513" s="25" t="str">
        <f t="shared" si="307"/>
        <v/>
      </c>
      <c r="AZ513" s="12" t="str">
        <f t="shared" si="308"/>
        <v/>
      </c>
      <c r="BI513" s="17" t="str">
        <f t="shared" si="309"/>
        <v/>
      </c>
      <c r="BM513" t="str">
        <f t="shared" si="310"/>
        <v>SPT Relationship</v>
      </c>
      <c r="BN513">
        <f t="shared" si="336"/>
        <v>101</v>
      </c>
      <c r="BO513" t="str">
        <f t="shared" si="311"/>
        <v>Wolff, 1989</v>
      </c>
      <c r="BP513">
        <f t="shared" si="333"/>
        <v>27</v>
      </c>
      <c r="BQ513" t="str">
        <f t="shared" si="312"/>
        <v/>
      </c>
      <c r="BR513" t="str">
        <f t="shared" si="326"/>
        <v/>
      </c>
      <c r="BS513" t="str">
        <f t="shared" si="313"/>
        <v>Stroud 1974 (K=3.5)</v>
      </c>
      <c r="BT513">
        <f t="shared" si="334"/>
        <v>219</v>
      </c>
      <c r="BU513" t="str">
        <f t="shared" si="314"/>
        <v/>
      </c>
      <c r="BV513" t="str">
        <f t="shared" si="327"/>
        <v/>
      </c>
      <c r="BW513" t="str">
        <f t="shared" si="315"/>
        <v/>
      </c>
      <c r="BX513" t="str">
        <f t="shared" si="328"/>
        <v/>
      </c>
      <c r="BY513" t="str">
        <f t="shared" si="316"/>
        <v/>
      </c>
      <c r="BZ513" t="str">
        <f t="shared" si="329"/>
        <v/>
      </c>
      <c r="CA513" t="str">
        <f t="shared" si="317"/>
        <v/>
      </c>
      <c r="CB513" t="str">
        <f t="shared" si="337"/>
        <v/>
      </c>
      <c r="CC513" t="str">
        <f t="shared" si="318"/>
        <v/>
      </c>
      <c r="CD513" t="str">
        <f t="shared" si="338"/>
        <v/>
      </c>
      <c r="CE513" t="str">
        <f t="shared" si="319"/>
        <v/>
      </c>
      <c r="CF513" t="str">
        <f t="shared" si="339"/>
        <v/>
      </c>
      <c r="CG513" t="str">
        <f t="shared" si="320"/>
        <v/>
      </c>
      <c r="CH513" t="str">
        <f t="shared" si="340"/>
        <v/>
      </c>
      <c r="CI513" t="str">
        <f t="shared" si="321"/>
        <v/>
      </c>
      <c r="CJ513" t="str">
        <f t="shared" si="330"/>
        <v/>
      </c>
    </row>
    <row r="514" spans="2:88" x14ac:dyDescent="0.3">
      <c r="B514" t="str">
        <f t="shared" si="322"/>
        <v>36.824139-76.074577</v>
      </c>
      <c r="C514" s="30" t="s">
        <v>140</v>
      </c>
      <c r="D514">
        <v>36.824139000000002</v>
      </c>
      <c r="E514">
        <v>-76.074577000000005</v>
      </c>
      <c r="F514">
        <v>5</v>
      </c>
      <c r="G514" t="str">
        <f t="shared" si="323"/>
        <v>-55-5736.824139-76.074577</v>
      </c>
      <c r="H514">
        <v>-55</v>
      </c>
      <c r="I514">
        <v>-57</v>
      </c>
      <c r="J514" s="30" t="s">
        <v>49</v>
      </c>
      <c r="L514" t="s">
        <v>113</v>
      </c>
      <c r="M514" t="s">
        <v>148</v>
      </c>
      <c r="S514" t="str">
        <f t="shared" si="335"/>
        <v>Clay</v>
      </c>
      <c r="T514">
        <f t="shared" si="324"/>
        <v>1</v>
      </c>
      <c r="AA514">
        <v>80</v>
      </c>
      <c r="AB514" s="1" t="str">
        <f t="shared" si="331"/>
        <v/>
      </c>
      <c r="AC514" t="str">
        <f t="shared" si="332"/>
        <v/>
      </c>
      <c r="AD514" t="str">
        <f t="shared" si="325"/>
        <v/>
      </c>
      <c r="AG514" s="21" t="str">
        <f t="shared" si="303"/>
        <v/>
      </c>
      <c r="AI514" s="6" t="str">
        <f t="shared" si="304"/>
        <v/>
      </c>
      <c r="AM514" s="7" t="str">
        <f t="shared" si="305"/>
        <v/>
      </c>
      <c r="AQ514" s="8" t="str">
        <f t="shared" si="306"/>
        <v/>
      </c>
      <c r="AW514" s="25" t="str">
        <f t="shared" si="307"/>
        <v/>
      </c>
      <c r="AZ514" s="12" t="str">
        <f t="shared" si="308"/>
        <v/>
      </c>
      <c r="BI514" s="17" t="str">
        <f t="shared" si="309"/>
        <v/>
      </c>
      <c r="BM514" t="str">
        <f t="shared" si="310"/>
        <v/>
      </c>
      <c r="BN514" t="str">
        <f t="shared" si="336"/>
        <v/>
      </c>
      <c r="BO514" t="str">
        <f t="shared" si="311"/>
        <v/>
      </c>
      <c r="BP514" t="str">
        <f t="shared" si="333"/>
        <v/>
      </c>
      <c r="BQ514" t="str">
        <f t="shared" si="312"/>
        <v/>
      </c>
      <c r="BR514" t="str">
        <f t="shared" si="326"/>
        <v/>
      </c>
      <c r="BS514" t="str">
        <f t="shared" si="313"/>
        <v/>
      </c>
      <c r="BT514" t="str">
        <f t="shared" si="334"/>
        <v/>
      </c>
      <c r="BU514" t="str">
        <f t="shared" si="314"/>
        <v/>
      </c>
      <c r="BV514" t="str">
        <f t="shared" si="327"/>
        <v/>
      </c>
      <c r="BW514" t="str">
        <f t="shared" si="315"/>
        <v/>
      </c>
      <c r="BX514" t="str">
        <f t="shared" si="328"/>
        <v/>
      </c>
      <c r="BY514" t="str">
        <f t="shared" si="316"/>
        <v/>
      </c>
      <c r="BZ514" t="str">
        <f t="shared" si="329"/>
        <v/>
      </c>
      <c r="CA514" t="str">
        <f t="shared" si="317"/>
        <v/>
      </c>
      <c r="CB514" t="str">
        <f t="shared" si="337"/>
        <v/>
      </c>
      <c r="CC514" t="str">
        <f t="shared" si="318"/>
        <v/>
      </c>
      <c r="CD514" t="str">
        <f t="shared" si="338"/>
        <v/>
      </c>
      <c r="CE514" t="str">
        <f t="shared" si="319"/>
        <v/>
      </c>
      <c r="CF514" t="str">
        <f t="shared" si="339"/>
        <v/>
      </c>
      <c r="CG514" t="str">
        <f t="shared" si="320"/>
        <v/>
      </c>
      <c r="CH514" t="str">
        <f t="shared" si="340"/>
        <v/>
      </c>
      <c r="CI514" t="str">
        <f t="shared" si="321"/>
        <v/>
      </c>
      <c r="CJ514" t="str">
        <f t="shared" si="330"/>
        <v/>
      </c>
    </row>
    <row r="515" spans="2:88" x14ac:dyDescent="0.3">
      <c r="B515" t="str">
        <f t="shared" si="322"/>
        <v>36.824139-76.074577</v>
      </c>
      <c r="C515" s="30" t="s">
        <v>140</v>
      </c>
      <c r="D515">
        <v>36.824139000000002</v>
      </c>
      <c r="E515">
        <v>-76.074577000000005</v>
      </c>
      <c r="F515">
        <v>5</v>
      </c>
      <c r="G515" t="str">
        <f t="shared" si="323"/>
        <v>-57-5936.824139-76.074577</v>
      </c>
      <c r="H515">
        <v>-57</v>
      </c>
      <c r="I515">
        <v>-59</v>
      </c>
      <c r="J515" s="30" t="s">
        <v>21</v>
      </c>
      <c r="L515" t="s">
        <v>113</v>
      </c>
      <c r="M515">
        <v>0</v>
      </c>
      <c r="S515" t="str">
        <f t="shared" si="335"/>
        <v>Clay</v>
      </c>
      <c r="T515">
        <f t="shared" si="324"/>
        <v>1</v>
      </c>
      <c r="AA515">
        <v>80</v>
      </c>
      <c r="AB515" s="1">
        <f t="shared" si="331"/>
        <v>0</v>
      </c>
      <c r="AC515">
        <f t="shared" si="332"/>
        <v>0</v>
      </c>
      <c r="AD515" t="str">
        <f t="shared" si="325"/>
        <v/>
      </c>
      <c r="AG515" s="21" t="str">
        <f t="shared" ref="AG515:AG578" si="341">IF(AH515="","","Pocket Pentrometer")</f>
        <v/>
      </c>
      <c r="AI515" s="6" t="str">
        <f t="shared" ref="AI515:AI578" si="342">IF(AJ515="","","Unconfined Compression")</f>
        <v/>
      </c>
      <c r="AM515" s="7" t="str">
        <f t="shared" ref="AM515:AM578" si="343">IF(AN515="","","Undrained Unconsolidated Triaxial")</f>
        <v/>
      </c>
      <c r="AQ515" s="8" t="str">
        <f t="shared" ref="AQ515:AQ578" si="344">IF(AR515="","","Consolidated Undrained Triaxial")</f>
        <v/>
      </c>
      <c r="AW515" s="25" t="str">
        <f t="shared" ref="AW515:AW578" si="345">IF(AX515="","","Direct Shear")</f>
        <v/>
      </c>
      <c r="AZ515" s="12" t="str">
        <f t="shared" ref="AZ515:AZ578" si="346">IF(BA515="","","Consolidation Test")</f>
        <v/>
      </c>
      <c r="BI515" s="17" t="str">
        <f t="shared" ref="BI515:BI578" si="347">IF(BJ515="","","Permeability Test")</f>
        <v/>
      </c>
      <c r="BM515" t="str">
        <f t="shared" ref="BM515:BM578" si="348">IF(BN515="","","SPT Relationship")</f>
        <v>SPT Relationship</v>
      </c>
      <c r="BN515">
        <f t="shared" si="336"/>
        <v>95</v>
      </c>
      <c r="BO515" t="str">
        <f t="shared" ref="BO515:BO578" si="349">IF(BP515="","","Wolff, 1989")</f>
        <v>Wolff, 1989</v>
      </c>
      <c r="BP515">
        <f t="shared" si="333"/>
        <v>27</v>
      </c>
      <c r="BQ515" t="str">
        <f t="shared" ref="BQ515:BQ578" si="350">IF(BR515="","","GTENG-2476")</f>
        <v/>
      </c>
      <c r="BR515" t="str">
        <f t="shared" si="326"/>
        <v/>
      </c>
      <c r="BS515" t="str">
        <f t="shared" ref="BS515:BS578" si="351">IF(BT515="","", "Stroud 1974 (K=3.5)")</f>
        <v>Stroud 1974 (K=3.5)</v>
      </c>
      <c r="BT515">
        <f t="shared" si="334"/>
        <v>0</v>
      </c>
      <c r="BU515" t="str">
        <f t="shared" ref="BU515:BU578" si="352">IF(BV515="","","Kulhawy and Mayne 1990")</f>
        <v/>
      </c>
      <c r="BV515" t="str">
        <f t="shared" si="327"/>
        <v/>
      </c>
      <c r="BW515" t="str">
        <f t="shared" ref="BW515:BW578" si="353">IF(BX515="","","Kulhawy and Mayne 1990")</f>
        <v/>
      </c>
      <c r="BX515" t="str">
        <f t="shared" si="328"/>
        <v/>
      </c>
      <c r="BY515" t="str">
        <f t="shared" ref="BY515:BY578" si="354">IF(BZ515="","","Mesri 1990")</f>
        <v/>
      </c>
      <c r="BZ515" t="str">
        <f t="shared" si="329"/>
        <v/>
      </c>
      <c r="CA515" t="str">
        <f t="shared" ref="CA515:CA578" si="355">IF(CB515="","","NAVFAC Vol. 7.1 Figure 4")</f>
        <v/>
      </c>
      <c r="CB515" t="str">
        <f t="shared" si="337"/>
        <v/>
      </c>
      <c r="CC515" t="str">
        <f t="shared" ref="CC515:CC578" si="356">IF(CD515="","","Stas and Kulhawy 1984")</f>
        <v/>
      </c>
      <c r="CD515" t="str">
        <f t="shared" si="338"/>
        <v/>
      </c>
      <c r="CE515" t="str">
        <f t="shared" ref="CE515:CE578" si="357">IF(CF515="","","Bowles 5th edition")</f>
        <v/>
      </c>
      <c r="CF515" t="str">
        <f t="shared" si="339"/>
        <v/>
      </c>
      <c r="CG515" t="str">
        <f t="shared" ref="CG515:CG578" si="358">IF(CH515="","","Relationship (Gs=2.67)")</f>
        <v/>
      </c>
      <c r="CH515" t="str">
        <f t="shared" si="340"/>
        <v/>
      </c>
      <c r="CI515" t="str">
        <f t="shared" ref="CI515:CI578" si="359">IF(CJ515="","","Hazen, 1911 (c=1.5)")</f>
        <v/>
      </c>
      <c r="CJ515" t="str">
        <f t="shared" si="330"/>
        <v/>
      </c>
    </row>
    <row r="516" spans="2:88" x14ac:dyDescent="0.3">
      <c r="B516" t="str">
        <f t="shared" si="322"/>
        <v>36.824139-76.074577</v>
      </c>
      <c r="C516" s="30" t="s">
        <v>140</v>
      </c>
      <c r="D516">
        <v>36.824139000000002</v>
      </c>
      <c r="E516">
        <v>-76.074577000000005</v>
      </c>
      <c r="F516">
        <v>5</v>
      </c>
      <c r="G516" t="str">
        <f t="shared" si="323"/>
        <v>-63-6536.824139-76.074577</v>
      </c>
      <c r="H516">
        <v>-63</v>
      </c>
      <c r="I516">
        <v>-65</v>
      </c>
      <c r="J516" s="30" t="s">
        <v>21</v>
      </c>
      <c r="L516" t="s">
        <v>113</v>
      </c>
      <c r="M516">
        <v>2</v>
      </c>
      <c r="S516" t="str">
        <f t="shared" si="335"/>
        <v>Clay</v>
      </c>
      <c r="T516">
        <f t="shared" si="324"/>
        <v>1</v>
      </c>
      <c r="AA516">
        <v>80</v>
      </c>
      <c r="AB516" s="1">
        <f t="shared" si="331"/>
        <v>3</v>
      </c>
      <c r="AC516">
        <f t="shared" si="332"/>
        <v>1</v>
      </c>
      <c r="AD516" t="str">
        <f t="shared" si="325"/>
        <v/>
      </c>
      <c r="AG516" s="21" t="str">
        <f t="shared" si="341"/>
        <v/>
      </c>
      <c r="AI516" s="6" t="str">
        <f t="shared" si="342"/>
        <v/>
      </c>
      <c r="AM516" s="7" t="str">
        <f t="shared" si="343"/>
        <v/>
      </c>
      <c r="AQ516" s="8" t="str">
        <f t="shared" si="344"/>
        <v/>
      </c>
      <c r="AW516" s="25" t="str">
        <f t="shared" si="345"/>
        <v/>
      </c>
      <c r="AZ516" s="12" t="str">
        <f t="shared" si="346"/>
        <v/>
      </c>
      <c r="BI516" s="17" t="str">
        <f t="shared" si="347"/>
        <v/>
      </c>
      <c r="BM516" t="str">
        <f t="shared" si="348"/>
        <v>SPT Relationship</v>
      </c>
      <c r="BN516">
        <f t="shared" si="336"/>
        <v>101</v>
      </c>
      <c r="BO516" t="str">
        <f t="shared" si="349"/>
        <v>Wolff, 1989</v>
      </c>
      <c r="BP516">
        <f t="shared" si="333"/>
        <v>27</v>
      </c>
      <c r="BQ516" t="str">
        <f t="shared" si="350"/>
        <v/>
      </c>
      <c r="BR516" t="str">
        <f t="shared" si="326"/>
        <v/>
      </c>
      <c r="BS516" t="str">
        <f t="shared" si="351"/>
        <v>Stroud 1974 (K=3.5)</v>
      </c>
      <c r="BT516">
        <f t="shared" si="334"/>
        <v>219</v>
      </c>
      <c r="BU516" t="str">
        <f t="shared" si="352"/>
        <v/>
      </c>
      <c r="BV516" t="str">
        <f t="shared" si="327"/>
        <v/>
      </c>
      <c r="BW516" t="str">
        <f t="shared" si="353"/>
        <v/>
      </c>
      <c r="BX516" t="str">
        <f t="shared" si="328"/>
        <v/>
      </c>
      <c r="BY516" t="str">
        <f t="shared" si="354"/>
        <v/>
      </c>
      <c r="BZ516" t="str">
        <f t="shared" si="329"/>
        <v/>
      </c>
      <c r="CA516" t="str">
        <f t="shared" si="355"/>
        <v/>
      </c>
      <c r="CB516" t="str">
        <f t="shared" si="337"/>
        <v/>
      </c>
      <c r="CC516" t="str">
        <f t="shared" si="356"/>
        <v/>
      </c>
      <c r="CD516" t="str">
        <f t="shared" si="338"/>
        <v/>
      </c>
      <c r="CE516" t="str">
        <f t="shared" si="357"/>
        <v/>
      </c>
      <c r="CF516" t="str">
        <f t="shared" si="339"/>
        <v/>
      </c>
      <c r="CG516" t="str">
        <f t="shared" si="358"/>
        <v/>
      </c>
      <c r="CH516" t="str">
        <f t="shared" si="340"/>
        <v/>
      </c>
      <c r="CI516" t="str">
        <f t="shared" si="359"/>
        <v/>
      </c>
      <c r="CJ516" t="str">
        <f t="shared" si="330"/>
        <v/>
      </c>
    </row>
    <row r="517" spans="2:88" x14ac:dyDescent="0.3">
      <c r="B517" t="str">
        <f t="shared" si="322"/>
        <v>36.824139-76.074577</v>
      </c>
      <c r="C517" s="30" t="s">
        <v>140</v>
      </c>
      <c r="D517">
        <v>36.824139000000002</v>
      </c>
      <c r="E517">
        <v>-76.074577000000005</v>
      </c>
      <c r="F517">
        <v>5</v>
      </c>
      <c r="G517" t="str">
        <f t="shared" si="323"/>
        <v>-68-7036.824139-76.074577</v>
      </c>
      <c r="H517">
        <v>-68</v>
      </c>
      <c r="I517">
        <v>-70</v>
      </c>
      <c r="J517" s="30" t="s">
        <v>21</v>
      </c>
      <c r="L517" t="s">
        <v>113</v>
      </c>
      <c r="M517">
        <v>4</v>
      </c>
      <c r="S517" t="str">
        <f t="shared" si="335"/>
        <v>Clay</v>
      </c>
      <c r="T517">
        <f t="shared" si="324"/>
        <v>1</v>
      </c>
      <c r="AA517">
        <v>80</v>
      </c>
      <c r="AB517" s="1">
        <f t="shared" si="331"/>
        <v>5</v>
      </c>
      <c r="AC517">
        <f t="shared" si="332"/>
        <v>2</v>
      </c>
      <c r="AD517" t="str">
        <f t="shared" si="325"/>
        <v/>
      </c>
      <c r="AG517" s="21" t="str">
        <f t="shared" si="341"/>
        <v/>
      </c>
      <c r="AI517" s="6" t="str">
        <f t="shared" si="342"/>
        <v/>
      </c>
      <c r="AM517" s="7" t="str">
        <f t="shared" si="343"/>
        <v/>
      </c>
      <c r="AQ517" s="8" t="str">
        <f t="shared" si="344"/>
        <v/>
      </c>
      <c r="AW517" s="25" t="str">
        <f t="shared" si="345"/>
        <v/>
      </c>
      <c r="AZ517" s="12" t="str">
        <f t="shared" si="346"/>
        <v/>
      </c>
      <c r="BI517" s="17" t="str">
        <f t="shared" si="347"/>
        <v/>
      </c>
      <c r="BM517" t="str">
        <f t="shared" si="348"/>
        <v>SPT Relationship</v>
      </c>
      <c r="BN517">
        <f t="shared" si="336"/>
        <v>108</v>
      </c>
      <c r="BO517" t="str">
        <f t="shared" si="349"/>
        <v>Wolff, 1989</v>
      </c>
      <c r="BP517">
        <f t="shared" si="333"/>
        <v>27</v>
      </c>
      <c r="BQ517" t="str">
        <f t="shared" si="350"/>
        <v/>
      </c>
      <c r="BR517" t="str">
        <f t="shared" si="326"/>
        <v/>
      </c>
      <c r="BS517" t="str">
        <f t="shared" si="351"/>
        <v>Stroud 1974 (K=3.5)</v>
      </c>
      <c r="BT517">
        <f t="shared" si="334"/>
        <v>365</v>
      </c>
      <c r="BU517" t="str">
        <f t="shared" si="352"/>
        <v/>
      </c>
      <c r="BV517" t="str">
        <f t="shared" si="327"/>
        <v/>
      </c>
      <c r="BW517" t="str">
        <f t="shared" si="353"/>
        <v/>
      </c>
      <c r="BX517" t="str">
        <f t="shared" si="328"/>
        <v/>
      </c>
      <c r="BY517" t="str">
        <f t="shared" si="354"/>
        <v/>
      </c>
      <c r="BZ517" t="str">
        <f t="shared" si="329"/>
        <v/>
      </c>
      <c r="CA517" t="str">
        <f t="shared" si="355"/>
        <v/>
      </c>
      <c r="CB517" t="str">
        <f t="shared" si="337"/>
        <v/>
      </c>
      <c r="CC517" t="str">
        <f t="shared" si="356"/>
        <v/>
      </c>
      <c r="CD517" t="str">
        <f t="shared" si="338"/>
        <v/>
      </c>
      <c r="CE517" t="str">
        <f t="shared" si="357"/>
        <v/>
      </c>
      <c r="CF517" t="str">
        <f t="shared" si="339"/>
        <v/>
      </c>
      <c r="CG517" t="str">
        <f t="shared" si="358"/>
        <v/>
      </c>
      <c r="CH517" t="str">
        <f t="shared" si="340"/>
        <v/>
      </c>
      <c r="CI517" t="str">
        <f t="shared" si="359"/>
        <v/>
      </c>
      <c r="CJ517" t="str">
        <f t="shared" si="330"/>
        <v/>
      </c>
    </row>
    <row r="518" spans="2:88" x14ac:dyDescent="0.3">
      <c r="B518" t="str">
        <f t="shared" si="322"/>
        <v>36.824139-76.074577</v>
      </c>
      <c r="C518" s="30" t="s">
        <v>140</v>
      </c>
      <c r="D518">
        <v>36.824139000000002</v>
      </c>
      <c r="E518">
        <v>-76.074577000000005</v>
      </c>
      <c r="F518">
        <v>5</v>
      </c>
      <c r="G518" t="str">
        <f t="shared" si="323"/>
        <v>-73-7536.824139-76.074577</v>
      </c>
      <c r="H518">
        <v>-73</v>
      </c>
      <c r="I518">
        <v>-75</v>
      </c>
      <c r="J518" s="30" t="s">
        <v>21</v>
      </c>
      <c r="L518" t="s">
        <v>17</v>
      </c>
      <c r="M518">
        <v>2</v>
      </c>
      <c r="S518" t="str">
        <f t="shared" si="335"/>
        <v>Sand</v>
      </c>
      <c r="T518">
        <f t="shared" si="324"/>
        <v>1</v>
      </c>
      <c r="AA518">
        <v>80</v>
      </c>
      <c r="AB518" s="1">
        <f t="shared" si="331"/>
        <v>3</v>
      </c>
      <c r="AC518">
        <f t="shared" si="332"/>
        <v>1</v>
      </c>
      <c r="AD518" t="str">
        <f t="shared" si="325"/>
        <v/>
      </c>
      <c r="AG518" s="21" t="str">
        <f t="shared" si="341"/>
        <v/>
      </c>
      <c r="AI518" s="6" t="str">
        <f t="shared" si="342"/>
        <v/>
      </c>
      <c r="AM518" s="7" t="str">
        <f t="shared" si="343"/>
        <v/>
      </c>
      <c r="AQ518" s="8" t="str">
        <f t="shared" si="344"/>
        <v/>
      </c>
      <c r="AW518" s="25" t="str">
        <f t="shared" si="345"/>
        <v/>
      </c>
      <c r="AZ518" s="12" t="str">
        <f t="shared" si="346"/>
        <v/>
      </c>
      <c r="BI518" s="17" t="str">
        <f t="shared" si="347"/>
        <v/>
      </c>
      <c r="BM518" t="str">
        <f t="shared" si="348"/>
        <v>SPT Relationship</v>
      </c>
      <c r="BN518">
        <f t="shared" si="336"/>
        <v>101</v>
      </c>
      <c r="BO518" t="str">
        <f t="shared" si="349"/>
        <v>Wolff, 1989</v>
      </c>
      <c r="BP518">
        <f t="shared" si="333"/>
        <v>27</v>
      </c>
      <c r="BQ518" t="str">
        <f t="shared" si="350"/>
        <v/>
      </c>
      <c r="BR518" t="str">
        <f t="shared" si="326"/>
        <v/>
      </c>
      <c r="BS518" t="str">
        <f t="shared" si="351"/>
        <v/>
      </c>
      <c r="BT518" t="str">
        <f t="shared" si="334"/>
        <v/>
      </c>
      <c r="BU518" t="str">
        <f t="shared" si="352"/>
        <v/>
      </c>
      <c r="BV518" t="str">
        <f t="shared" si="327"/>
        <v/>
      </c>
      <c r="BW518" t="str">
        <f t="shared" si="353"/>
        <v/>
      </c>
      <c r="BX518" t="str">
        <f t="shared" si="328"/>
        <v/>
      </c>
      <c r="BY518" t="str">
        <f t="shared" si="354"/>
        <v/>
      </c>
      <c r="BZ518" t="str">
        <f t="shared" si="329"/>
        <v/>
      </c>
      <c r="CA518" t="str">
        <f t="shared" si="355"/>
        <v/>
      </c>
      <c r="CB518" t="str">
        <f t="shared" si="337"/>
        <v/>
      </c>
      <c r="CC518" t="str">
        <f t="shared" si="356"/>
        <v/>
      </c>
      <c r="CD518" t="str">
        <f t="shared" si="338"/>
        <v/>
      </c>
      <c r="CE518" t="str">
        <f t="shared" si="357"/>
        <v>Bowles 5th edition</v>
      </c>
      <c r="CF518">
        <f t="shared" si="339"/>
        <v>115</v>
      </c>
      <c r="CG518" t="str">
        <f t="shared" si="358"/>
        <v/>
      </c>
      <c r="CH518" t="str">
        <f t="shared" si="340"/>
        <v/>
      </c>
      <c r="CI518" t="str">
        <f t="shared" si="359"/>
        <v/>
      </c>
      <c r="CJ518" t="str">
        <f t="shared" si="330"/>
        <v/>
      </c>
    </row>
    <row r="519" spans="2:88" x14ac:dyDescent="0.3">
      <c r="B519" t="str">
        <f t="shared" si="322"/>
        <v>36.824139-76.074577</v>
      </c>
      <c r="C519" s="30" t="s">
        <v>140</v>
      </c>
      <c r="D519">
        <v>36.824139000000002</v>
      </c>
      <c r="E519">
        <v>-76.074577000000005</v>
      </c>
      <c r="F519">
        <v>5</v>
      </c>
      <c r="G519" t="str">
        <f t="shared" si="323"/>
        <v>-78-8036.824139-76.074577</v>
      </c>
      <c r="H519">
        <v>-78</v>
      </c>
      <c r="I519">
        <v>-80</v>
      </c>
      <c r="J519" s="30" t="s">
        <v>21</v>
      </c>
      <c r="L519" t="s">
        <v>113</v>
      </c>
      <c r="M519">
        <v>0</v>
      </c>
      <c r="S519" t="str">
        <f t="shared" si="335"/>
        <v>Clay</v>
      </c>
      <c r="T519">
        <f t="shared" si="324"/>
        <v>1</v>
      </c>
      <c r="AA519">
        <v>80</v>
      </c>
      <c r="AB519" s="1">
        <f t="shared" si="331"/>
        <v>0</v>
      </c>
      <c r="AC519">
        <f t="shared" si="332"/>
        <v>0</v>
      </c>
      <c r="AD519" t="str">
        <f t="shared" si="325"/>
        <v/>
      </c>
      <c r="AG519" s="21" t="str">
        <f t="shared" si="341"/>
        <v/>
      </c>
      <c r="AI519" s="6" t="str">
        <f t="shared" si="342"/>
        <v/>
      </c>
      <c r="AM519" s="7" t="str">
        <f t="shared" si="343"/>
        <v/>
      </c>
      <c r="AQ519" s="8" t="str">
        <f t="shared" si="344"/>
        <v/>
      </c>
      <c r="AW519" s="25" t="str">
        <f t="shared" si="345"/>
        <v/>
      </c>
      <c r="AZ519" s="12" t="str">
        <f t="shared" si="346"/>
        <v/>
      </c>
      <c r="BI519" s="17" t="str">
        <f t="shared" si="347"/>
        <v/>
      </c>
      <c r="BM519" t="str">
        <f t="shared" si="348"/>
        <v>SPT Relationship</v>
      </c>
      <c r="BN519">
        <f t="shared" si="336"/>
        <v>95</v>
      </c>
      <c r="BO519" t="str">
        <f t="shared" si="349"/>
        <v>Wolff, 1989</v>
      </c>
      <c r="BP519">
        <f t="shared" si="333"/>
        <v>27</v>
      </c>
      <c r="BQ519" t="str">
        <f t="shared" si="350"/>
        <v/>
      </c>
      <c r="BR519" t="str">
        <f t="shared" si="326"/>
        <v/>
      </c>
      <c r="BS519" t="str">
        <f t="shared" si="351"/>
        <v>Stroud 1974 (K=3.5)</v>
      </c>
      <c r="BT519">
        <f t="shared" si="334"/>
        <v>0</v>
      </c>
      <c r="BU519" t="str">
        <f t="shared" si="352"/>
        <v/>
      </c>
      <c r="BV519" t="str">
        <f t="shared" si="327"/>
        <v/>
      </c>
      <c r="BW519" t="str">
        <f t="shared" si="353"/>
        <v/>
      </c>
      <c r="BX519" t="str">
        <f t="shared" si="328"/>
        <v/>
      </c>
      <c r="BY519" t="str">
        <f t="shared" si="354"/>
        <v/>
      </c>
      <c r="BZ519" t="str">
        <f t="shared" si="329"/>
        <v/>
      </c>
      <c r="CA519" t="str">
        <f t="shared" si="355"/>
        <v/>
      </c>
      <c r="CB519" t="str">
        <f t="shared" si="337"/>
        <v/>
      </c>
      <c r="CC519" t="str">
        <f t="shared" si="356"/>
        <v/>
      </c>
      <c r="CD519" t="str">
        <f t="shared" si="338"/>
        <v/>
      </c>
      <c r="CE519" t="str">
        <f t="shared" si="357"/>
        <v/>
      </c>
      <c r="CF519" t="str">
        <f t="shared" si="339"/>
        <v/>
      </c>
      <c r="CG519" t="str">
        <f t="shared" si="358"/>
        <v/>
      </c>
      <c r="CH519" t="str">
        <f t="shared" si="340"/>
        <v/>
      </c>
      <c r="CI519" t="str">
        <f t="shared" si="359"/>
        <v/>
      </c>
      <c r="CJ519" t="str">
        <f t="shared" si="330"/>
        <v/>
      </c>
    </row>
    <row r="520" spans="2:88" x14ac:dyDescent="0.3">
      <c r="B520" t="str">
        <f t="shared" si="322"/>
        <v>36.824139-76.074577</v>
      </c>
      <c r="C520" s="30" t="s">
        <v>140</v>
      </c>
      <c r="D520">
        <v>36.824139000000002</v>
      </c>
      <c r="E520">
        <v>-76.074577000000005</v>
      </c>
      <c r="F520">
        <v>5</v>
      </c>
      <c r="G520" t="str">
        <f t="shared" si="323"/>
        <v>-83-8536.824139-76.074577</v>
      </c>
      <c r="H520">
        <v>-83</v>
      </c>
      <c r="I520">
        <v>-85</v>
      </c>
      <c r="J520" s="30" t="s">
        <v>21</v>
      </c>
      <c r="L520" t="s">
        <v>113</v>
      </c>
      <c r="M520">
        <v>2</v>
      </c>
      <c r="S520" t="str">
        <f t="shared" si="335"/>
        <v>Clay</v>
      </c>
      <c r="T520">
        <f t="shared" si="324"/>
        <v>1</v>
      </c>
      <c r="AA520">
        <v>80</v>
      </c>
      <c r="AB520" s="1">
        <f t="shared" si="331"/>
        <v>3</v>
      </c>
      <c r="AC520">
        <f t="shared" si="332"/>
        <v>1</v>
      </c>
      <c r="AD520" t="str">
        <f t="shared" si="325"/>
        <v/>
      </c>
      <c r="AG520" s="21" t="str">
        <f t="shared" si="341"/>
        <v/>
      </c>
      <c r="AI520" s="6" t="str">
        <f t="shared" si="342"/>
        <v/>
      </c>
      <c r="AM520" s="7" t="str">
        <f t="shared" si="343"/>
        <v/>
      </c>
      <c r="AQ520" s="8" t="str">
        <f t="shared" si="344"/>
        <v/>
      </c>
      <c r="AW520" s="25" t="str">
        <f t="shared" si="345"/>
        <v/>
      </c>
      <c r="AZ520" s="12" t="str">
        <f t="shared" si="346"/>
        <v/>
      </c>
      <c r="BI520" s="17" t="str">
        <f t="shared" si="347"/>
        <v/>
      </c>
      <c r="BM520" t="str">
        <f t="shared" si="348"/>
        <v>SPT Relationship</v>
      </c>
      <c r="BN520">
        <f t="shared" si="336"/>
        <v>101</v>
      </c>
      <c r="BO520" t="str">
        <f t="shared" si="349"/>
        <v>Wolff, 1989</v>
      </c>
      <c r="BP520">
        <f t="shared" si="333"/>
        <v>27</v>
      </c>
      <c r="BQ520" t="str">
        <f t="shared" si="350"/>
        <v/>
      </c>
      <c r="BR520" t="str">
        <f t="shared" si="326"/>
        <v/>
      </c>
      <c r="BS520" t="str">
        <f t="shared" si="351"/>
        <v>Stroud 1974 (K=3.5)</v>
      </c>
      <c r="BT520">
        <f t="shared" si="334"/>
        <v>219</v>
      </c>
      <c r="BU520" t="str">
        <f t="shared" si="352"/>
        <v/>
      </c>
      <c r="BV520" t="str">
        <f t="shared" si="327"/>
        <v/>
      </c>
      <c r="BW520" t="str">
        <f t="shared" si="353"/>
        <v/>
      </c>
      <c r="BX520" t="str">
        <f t="shared" si="328"/>
        <v/>
      </c>
      <c r="BY520" t="str">
        <f t="shared" si="354"/>
        <v/>
      </c>
      <c r="BZ520" t="str">
        <f t="shared" si="329"/>
        <v/>
      </c>
      <c r="CA520" t="str">
        <f t="shared" si="355"/>
        <v/>
      </c>
      <c r="CB520" t="str">
        <f t="shared" si="337"/>
        <v/>
      </c>
      <c r="CC520" t="str">
        <f t="shared" si="356"/>
        <v/>
      </c>
      <c r="CD520" t="str">
        <f t="shared" si="338"/>
        <v/>
      </c>
      <c r="CE520" t="str">
        <f t="shared" si="357"/>
        <v/>
      </c>
      <c r="CF520" t="str">
        <f t="shared" si="339"/>
        <v/>
      </c>
      <c r="CG520" t="str">
        <f t="shared" si="358"/>
        <v/>
      </c>
      <c r="CH520" t="str">
        <f t="shared" si="340"/>
        <v/>
      </c>
      <c r="CI520" t="str">
        <f t="shared" si="359"/>
        <v/>
      </c>
      <c r="CJ520" t="str">
        <f t="shared" si="330"/>
        <v/>
      </c>
    </row>
    <row r="521" spans="2:88" x14ac:dyDescent="0.3">
      <c r="B521" t="str">
        <f t="shared" ref="B521:B584" si="360">""&amp;D521&amp;""&amp;E521</f>
        <v>36.824139-76.074577</v>
      </c>
      <c r="C521" s="30" t="s">
        <v>140</v>
      </c>
      <c r="D521">
        <v>36.824139000000002</v>
      </c>
      <c r="E521">
        <v>-76.074577000000005</v>
      </c>
      <c r="F521">
        <v>5</v>
      </c>
      <c r="G521" t="str">
        <f t="shared" ref="G521:G584" si="361">""&amp;H521&amp;""&amp;I521&amp;""&amp;D521&amp;""&amp;E521</f>
        <v>-88-9036.824139-76.074577</v>
      </c>
      <c r="H521">
        <v>-88</v>
      </c>
      <c r="I521">
        <v>-90</v>
      </c>
      <c r="J521" s="30" t="s">
        <v>21</v>
      </c>
      <c r="L521" t="s">
        <v>113</v>
      </c>
      <c r="M521">
        <v>3</v>
      </c>
      <c r="S521" t="str">
        <f t="shared" si="335"/>
        <v>Clay</v>
      </c>
      <c r="T521">
        <f t="shared" ref="T521:T584" si="362">IF(OR(Q521&lt;&gt;"",R521&lt;&gt;""),2,1)</f>
        <v>1</v>
      </c>
      <c r="AA521">
        <v>80</v>
      </c>
      <c r="AB521" s="1">
        <f t="shared" si="331"/>
        <v>4</v>
      </c>
      <c r="AC521">
        <f t="shared" si="332"/>
        <v>1</v>
      </c>
      <c r="AD521" t="str">
        <f t="shared" ref="AD521:AD584" si="363">IF(OR(N521="",O521=""),"",(N521-O521)/(P521-O521))</f>
        <v/>
      </c>
      <c r="AG521" s="21" t="str">
        <f t="shared" si="341"/>
        <v/>
      </c>
      <c r="AI521" s="6" t="str">
        <f t="shared" si="342"/>
        <v/>
      </c>
      <c r="AM521" s="7" t="str">
        <f t="shared" si="343"/>
        <v/>
      </c>
      <c r="AQ521" s="8" t="str">
        <f t="shared" si="344"/>
        <v/>
      </c>
      <c r="AW521" s="25" t="str">
        <f t="shared" si="345"/>
        <v/>
      </c>
      <c r="AZ521" s="12" t="str">
        <f t="shared" si="346"/>
        <v/>
      </c>
      <c r="BI521" s="17" t="str">
        <f t="shared" si="347"/>
        <v/>
      </c>
      <c r="BM521" t="str">
        <f t="shared" si="348"/>
        <v>SPT Relationship</v>
      </c>
      <c r="BN521">
        <f t="shared" si="336"/>
        <v>105</v>
      </c>
      <c r="BO521" t="str">
        <f t="shared" si="349"/>
        <v>Wolff, 1989</v>
      </c>
      <c r="BP521">
        <f t="shared" si="333"/>
        <v>27</v>
      </c>
      <c r="BQ521" t="str">
        <f t="shared" si="350"/>
        <v/>
      </c>
      <c r="BR521" t="str">
        <f t="shared" ref="BR521:BR584" si="364">IF(P521="","",ROUNDDOWN(28-0.1533*P521+0.000564*P521^2-0.0000008414*P521^3,0))</f>
        <v/>
      </c>
      <c r="BS521" t="str">
        <f t="shared" si="351"/>
        <v>Stroud 1974 (K=3.5)</v>
      </c>
      <c r="BT521">
        <f t="shared" si="334"/>
        <v>292</v>
      </c>
      <c r="BU521" t="str">
        <f t="shared" si="352"/>
        <v/>
      </c>
      <c r="BV521" t="str">
        <f t="shared" ref="BV521:BV584" si="365">IF(Q521="","",ROUND(Q521/74,3))</f>
        <v/>
      </c>
      <c r="BW521" t="str">
        <f t="shared" si="353"/>
        <v/>
      </c>
      <c r="BX521" t="str">
        <f t="shared" ref="BX521:BX584" si="366">IF(Q521="","",ROUND(Q521/370,3))</f>
        <v/>
      </c>
      <c r="BY521" t="str">
        <f t="shared" si="354"/>
        <v/>
      </c>
      <c r="BZ521" t="str">
        <f t="shared" ref="BZ521:BZ584" si="367">IF(BV521="","",ROUND(0.03*BV521,4))</f>
        <v/>
      </c>
      <c r="CA521" t="str">
        <f t="shared" si="355"/>
        <v/>
      </c>
      <c r="CB521" t="str">
        <f t="shared" si="337"/>
        <v/>
      </c>
      <c r="CC521" t="str">
        <f t="shared" si="356"/>
        <v/>
      </c>
      <c r="CD521" t="str">
        <f t="shared" si="338"/>
        <v/>
      </c>
      <c r="CE521" t="str">
        <f t="shared" si="357"/>
        <v/>
      </c>
      <c r="CF521" t="str">
        <f t="shared" si="339"/>
        <v/>
      </c>
      <c r="CG521" t="str">
        <f t="shared" si="358"/>
        <v/>
      </c>
      <c r="CH521" t="str">
        <f t="shared" si="340"/>
        <v/>
      </c>
      <c r="CI521" t="str">
        <f t="shared" si="359"/>
        <v/>
      </c>
      <c r="CJ521" t="str">
        <f t="shared" ref="CJ521:CJ584" si="368">IF(OR(S521="Clay",X521=""),"",1.5*X521^2)</f>
        <v/>
      </c>
    </row>
    <row r="522" spans="2:88" x14ac:dyDescent="0.3">
      <c r="B522" t="str">
        <f t="shared" si="360"/>
        <v>36.824139-76.074577</v>
      </c>
      <c r="C522" s="30" t="s">
        <v>140</v>
      </c>
      <c r="D522">
        <v>36.824139000000002</v>
      </c>
      <c r="E522">
        <v>-76.074577000000005</v>
      </c>
      <c r="F522">
        <v>5</v>
      </c>
      <c r="G522" t="str">
        <f t="shared" si="361"/>
        <v>-93-9536.824139-76.074577</v>
      </c>
      <c r="H522">
        <v>-93</v>
      </c>
      <c r="I522">
        <v>-95</v>
      </c>
      <c r="J522" s="30" t="s">
        <v>21</v>
      </c>
      <c r="L522" t="s">
        <v>17</v>
      </c>
      <c r="M522">
        <v>17</v>
      </c>
      <c r="S522" t="str">
        <f t="shared" si="335"/>
        <v>Sand</v>
      </c>
      <c r="T522">
        <f t="shared" si="362"/>
        <v>1</v>
      </c>
      <c r="AA522">
        <v>80</v>
      </c>
      <c r="AB522" s="1">
        <f t="shared" si="331"/>
        <v>23</v>
      </c>
      <c r="AC522">
        <f t="shared" si="332"/>
        <v>10</v>
      </c>
      <c r="AD522" t="str">
        <f t="shared" si="363"/>
        <v/>
      </c>
      <c r="AG522" s="21" t="str">
        <f t="shared" si="341"/>
        <v/>
      </c>
      <c r="AI522" s="6" t="str">
        <f t="shared" si="342"/>
        <v/>
      </c>
      <c r="AM522" s="7" t="str">
        <f t="shared" si="343"/>
        <v/>
      </c>
      <c r="AQ522" s="8" t="str">
        <f t="shared" si="344"/>
        <v/>
      </c>
      <c r="AW522" s="25" t="str">
        <f t="shared" si="345"/>
        <v/>
      </c>
      <c r="AZ522" s="12" t="str">
        <f t="shared" si="346"/>
        <v/>
      </c>
      <c r="BI522" s="17" t="str">
        <f t="shared" si="347"/>
        <v/>
      </c>
      <c r="BM522" t="str">
        <f t="shared" si="348"/>
        <v>SPT Relationship</v>
      </c>
      <c r="BN522">
        <f t="shared" si="336"/>
        <v>124</v>
      </c>
      <c r="BO522" t="str">
        <f t="shared" si="349"/>
        <v>Wolff, 1989</v>
      </c>
      <c r="BP522">
        <f t="shared" si="333"/>
        <v>30</v>
      </c>
      <c r="BQ522" t="str">
        <f t="shared" si="350"/>
        <v/>
      </c>
      <c r="BR522" t="str">
        <f t="shared" si="364"/>
        <v/>
      </c>
      <c r="BS522" t="str">
        <f t="shared" si="351"/>
        <v/>
      </c>
      <c r="BT522" t="str">
        <f t="shared" si="334"/>
        <v/>
      </c>
      <c r="BU522" t="str">
        <f t="shared" si="352"/>
        <v/>
      </c>
      <c r="BV522" t="str">
        <f t="shared" si="365"/>
        <v/>
      </c>
      <c r="BW522" t="str">
        <f t="shared" si="353"/>
        <v/>
      </c>
      <c r="BX522" t="str">
        <f t="shared" si="366"/>
        <v/>
      </c>
      <c r="BY522" t="str">
        <f t="shared" si="354"/>
        <v/>
      </c>
      <c r="BZ522" t="str">
        <f t="shared" si="367"/>
        <v/>
      </c>
      <c r="CA522" t="str">
        <f t="shared" si="355"/>
        <v/>
      </c>
      <c r="CB522" t="str">
        <f t="shared" si="337"/>
        <v/>
      </c>
      <c r="CC522" t="str">
        <f t="shared" si="356"/>
        <v/>
      </c>
      <c r="CD522" t="str">
        <f t="shared" si="338"/>
        <v/>
      </c>
      <c r="CE522" t="str">
        <f t="shared" si="357"/>
        <v>Bowles 5th edition</v>
      </c>
      <c r="CF522">
        <f t="shared" si="339"/>
        <v>243</v>
      </c>
      <c r="CG522" t="str">
        <f t="shared" si="358"/>
        <v/>
      </c>
      <c r="CH522" t="str">
        <f t="shared" si="340"/>
        <v/>
      </c>
      <c r="CI522" t="str">
        <f t="shared" si="359"/>
        <v/>
      </c>
      <c r="CJ522" t="str">
        <f t="shared" si="368"/>
        <v/>
      </c>
    </row>
    <row r="523" spans="2:88" x14ac:dyDescent="0.3">
      <c r="B523" t="str">
        <f t="shared" si="360"/>
        <v>36.822989-76.075825</v>
      </c>
      <c r="C523" s="30" t="s">
        <v>141</v>
      </c>
      <c r="D523">
        <v>36.822989</v>
      </c>
      <c r="E523">
        <v>-76.075824999999995</v>
      </c>
      <c r="F523">
        <v>5</v>
      </c>
      <c r="G523" t="str">
        <f t="shared" si="361"/>
        <v>5336.822989-76.075825</v>
      </c>
      <c r="H523">
        <v>5</v>
      </c>
      <c r="I523">
        <v>3</v>
      </c>
      <c r="J523" s="30" t="s">
        <v>21</v>
      </c>
      <c r="L523" t="s">
        <v>17</v>
      </c>
      <c r="M523">
        <v>15</v>
      </c>
      <c r="S523" t="str">
        <f t="shared" si="335"/>
        <v>Sand</v>
      </c>
      <c r="T523">
        <f t="shared" si="362"/>
        <v>1</v>
      </c>
      <c r="AA523">
        <v>80</v>
      </c>
      <c r="AB523" s="1">
        <f t="shared" si="331"/>
        <v>20</v>
      </c>
      <c r="AC523">
        <f t="shared" si="332"/>
        <v>61</v>
      </c>
      <c r="AD523" t="str">
        <f t="shared" si="363"/>
        <v/>
      </c>
      <c r="AG523" s="21" t="str">
        <f t="shared" si="341"/>
        <v/>
      </c>
      <c r="AI523" s="6" t="str">
        <f t="shared" si="342"/>
        <v/>
      </c>
      <c r="AM523" s="7" t="str">
        <f t="shared" si="343"/>
        <v/>
      </c>
      <c r="AQ523" s="8" t="str">
        <f t="shared" si="344"/>
        <v/>
      </c>
      <c r="AW523" s="25" t="str">
        <f t="shared" si="345"/>
        <v/>
      </c>
      <c r="AZ523" s="12" t="str">
        <f t="shared" si="346"/>
        <v/>
      </c>
      <c r="BI523" s="17" t="str">
        <f t="shared" si="347"/>
        <v/>
      </c>
      <c r="BM523" t="str">
        <f t="shared" si="348"/>
        <v>SPT Relationship</v>
      </c>
      <c r="BN523">
        <f t="shared" si="336"/>
        <v>123</v>
      </c>
      <c r="BO523" t="str">
        <f t="shared" si="349"/>
        <v>Wolff, 1989</v>
      </c>
      <c r="BP523">
        <f t="shared" si="333"/>
        <v>43</v>
      </c>
      <c r="BQ523" t="str">
        <f t="shared" si="350"/>
        <v/>
      </c>
      <c r="BR523" t="str">
        <f t="shared" si="364"/>
        <v/>
      </c>
      <c r="BS523" t="str">
        <f t="shared" si="351"/>
        <v/>
      </c>
      <c r="BT523" t="str">
        <f t="shared" si="334"/>
        <v/>
      </c>
      <c r="BU523" t="str">
        <f t="shared" si="352"/>
        <v/>
      </c>
      <c r="BV523" t="str">
        <f t="shared" si="365"/>
        <v/>
      </c>
      <c r="BW523" t="str">
        <f t="shared" si="353"/>
        <v/>
      </c>
      <c r="BX523" t="str">
        <f t="shared" si="366"/>
        <v/>
      </c>
      <c r="BY523" t="str">
        <f t="shared" si="354"/>
        <v/>
      </c>
      <c r="BZ523" t="str">
        <f t="shared" si="367"/>
        <v/>
      </c>
      <c r="CA523" t="str">
        <f t="shared" si="355"/>
        <v/>
      </c>
      <c r="CB523" t="str">
        <f t="shared" si="337"/>
        <v/>
      </c>
      <c r="CC523" t="str">
        <f t="shared" si="356"/>
        <v/>
      </c>
      <c r="CD523" t="str">
        <f t="shared" si="338"/>
        <v/>
      </c>
      <c r="CE523" t="str">
        <f t="shared" si="357"/>
        <v>Bowles 5th edition</v>
      </c>
      <c r="CF523">
        <f t="shared" si="339"/>
        <v>224</v>
      </c>
      <c r="CG523" t="str">
        <f t="shared" si="358"/>
        <v/>
      </c>
      <c r="CH523" t="str">
        <f t="shared" si="340"/>
        <v/>
      </c>
      <c r="CI523" t="str">
        <f t="shared" si="359"/>
        <v/>
      </c>
      <c r="CJ523" t="str">
        <f t="shared" si="368"/>
        <v/>
      </c>
    </row>
    <row r="524" spans="2:88" x14ac:dyDescent="0.3">
      <c r="B524" t="str">
        <f t="shared" si="360"/>
        <v>36.822989-76.075825</v>
      </c>
      <c r="C524" s="30" t="s">
        <v>141</v>
      </c>
      <c r="D524">
        <v>36.822989</v>
      </c>
      <c r="E524">
        <v>-76.075824999999995</v>
      </c>
      <c r="F524">
        <v>5</v>
      </c>
      <c r="G524" t="str">
        <f t="shared" si="361"/>
        <v>3136.822989-76.075825</v>
      </c>
      <c r="H524">
        <v>3</v>
      </c>
      <c r="I524">
        <v>1</v>
      </c>
      <c r="J524" s="30" t="s">
        <v>21</v>
      </c>
      <c r="L524" t="s">
        <v>17</v>
      </c>
      <c r="M524">
        <v>12</v>
      </c>
      <c r="S524" t="str">
        <f t="shared" si="335"/>
        <v>Sand</v>
      </c>
      <c r="T524">
        <f t="shared" si="362"/>
        <v>1</v>
      </c>
      <c r="AA524">
        <v>80</v>
      </c>
      <c r="AB524" s="1">
        <f t="shared" si="331"/>
        <v>16</v>
      </c>
      <c r="AC524">
        <f t="shared" si="332"/>
        <v>34</v>
      </c>
      <c r="AD524" t="str">
        <f t="shared" si="363"/>
        <v/>
      </c>
      <c r="AG524" s="21" t="str">
        <f t="shared" si="341"/>
        <v/>
      </c>
      <c r="AI524" s="6" t="str">
        <f t="shared" si="342"/>
        <v/>
      </c>
      <c r="AM524" s="7" t="str">
        <f t="shared" si="343"/>
        <v/>
      </c>
      <c r="AQ524" s="8" t="str">
        <f t="shared" si="344"/>
        <v/>
      </c>
      <c r="AW524" s="25" t="str">
        <f t="shared" si="345"/>
        <v/>
      </c>
      <c r="AZ524" s="12" t="str">
        <f t="shared" si="346"/>
        <v/>
      </c>
      <c r="BI524" s="17" t="str">
        <f t="shared" si="347"/>
        <v/>
      </c>
      <c r="BM524" t="str">
        <f t="shared" si="348"/>
        <v>SPT Relationship</v>
      </c>
      <c r="BN524">
        <f t="shared" si="336"/>
        <v>120</v>
      </c>
      <c r="BO524" t="str">
        <f t="shared" si="349"/>
        <v>Wolff, 1989</v>
      </c>
      <c r="BP524">
        <f t="shared" si="333"/>
        <v>36</v>
      </c>
      <c r="BQ524" t="str">
        <f t="shared" si="350"/>
        <v/>
      </c>
      <c r="BR524" t="str">
        <f t="shared" si="364"/>
        <v/>
      </c>
      <c r="BS524" t="str">
        <f t="shared" si="351"/>
        <v/>
      </c>
      <c r="BT524" t="str">
        <f t="shared" si="334"/>
        <v/>
      </c>
      <c r="BU524" t="str">
        <f t="shared" si="352"/>
        <v/>
      </c>
      <c r="BV524" t="str">
        <f t="shared" si="365"/>
        <v/>
      </c>
      <c r="BW524" t="str">
        <f t="shared" si="353"/>
        <v/>
      </c>
      <c r="BX524" t="str">
        <f t="shared" si="366"/>
        <v/>
      </c>
      <c r="BY524" t="str">
        <f t="shared" si="354"/>
        <v/>
      </c>
      <c r="BZ524" t="str">
        <f t="shared" si="367"/>
        <v/>
      </c>
      <c r="CA524" t="str">
        <f t="shared" si="355"/>
        <v/>
      </c>
      <c r="CB524" t="str">
        <f t="shared" si="337"/>
        <v/>
      </c>
      <c r="CC524" t="str">
        <f t="shared" si="356"/>
        <v/>
      </c>
      <c r="CD524" t="str">
        <f t="shared" si="338"/>
        <v/>
      </c>
      <c r="CE524" t="str">
        <f t="shared" si="357"/>
        <v>Bowles 5th edition</v>
      </c>
      <c r="CF524">
        <f t="shared" si="339"/>
        <v>198</v>
      </c>
      <c r="CG524" t="str">
        <f t="shared" si="358"/>
        <v/>
      </c>
      <c r="CH524" t="str">
        <f t="shared" si="340"/>
        <v/>
      </c>
      <c r="CI524" t="str">
        <f t="shared" si="359"/>
        <v/>
      </c>
      <c r="CJ524" t="str">
        <f t="shared" si="368"/>
        <v/>
      </c>
    </row>
    <row r="525" spans="2:88" x14ac:dyDescent="0.3">
      <c r="B525" t="str">
        <f t="shared" si="360"/>
        <v>36.822989-76.075825</v>
      </c>
      <c r="C525" s="30" t="s">
        <v>141</v>
      </c>
      <c r="D525">
        <v>36.822989</v>
      </c>
      <c r="E525">
        <v>-76.075824999999995</v>
      </c>
      <c r="F525">
        <v>5</v>
      </c>
      <c r="G525" t="str">
        <f t="shared" si="361"/>
        <v>1-136.822989-76.075825</v>
      </c>
      <c r="H525">
        <v>1</v>
      </c>
      <c r="I525">
        <v>-1</v>
      </c>
      <c r="J525" s="30" t="s">
        <v>21</v>
      </c>
      <c r="L525" t="s">
        <v>17</v>
      </c>
      <c r="M525">
        <v>14</v>
      </c>
      <c r="S525" t="str">
        <f t="shared" si="335"/>
        <v>Sand</v>
      </c>
      <c r="T525">
        <f t="shared" si="362"/>
        <v>1</v>
      </c>
      <c r="AA525">
        <v>80</v>
      </c>
      <c r="AB525" s="1">
        <f t="shared" si="331"/>
        <v>19</v>
      </c>
      <c r="AC525">
        <f t="shared" si="332"/>
        <v>33</v>
      </c>
      <c r="AD525" t="str">
        <f t="shared" si="363"/>
        <v/>
      </c>
      <c r="AG525" s="21" t="str">
        <f t="shared" si="341"/>
        <v/>
      </c>
      <c r="AI525" s="6" t="str">
        <f t="shared" si="342"/>
        <v/>
      </c>
      <c r="AM525" s="7" t="str">
        <f t="shared" si="343"/>
        <v/>
      </c>
      <c r="AQ525" s="8" t="str">
        <f t="shared" si="344"/>
        <v/>
      </c>
      <c r="AW525" s="25" t="str">
        <f t="shared" si="345"/>
        <v/>
      </c>
      <c r="AZ525" s="12" t="str">
        <f t="shared" si="346"/>
        <v/>
      </c>
      <c r="BI525" s="17" t="str">
        <f t="shared" si="347"/>
        <v/>
      </c>
      <c r="BM525" t="str">
        <f t="shared" si="348"/>
        <v>SPT Relationship</v>
      </c>
      <c r="BN525">
        <f t="shared" si="336"/>
        <v>122</v>
      </c>
      <c r="BO525" t="str">
        <f t="shared" si="349"/>
        <v>Wolff, 1989</v>
      </c>
      <c r="BP525">
        <f t="shared" si="333"/>
        <v>36</v>
      </c>
      <c r="BQ525" t="str">
        <f t="shared" si="350"/>
        <v/>
      </c>
      <c r="BR525" t="str">
        <f t="shared" si="364"/>
        <v/>
      </c>
      <c r="BS525" t="str">
        <f t="shared" si="351"/>
        <v/>
      </c>
      <c r="BT525" t="str">
        <f t="shared" si="334"/>
        <v/>
      </c>
      <c r="BU525" t="str">
        <f t="shared" si="352"/>
        <v/>
      </c>
      <c r="BV525" t="str">
        <f t="shared" si="365"/>
        <v/>
      </c>
      <c r="BW525" t="str">
        <f t="shared" si="353"/>
        <v/>
      </c>
      <c r="BX525" t="str">
        <f t="shared" si="366"/>
        <v/>
      </c>
      <c r="BY525" t="str">
        <f t="shared" si="354"/>
        <v/>
      </c>
      <c r="BZ525" t="str">
        <f t="shared" si="367"/>
        <v/>
      </c>
      <c r="CA525" t="str">
        <f t="shared" si="355"/>
        <v/>
      </c>
      <c r="CB525" t="str">
        <f t="shared" si="337"/>
        <v/>
      </c>
      <c r="CC525" t="str">
        <f t="shared" si="356"/>
        <v/>
      </c>
      <c r="CD525" t="str">
        <f t="shared" si="338"/>
        <v/>
      </c>
      <c r="CE525" t="str">
        <f t="shared" si="357"/>
        <v>Bowles 5th edition</v>
      </c>
      <c r="CF525">
        <f t="shared" si="339"/>
        <v>218</v>
      </c>
      <c r="CG525" t="str">
        <f t="shared" si="358"/>
        <v/>
      </c>
      <c r="CH525" t="str">
        <f t="shared" si="340"/>
        <v/>
      </c>
      <c r="CI525" t="str">
        <f t="shared" si="359"/>
        <v/>
      </c>
      <c r="CJ525" t="str">
        <f t="shared" si="368"/>
        <v/>
      </c>
    </row>
    <row r="526" spans="2:88" x14ac:dyDescent="0.3">
      <c r="B526" t="str">
        <f t="shared" si="360"/>
        <v>36.822989-76.075825</v>
      </c>
      <c r="C526" s="30" t="s">
        <v>141</v>
      </c>
      <c r="D526">
        <v>36.822989</v>
      </c>
      <c r="E526">
        <v>-76.075824999999995</v>
      </c>
      <c r="F526">
        <v>5</v>
      </c>
      <c r="G526" t="str">
        <f t="shared" si="361"/>
        <v>-1-336.822989-76.075825</v>
      </c>
      <c r="H526">
        <v>-1</v>
      </c>
      <c r="I526">
        <v>-3</v>
      </c>
      <c r="J526" s="30" t="s">
        <v>21</v>
      </c>
      <c r="L526" t="s">
        <v>16</v>
      </c>
      <c r="M526">
        <v>3</v>
      </c>
      <c r="S526" t="str">
        <f t="shared" si="335"/>
        <v>Sand</v>
      </c>
      <c r="T526">
        <f t="shared" si="362"/>
        <v>1</v>
      </c>
      <c r="AA526">
        <v>80</v>
      </c>
      <c r="AB526" s="1">
        <f t="shared" si="331"/>
        <v>4</v>
      </c>
      <c r="AC526">
        <f t="shared" si="332"/>
        <v>6</v>
      </c>
      <c r="AD526" t="str">
        <f t="shared" si="363"/>
        <v/>
      </c>
      <c r="AG526" s="21" t="str">
        <f t="shared" si="341"/>
        <v/>
      </c>
      <c r="AI526" s="6" t="str">
        <f t="shared" si="342"/>
        <v/>
      </c>
      <c r="AM526" s="7" t="str">
        <f t="shared" si="343"/>
        <v/>
      </c>
      <c r="AQ526" s="8" t="str">
        <f t="shared" si="344"/>
        <v/>
      </c>
      <c r="AW526" s="25" t="str">
        <f t="shared" si="345"/>
        <v/>
      </c>
      <c r="AZ526" s="12" t="str">
        <f t="shared" si="346"/>
        <v/>
      </c>
      <c r="BI526" s="17" t="str">
        <f t="shared" si="347"/>
        <v/>
      </c>
      <c r="BM526" t="str">
        <f t="shared" si="348"/>
        <v>SPT Relationship</v>
      </c>
      <c r="BN526">
        <f t="shared" si="336"/>
        <v>105</v>
      </c>
      <c r="BO526" t="str">
        <f t="shared" si="349"/>
        <v>Wolff, 1989</v>
      </c>
      <c r="BP526">
        <f t="shared" si="333"/>
        <v>28</v>
      </c>
      <c r="BQ526" t="str">
        <f t="shared" si="350"/>
        <v/>
      </c>
      <c r="BR526" t="str">
        <f t="shared" si="364"/>
        <v/>
      </c>
      <c r="BS526" t="str">
        <f t="shared" si="351"/>
        <v/>
      </c>
      <c r="BT526" t="str">
        <f t="shared" si="334"/>
        <v/>
      </c>
      <c r="BU526" t="str">
        <f t="shared" si="352"/>
        <v/>
      </c>
      <c r="BV526" t="str">
        <f t="shared" si="365"/>
        <v/>
      </c>
      <c r="BW526" t="str">
        <f t="shared" si="353"/>
        <v/>
      </c>
      <c r="BX526" t="str">
        <f t="shared" si="366"/>
        <v/>
      </c>
      <c r="BY526" t="str">
        <f t="shared" si="354"/>
        <v/>
      </c>
      <c r="BZ526" t="str">
        <f t="shared" si="367"/>
        <v/>
      </c>
      <c r="CA526" t="str">
        <f t="shared" si="355"/>
        <v/>
      </c>
      <c r="CB526" t="str">
        <f t="shared" si="337"/>
        <v/>
      </c>
      <c r="CC526" t="str">
        <f t="shared" si="356"/>
        <v/>
      </c>
      <c r="CD526" t="str">
        <f t="shared" si="338"/>
        <v/>
      </c>
      <c r="CE526" t="str">
        <f t="shared" si="357"/>
        <v>Bowles 5th edition</v>
      </c>
      <c r="CF526">
        <f t="shared" si="339"/>
        <v>122</v>
      </c>
      <c r="CG526" t="str">
        <f t="shared" si="358"/>
        <v/>
      </c>
      <c r="CH526" t="str">
        <f t="shared" si="340"/>
        <v/>
      </c>
      <c r="CI526" t="str">
        <f t="shared" si="359"/>
        <v/>
      </c>
      <c r="CJ526" t="str">
        <f t="shared" si="368"/>
        <v/>
      </c>
    </row>
    <row r="527" spans="2:88" x14ac:dyDescent="0.3">
      <c r="B527" t="str">
        <f t="shared" si="360"/>
        <v>36.822989-76.075825</v>
      </c>
      <c r="C527" s="30" t="s">
        <v>141</v>
      </c>
      <c r="D527">
        <v>36.822989</v>
      </c>
      <c r="E527">
        <v>-76.075824999999995</v>
      </c>
      <c r="F527">
        <v>5</v>
      </c>
      <c r="G527" t="str">
        <f t="shared" si="361"/>
        <v>-3-536.822989-76.075825</v>
      </c>
      <c r="H527">
        <v>-3</v>
      </c>
      <c r="I527">
        <v>-5</v>
      </c>
      <c r="J527" s="30" t="s">
        <v>21</v>
      </c>
      <c r="L527" t="s">
        <v>17</v>
      </c>
      <c r="M527">
        <v>1</v>
      </c>
      <c r="S527" t="str">
        <f t="shared" si="335"/>
        <v>Sand</v>
      </c>
      <c r="T527">
        <f t="shared" si="362"/>
        <v>1</v>
      </c>
      <c r="AA527">
        <v>80</v>
      </c>
      <c r="AB527" s="1">
        <f t="shared" si="331"/>
        <v>1</v>
      </c>
      <c r="AC527">
        <f t="shared" si="332"/>
        <v>1</v>
      </c>
      <c r="AD527" t="str">
        <f t="shared" si="363"/>
        <v/>
      </c>
      <c r="AG527" s="21" t="str">
        <f t="shared" si="341"/>
        <v/>
      </c>
      <c r="AI527" s="6" t="str">
        <f t="shared" si="342"/>
        <v/>
      </c>
      <c r="AM527" s="7" t="str">
        <f t="shared" si="343"/>
        <v/>
      </c>
      <c r="AQ527" s="8" t="str">
        <f t="shared" si="344"/>
        <v/>
      </c>
      <c r="AW527" s="25" t="str">
        <f t="shared" si="345"/>
        <v/>
      </c>
      <c r="AZ527" s="12" t="str">
        <f t="shared" si="346"/>
        <v/>
      </c>
      <c r="BI527" s="17" t="str">
        <f t="shared" si="347"/>
        <v/>
      </c>
      <c r="BM527" t="str">
        <f t="shared" si="348"/>
        <v>SPT Relationship</v>
      </c>
      <c r="BN527">
        <f t="shared" si="336"/>
        <v>95</v>
      </c>
      <c r="BO527" t="str">
        <f t="shared" si="349"/>
        <v>Wolff, 1989</v>
      </c>
      <c r="BP527">
        <f t="shared" si="333"/>
        <v>27</v>
      </c>
      <c r="BQ527" t="str">
        <f t="shared" si="350"/>
        <v/>
      </c>
      <c r="BR527" t="str">
        <f t="shared" si="364"/>
        <v/>
      </c>
      <c r="BS527" t="str">
        <f t="shared" si="351"/>
        <v/>
      </c>
      <c r="BT527" t="str">
        <f t="shared" si="334"/>
        <v/>
      </c>
      <c r="BU527" t="str">
        <f t="shared" si="352"/>
        <v/>
      </c>
      <c r="BV527" t="str">
        <f t="shared" si="365"/>
        <v/>
      </c>
      <c r="BW527" t="str">
        <f t="shared" si="353"/>
        <v/>
      </c>
      <c r="BX527" t="str">
        <f t="shared" si="366"/>
        <v/>
      </c>
      <c r="BY527" t="str">
        <f t="shared" si="354"/>
        <v/>
      </c>
      <c r="BZ527" t="str">
        <f t="shared" si="367"/>
        <v/>
      </c>
      <c r="CA527" t="str">
        <f t="shared" si="355"/>
        <v/>
      </c>
      <c r="CB527" t="str">
        <f t="shared" si="337"/>
        <v/>
      </c>
      <c r="CC527" t="str">
        <f t="shared" si="356"/>
        <v/>
      </c>
      <c r="CD527" t="str">
        <f t="shared" si="338"/>
        <v/>
      </c>
      <c r="CE527" t="str">
        <f t="shared" si="357"/>
        <v>Bowles 5th edition</v>
      </c>
      <c r="CF527">
        <f t="shared" si="339"/>
        <v>102</v>
      </c>
      <c r="CG527" t="str">
        <f t="shared" si="358"/>
        <v/>
      </c>
      <c r="CH527" t="str">
        <f t="shared" si="340"/>
        <v/>
      </c>
      <c r="CI527" t="str">
        <f t="shared" si="359"/>
        <v/>
      </c>
      <c r="CJ527" t="str">
        <f t="shared" si="368"/>
        <v/>
      </c>
    </row>
    <row r="528" spans="2:88" x14ac:dyDescent="0.3">
      <c r="B528" t="str">
        <f t="shared" si="360"/>
        <v>36.822989-76.075825</v>
      </c>
      <c r="C528" s="30" t="s">
        <v>141</v>
      </c>
      <c r="D528">
        <v>36.822989</v>
      </c>
      <c r="E528">
        <v>-76.075824999999995</v>
      </c>
      <c r="F528">
        <v>5</v>
      </c>
      <c r="G528" t="str">
        <f t="shared" si="361"/>
        <v>-5-736.822989-76.075825</v>
      </c>
      <c r="H528">
        <v>-5</v>
      </c>
      <c r="I528">
        <v>-7</v>
      </c>
      <c r="J528" s="30" t="s">
        <v>21</v>
      </c>
      <c r="L528" t="s">
        <v>8</v>
      </c>
      <c r="M528">
        <v>2</v>
      </c>
      <c r="S528" t="str">
        <f t="shared" si="335"/>
        <v>Sand</v>
      </c>
      <c r="T528">
        <f t="shared" si="362"/>
        <v>1</v>
      </c>
      <c r="AA528">
        <v>80</v>
      </c>
      <c r="AB528" s="1">
        <f t="shared" si="331"/>
        <v>3</v>
      </c>
      <c r="AC528">
        <f t="shared" si="332"/>
        <v>3</v>
      </c>
      <c r="AD528" t="str">
        <f t="shared" si="363"/>
        <v/>
      </c>
      <c r="AG528" s="21" t="str">
        <f t="shared" si="341"/>
        <v/>
      </c>
      <c r="AI528" s="6" t="str">
        <f t="shared" si="342"/>
        <v/>
      </c>
      <c r="AM528" s="7" t="str">
        <f t="shared" si="343"/>
        <v/>
      </c>
      <c r="AQ528" s="8" t="str">
        <f t="shared" si="344"/>
        <v/>
      </c>
      <c r="AW528" s="25" t="str">
        <f t="shared" si="345"/>
        <v/>
      </c>
      <c r="AZ528" s="12" t="str">
        <f t="shared" si="346"/>
        <v/>
      </c>
      <c r="BI528" s="17" t="str">
        <f t="shared" si="347"/>
        <v/>
      </c>
      <c r="BM528" t="str">
        <f t="shared" si="348"/>
        <v>SPT Relationship</v>
      </c>
      <c r="BN528">
        <f t="shared" si="336"/>
        <v>101</v>
      </c>
      <c r="BO528" t="str">
        <f t="shared" si="349"/>
        <v>Wolff, 1989</v>
      </c>
      <c r="BP528">
        <f t="shared" si="333"/>
        <v>27</v>
      </c>
      <c r="BQ528" t="str">
        <f t="shared" si="350"/>
        <v/>
      </c>
      <c r="BR528" t="str">
        <f t="shared" si="364"/>
        <v/>
      </c>
      <c r="BS528" t="str">
        <f t="shared" si="351"/>
        <v/>
      </c>
      <c r="BT528" t="str">
        <f t="shared" si="334"/>
        <v/>
      </c>
      <c r="BU528" t="str">
        <f t="shared" si="352"/>
        <v/>
      </c>
      <c r="BV528" t="str">
        <f t="shared" si="365"/>
        <v/>
      </c>
      <c r="BW528" t="str">
        <f t="shared" si="353"/>
        <v/>
      </c>
      <c r="BX528" t="str">
        <f t="shared" si="366"/>
        <v/>
      </c>
      <c r="BY528" t="str">
        <f t="shared" si="354"/>
        <v/>
      </c>
      <c r="BZ528" t="str">
        <f t="shared" si="367"/>
        <v/>
      </c>
      <c r="CA528" t="str">
        <f t="shared" si="355"/>
        <v/>
      </c>
      <c r="CB528" t="str">
        <f t="shared" si="337"/>
        <v/>
      </c>
      <c r="CC528" t="str">
        <f t="shared" si="356"/>
        <v/>
      </c>
      <c r="CD528" t="str">
        <f t="shared" si="338"/>
        <v/>
      </c>
      <c r="CE528" t="str">
        <f t="shared" si="357"/>
        <v>Bowles 5th edition</v>
      </c>
      <c r="CF528">
        <f t="shared" si="339"/>
        <v>115</v>
      </c>
      <c r="CG528" t="str">
        <f t="shared" si="358"/>
        <v/>
      </c>
      <c r="CH528" t="str">
        <f t="shared" si="340"/>
        <v/>
      </c>
      <c r="CI528" t="str">
        <f t="shared" si="359"/>
        <v/>
      </c>
      <c r="CJ528" t="str">
        <f t="shared" si="368"/>
        <v/>
      </c>
    </row>
    <row r="529" spans="2:88" x14ac:dyDescent="0.3">
      <c r="B529" t="str">
        <f t="shared" si="360"/>
        <v>36.822989-76.075825</v>
      </c>
      <c r="C529" s="30" t="s">
        <v>141</v>
      </c>
      <c r="D529">
        <v>36.822989</v>
      </c>
      <c r="E529">
        <v>-76.075824999999995</v>
      </c>
      <c r="F529">
        <v>5</v>
      </c>
      <c r="G529" t="str">
        <f t="shared" si="361"/>
        <v>-8-1036.822989-76.075825</v>
      </c>
      <c r="H529">
        <v>-8</v>
      </c>
      <c r="I529">
        <v>-10</v>
      </c>
      <c r="J529" s="30" t="s">
        <v>21</v>
      </c>
      <c r="L529" t="s">
        <v>8</v>
      </c>
      <c r="M529">
        <v>2</v>
      </c>
      <c r="S529" t="str">
        <f t="shared" si="335"/>
        <v>Sand</v>
      </c>
      <c r="T529">
        <f t="shared" si="362"/>
        <v>1</v>
      </c>
      <c r="AA529">
        <v>80</v>
      </c>
      <c r="AB529" s="1">
        <f t="shared" si="331"/>
        <v>3</v>
      </c>
      <c r="AC529">
        <f t="shared" si="332"/>
        <v>3</v>
      </c>
      <c r="AD529" t="str">
        <f t="shared" si="363"/>
        <v/>
      </c>
      <c r="AG529" s="21" t="str">
        <f t="shared" si="341"/>
        <v/>
      </c>
      <c r="AI529" s="6" t="str">
        <f t="shared" si="342"/>
        <v/>
      </c>
      <c r="AM529" s="7" t="str">
        <f t="shared" si="343"/>
        <v/>
      </c>
      <c r="AQ529" s="8" t="str">
        <f t="shared" si="344"/>
        <v/>
      </c>
      <c r="AW529" s="25" t="str">
        <f t="shared" si="345"/>
        <v/>
      </c>
      <c r="AZ529" s="12" t="str">
        <f t="shared" si="346"/>
        <v/>
      </c>
      <c r="BI529" s="17" t="str">
        <f t="shared" si="347"/>
        <v/>
      </c>
      <c r="BM529" t="str">
        <f t="shared" si="348"/>
        <v>SPT Relationship</v>
      </c>
      <c r="BN529">
        <f t="shared" si="336"/>
        <v>101</v>
      </c>
      <c r="BO529" t="str">
        <f t="shared" si="349"/>
        <v>Wolff, 1989</v>
      </c>
      <c r="BP529">
        <f t="shared" si="333"/>
        <v>27</v>
      </c>
      <c r="BQ529" t="str">
        <f t="shared" si="350"/>
        <v/>
      </c>
      <c r="BR529" t="str">
        <f t="shared" si="364"/>
        <v/>
      </c>
      <c r="BS529" t="str">
        <f t="shared" si="351"/>
        <v/>
      </c>
      <c r="BT529" t="str">
        <f t="shared" si="334"/>
        <v/>
      </c>
      <c r="BU529" t="str">
        <f t="shared" si="352"/>
        <v/>
      </c>
      <c r="BV529" t="str">
        <f t="shared" si="365"/>
        <v/>
      </c>
      <c r="BW529" t="str">
        <f t="shared" si="353"/>
        <v/>
      </c>
      <c r="BX529" t="str">
        <f t="shared" si="366"/>
        <v/>
      </c>
      <c r="BY529" t="str">
        <f t="shared" si="354"/>
        <v/>
      </c>
      <c r="BZ529" t="str">
        <f t="shared" si="367"/>
        <v/>
      </c>
      <c r="CA529" t="str">
        <f t="shared" si="355"/>
        <v/>
      </c>
      <c r="CB529" t="str">
        <f t="shared" si="337"/>
        <v/>
      </c>
      <c r="CC529" t="str">
        <f t="shared" si="356"/>
        <v/>
      </c>
      <c r="CD529" t="str">
        <f t="shared" si="338"/>
        <v/>
      </c>
      <c r="CE529" t="str">
        <f t="shared" si="357"/>
        <v>Bowles 5th edition</v>
      </c>
      <c r="CF529">
        <f t="shared" si="339"/>
        <v>115</v>
      </c>
      <c r="CG529" t="str">
        <f t="shared" si="358"/>
        <v/>
      </c>
      <c r="CH529" t="str">
        <f t="shared" si="340"/>
        <v/>
      </c>
      <c r="CI529" t="str">
        <f t="shared" si="359"/>
        <v/>
      </c>
      <c r="CJ529" t="str">
        <f t="shared" si="368"/>
        <v/>
      </c>
    </row>
    <row r="530" spans="2:88" x14ac:dyDescent="0.3">
      <c r="B530" t="str">
        <f t="shared" si="360"/>
        <v>36.822989-76.075825</v>
      </c>
      <c r="C530" s="30" t="s">
        <v>141</v>
      </c>
      <c r="D530">
        <v>36.822989</v>
      </c>
      <c r="E530">
        <v>-76.075824999999995</v>
      </c>
      <c r="F530">
        <v>5</v>
      </c>
      <c r="G530" t="str">
        <f t="shared" si="361"/>
        <v>-13-1536.822989-76.075825</v>
      </c>
      <c r="H530">
        <v>-13</v>
      </c>
      <c r="I530">
        <v>-15</v>
      </c>
      <c r="J530" s="30" t="s">
        <v>21</v>
      </c>
      <c r="L530" t="s">
        <v>8</v>
      </c>
      <c r="M530">
        <v>4</v>
      </c>
      <c r="S530" t="str">
        <f t="shared" si="335"/>
        <v>Sand</v>
      </c>
      <c r="T530">
        <f t="shared" si="362"/>
        <v>1</v>
      </c>
      <c r="AA530">
        <v>80</v>
      </c>
      <c r="AB530" s="1">
        <f t="shared" si="331"/>
        <v>5</v>
      </c>
      <c r="AC530">
        <f t="shared" si="332"/>
        <v>4</v>
      </c>
      <c r="AD530" t="str">
        <f t="shared" si="363"/>
        <v/>
      </c>
      <c r="AG530" s="21" t="str">
        <f t="shared" si="341"/>
        <v/>
      </c>
      <c r="AI530" s="6" t="str">
        <f t="shared" si="342"/>
        <v/>
      </c>
      <c r="AM530" s="7" t="str">
        <f t="shared" si="343"/>
        <v/>
      </c>
      <c r="AQ530" s="8" t="str">
        <f t="shared" si="344"/>
        <v/>
      </c>
      <c r="AW530" s="25" t="str">
        <f t="shared" si="345"/>
        <v/>
      </c>
      <c r="AZ530" s="12" t="str">
        <f t="shared" si="346"/>
        <v/>
      </c>
      <c r="BI530" s="17" t="str">
        <f t="shared" si="347"/>
        <v/>
      </c>
      <c r="BM530" t="str">
        <f t="shared" si="348"/>
        <v>SPT Relationship</v>
      </c>
      <c r="BN530">
        <f t="shared" si="336"/>
        <v>108</v>
      </c>
      <c r="BO530" t="str">
        <f t="shared" si="349"/>
        <v>Wolff, 1989</v>
      </c>
      <c r="BP530">
        <f t="shared" si="333"/>
        <v>28</v>
      </c>
      <c r="BQ530" t="str">
        <f t="shared" si="350"/>
        <v/>
      </c>
      <c r="BR530" t="str">
        <f t="shared" si="364"/>
        <v/>
      </c>
      <c r="BS530" t="str">
        <f t="shared" si="351"/>
        <v/>
      </c>
      <c r="BT530" t="str">
        <f t="shared" si="334"/>
        <v/>
      </c>
      <c r="BU530" t="str">
        <f t="shared" si="352"/>
        <v/>
      </c>
      <c r="BV530" t="str">
        <f t="shared" si="365"/>
        <v/>
      </c>
      <c r="BW530" t="str">
        <f t="shared" si="353"/>
        <v/>
      </c>
      <c r="BX530" t="str">
        <f t="shared" si="366"/>
        <v/>
      </c>
      <c r="BY530" t="str">
        <f t="shared" si="354"/>
        <v/>
      </c>
      <c r="BZ530" t="str">
        <f t="shared" si="367"/>
        <v/>
      </c>
      <c r="CA530" t="str">
        <f t="shared" si="355"/>
        <v/>
      </c>
      <c r="CB530" t="str">
        <f t="shared" si="337"/>
        <v/>
      </c>
      <c r="CC530" t="str">
        <f t="shared" si="356"/>
        <v/>
      </c>
      <c r="CD530" t="str">
        <f t="shared" si="338"/>
        <v/>
      </c>
      <c r="CE530" t="str">
        <f t="shared" si="357"/>
        <v>Bowles 5th edition</v>
      </c>
      <c r="CF530">
        <f t="shared" si="339"/>
        <v>128</v>
      </c>
      <c r="CG530" t="str">
        <f t="shared" si="358"/>
        <v/>
      </c>
      <c r="CH530" t="str">
        <f t="shared" si="340"/>
        <v/>
      </c>
      <c r="CI530" t="str">
        <f t="shared" si="359"/>
        <v/>
      </c>
      <c r="CJ530" t="str">
        <f t="shared" si="368"/>
        <v/>
      </c>
    </row>
    <row r="531" spans="2:88" x14ac:dyDescent="0.3">
      <c r="B531" t="str">
        <f t="shared" si="360"/>
        <v>36.822989-76.075825</v>
      </c>
      <c r="C531" s="30" t="s">
        <v>141</v>
      </c>
      <c r="D531">
        <v>36.822989</v>
      </c>
      <c r="E531">
        <v>-76.075824999999995</v>
      </c>
      <c r="F531">
        <v>5</v>
      </c>
      <c r="G531" t="str">
        <f t="shared" si="361"/>
        <v>-18-2036.822989-76.075825</v>
      </c>
      <c r="H531">
        <v>-18</v>
      </c>
      <c r="I531">
        <v>-20</v>
      </c>
      <c r="J531" s="30" t="s">
        <v>21</v>
      </c>
      <c r="L531" t="s">
        <v>8</v>
      </c>
      <c r="M531">
        <v>6</v>
      </c>
      <c r="S531" t="str">
        <f t="shared" si="335"/>
        <v>Sand</v>
      </c>
      <c r="T531">
        <f t="shared" si="362"/>
        <v>1</v>
      </c>
      <c r="AA531">
        <v>80</v>
      </c>
      <c r="AB531" s="1">
        <f t="shared" ref="AB531:AB594" si="369">IFERROR(ROUND(M531*AA531/60,0),"")</f>
        <v>8</v>
      </c>
      <c r="AC531">
        <f t="shared" ref="AC531:AC594" si="370">IFERROR(ROUNDDOWN(((1/((((F531-I531)*110)*0.047880258888889)/100))^(0.5))*AB531,0),"")</f>
        <v>6</v>
      </c>
      <c r="AD531" t="str">
        <f t="shared" si="363"/>
        <v/>
      </c>
      <c r="AG531" s="21" t="str">
        <f t="shared" si="341"/>
        <v/>
      </c>
      <c r="AI531" s="6" t="str">
        <f t="shared" si="342"/>
        <v/>
      </c>
      <c r="AM531" s="7" t="str">
        <f t="shared" si="343"/>
        <v/>
      </c>
      <c r="AQ531" s="8" t="str">
        <f t="shared" si="344"/>
        <v/>
      </c>
      <c r="AW531" s="25" t="str">
        <f t="shared" si="345"/>
        <v/>
      </c>
      <c r="AZ531" s="12" t="str">
        <f t="shared" si="346"/>
        <v/>
      </c>
      <c r="BI531" s="17" t="str">
        <f t="shared" si="347"/>
        <v/>
      </c>
      <c r="BM531" t="str">
        <f t="shared" si="348"/>
        <v>SPT Relationship</v>
      </c>
      <c r="BN531">
        <f t="shared" si="336"/>
        <v>113</v>
      </c>
      <c r="BO531" t="str">
        <f t="shared" si="349"/>
        <v>Wolff, 1989</v>
      </c>
      <c r="BP531">
        <f t="shared" si="333"/>
        <v>28</v>
      </c>
      <c r="BQ531" t="str">
        <f t="shared" si="350"/>
        <v/>
      </c>
      <c r="BR531" t="str">
        <f t="shared" si="364"/>
        <v/>
      </c>
      <c r="BS531" t="str">
        <f t="shared" si="351"/>
        <v/>
      </c>
      <c r="BT531" t="str">
        <f t="shared" si="334"/>
        <v/>
      </c>
      <c r="BU531" t="str">
        <f t="shared" si="352"/>
        <v/>
      </c>
      <c r="BV531" t="str">
        <f t="shared" si="365"/>
        <v/>
      </c>
      <c r="BW531" t="str">
        <f t="shared" si="353"/>
        <v/>
      </c>
      <c r="BX531" t="str">
        <f t="shared" si="366"/>
        <v/>
      </c>
      <c r="BY531" t="str">
        <f t="shared" si="354"/>
        <v/>
      </c>
      <c r="BZ531" t="str">
        <f t="shared" si="367"/>
        <v/>
      </c>
      <c r="CA531" t="str">
        <f t="shared" si="355"/>
        <v/>
      </c>
      <c r="CB531" t="str">
        <f t="shared" si="337"/>
        <v/>
      </c>
      <c r="CC531" t="str">
        <f t="shared" si="356"/>
        <v/>
      </c>
      <c r="CD531" t="str">
        <f t="shared" si="338"/>
        <v/>
      </c>
      <c r="CE531" t="str">
        <f t="shared" si="357"/>
        <v>Bowles 5th edition</v>
      </c>
      <c r="CF531">
        <f t="shared" si="339"/>
        <v>147</v>
      </c>
      <c r="CG531" t="str">
        <f t="shared" si="358"/>
        <v/>
      </c>
      <c r="CH531" t="str">
        <f t="shared" si="340"/>
        <v/>
      </c>
      <c r="CI531" t="str">
        <f t="shared" si="359"/>
        <v/>
      </c>
      <c r="CJ531" t="str">
        <f t="shared" si="368"/>
        <v/>
      </c>
    </row>
    <row r="532" spans="2:88" x14ac:dyDescent="0.3">
      <c r="B532" t="str">
        <f t="shared" si="360"/>
        <v>36.822989-76.075825</v>
      </c>
      <c r="C532" s="30" t="s">
        <v>141</v>
      </c>
      <c r="D532">
        <v>36.822989</v>
      </c>
      <c r="E532">
        <v>-76.075824999999995</v>
      </c>
      <c r="F532">
        <v>5</v>
      </c>
      <c r="G532" t="str">
        <f t="shared" si="361"/>
        <v>-23-2536.822989-76.075825</v>
      </c>
      <c r="H532">
        <v>-23</v>
      </c>
      <c r="I532">
        <v>-25</v>
      </c>
      <c r="J532" s="30" t="s">
        <v>21</v>
      </c>
      <c r="L532" t="s">
        <v>17</v>
      </c>
      <c r="M532">
        <v>1</v>
      </c>
      <c r="S532" t="str">
        <f t="shared" si="335"/>
        <v>Sand</v>
      </c>
      <c r="T532">
        <f t="shared" si="362"/>
        <v>1</v>
      </c>
      <c r="AA532">
        <v>80</v>
      </c>
      <c r="AB532" s="1">
        <f t="shared" si="369"/>
        <v>1</v>
      </c>
      <c r="AC532">
        <f t="shared" si="370"/>
        <v>0</v>
      </c>
      <c r="AD532" t="str">
        <f t="shared" si="363"/>
        <v/>
      </c>
      <c r="AG532" s="21" t="str">
        <f t="shared" si="341"/>
        <v/>
      </c>
      <c r="AI532" s="6" t="str">
        <f t="shared" si="342"/>
        <v/>
      </c>
      <c r="AM532" s="7" t="str">
        <f t="shared" si="343"/>
        <v/>
      </c>
      <c r="AQ532" s="8" t="str">
        <f t="shared" si="344"/>
        <v/>
      </c>
      <c r="AW532" s="25" t="str">
        <f t="shared" si="345"/>
        <v/>
      </c>
      <c r="AZ532" s="12" t="str">
        <f t="shared" si="346"/>
        <v/>
      </c>
      <c r="BI532" s="17" t="str">
        <f t="shared" si="347"/>
        <v/>
      </c>
      <c r="BM532" t="str">
        <f t="shared" si="348"/>
        <v>SPT Relationship</v>
      </c>
      <c r="BN532">
        <f t="shared" si="336"/>
        <v>95</v>
      </c>
      <c r="BO532" t="str">
        <f t="shared" si="349"/>
        <v>Wolff, 1989</v>
      </c>
      <c r="BP532">
        <f t="shared" si="333"/>
        <v>27</v>
      </c>
      <c r="BQ532" t="str">
        <f t="shared" si="350"/>
        <v/>
      </c>
      <c r="BR532" t="str">
        <f t="shared" si="364"/>
        <v/>
      </c>
      <c r="BS532" t="str">
        <f t="shared" si="351"/>
        <v/>
      </c>
      <c r="BT532" t="str">
        <f t="shared" si="334"/>
        <v/>
      </c>
      <c r="BU532" t="str">
        <f t="shared" si="352"/>
        <v/>
      </c>
      <c r="BV532" t="str">
        <f t="shared" si="365"/>
        <v/>
      </c>
      <c r="BW532" t="str">
        <f t="shared" si="353"/>
        <v/>
      </c>
      <c r="BX532" t="str">
        <f t="shared" si="366"/>
        <v/>
      </c>
      <c r="BY532" t="str">
        <f t="shared" si="354"/>
        <v/>
      </c>
      <c r="BZ532" t="str">
        <f t="shared" si="367"/>
        <v/>
      </c>
      <c r="CA532" t="str">
        <f t="shared" si="355"/>
        <v/>
      </c>
      <c r="CB532" t="str">
        <f t="shared" si="337"/>
        <v/>
      </c>
      <c r="CC532" t="str">
        <f t="shared" si="356"/>
        <v/>
      </c>
      <c r="CD532" t="str">
        <f t="shared" si="338"/>
        <v/>
      </c>
      <c r="CE532" t="str">
        <f t="shared" si="357"/>
        <v>Bowles 5th edition</v>
      </c>
      <c r="CF532">
        <f t="shared" si="339"/>
        <v>102</v>
      </c>
      <c r="CG532" t="str">
        <f t="shared" si="358"/>
        <v/>
      </c>
      <c r="CH532" t="str">
        <f t="shared" si="340"/>
        <v/>
      </c>
      <c r="CI532" t="str">
        <f t="shared" si="359"/>
        <v/>
      </c>
      <c r="CJ532" t="str">
        <f t="shared" si="368"/>
        <v/>
      </c>
    </row>
    <row r="533" spans="2:88" x14ac:dyDescent="0.3">
      <c r="B533" t="str">
        <f t="shared" si="360"/>
        <v>36.82406-76.075</v>
      </c>
      <c r="C533" s="30" t="s">
        <v>142</v>
      </c>
      <c r="D533">
        <v>36.824060000000003</v>
      </c>
      <c r="E533">
        <v>-76.075000000000003</v>
      </c>
      <c r="F533">
        <v>5</v>
      </c>
      <c r="G533" t="str">
        <f t="shared" si="361"/>
        <v>5336.82406-76.075</v>
      </c>
      <c r="H533">
        <v>5</v>
      </c>
      <c r="I533">
        <v>3</v>
      </c>
      <c r="J533" s="30" t="s">
        <v>21</v>
      </c>
      <c r="L533" t="s">
        <v>17</v>
      </c>
      <c r="M533">
        <v>12</v>
      </c>
      <c r="S533" t="str">
        <f t="shared" si="335"/>
        <v>Sand</v>
      </c>
      <c r="T533">
        <f t="shared" si="362"/>
        <v>1</v>
      </c>
      <c r="AA533">
        <v>80</v>
      </c>
      <c r="AB533" s="1">
        <f t="shared" si="369"/>
        <v>16</v>
      </c>
      <c r="AC533">
        <f t="shared" si="370"/>
        <v>49</v>
      </c>
      <c r="AD533" t="str">
        <f t="shared" si="363"/>
        <v/>
      </c>
      <c r="AG533" s="21" t="str">
        <f t="shared" si="341"/>
        <v/>
      </c>
      <c r="AI533" s="6" t="str">
        <f t="shared" si="342"/>
        <v/>
      </c>
      <c r="AM533" s="7" t="str">
        <f t="shared" si="343"/>
        <v/>
      </c>
      <c r="AQ533" s="8" t="str">
        <f t="shared" si="344"/>
        <v/>
      </c>
      <c r="AW533" s="25" t="str">
        <f t="shared" si="345"/>
        <v/>
      </c>
      <c r="AZ533" s="12" t="str">
        <f t="shared" si="346"/>
        <v/>
      </c>
      <c r="BI533" s="17" t="str">
        <f t="shared" si="347"/>
        <v/>
      </c>
      <c r="BM533" t="str">
        <f t="shared" si="348"/>
        <v>SPT Relationship</v>
      </c>
      <c r="BN533">
        <f t="shared" si="336"/>
        <v>120</v>
      </c>
      <c r="BO533" t="str">
        <f t="shared" si="349"/>
        <v>Wolff, 1989</v>
      </c>
      <c r="BP533">
        <f t="shared" si="333"/>
        <v>40</v>
      </c>
      <c r="BQ533" t="str">
        <f t="shared" si="350"/>
        <v/>
      </c>
      <c r="BR533" t="str">
        <f t="shared" si="364"/>
        <v/>
      </c>
      <c r="BS533" t="str">
        <f t="shared" si="351"/>
        <v/>
      </c>
      <c r="BT533" t="str">
        <f t="shared" si="334"/>
        <v/>
      </c>
      <c r="BU533" t="str">
        <f t="shared" si="352"/>
        <v/>
      </c>
      <c r="BV533" t="str">
        <f t="shared" si="365"/>
        <v/>
      </c>
      <c r="BW533" t="str">
        <f t="shared" si="353"/>
        <v/>
      </c>
      <c r="BX533" t="str">
        <f t="shared" si="366"/>
        <v/>
      </c>
      <c r="BY533" t="str">
        <f t="shared" si="354"/>
        <v/>
      </c>
      <c r="BZ533" t="str">
        <f t="shared" si="367"/>
        <v/>
      </c>
      <c r="CA533" t="str">
        <f t="shared" si="355"/>
        <v/>
      </c>
      <c r="CB533" t="str">
        <f t="shared" si="337"/>
        <v/>
      </c>
      <c r="CC533" t="str">
        <f t="shared" si="356"/>
        <v/>
      </c>
      <c r="CD533" t="str">
        <f t="shared" si="338"/>
        <v/>
      </c>
      <c r="CE533" t="str">
        <f t="shared" si="357"/>
        <v>Bowles 5th edition</v>
      </c>
      <c r="CF533">
        <f t="shared" si="339"/>
        <v>198</v>
      </c>
      <c r="CG533" t="str">
        <f t="shared" si="358"/>
        <v/>
      </c>
      <c r="CH533" t="str">
        <f t="shared" si="340"/>
        <v/>
      </c>
      <c r="CI533" t="str">
        <f t="shared" si="359"/>
        <v/>
      </c>
      <c r="CJ533" t="str">
        <f t="shared" si="368"/>
        <v/>
      </c>
    </row>
    <row r="534" spans="2:88" x14ac:dyDescent="0.3">
      <c r="B534" t="str">
        <f t="shared" si="360"/>
        <v>36.82406-76.075</v>
      </c>
      <c r="C534" s="30" t="s">
        <v>142</v>
      </c>
      <c r="D534">
        <v>36.824060000000003</v>
      </c>
      <c r="E534">
        <v>-76.075000000000003</v>
      </c>
      <c r="F534">
        <v>5</v>
      </c>
      <c r="G534" t="str">
        <f t="shared" si="361"/>
        <v>3136.82406-76.075</v>
      </c>
      <c r="H534">
        <v>3</v>
      </c>
      <c r="I534">
        <v>1</v>
      </c>
      <c r="J534" s="30" t="s">
        <v>21</v>
      </c>
      <c r="L534" t="s">
        <v>17</v>
      </c>
      <c r="M534">
        <v>18</v>
      </c>
      <c r="S534" t="str">
        <f t="shared" si="335"/>
        <v>Sand</v>
      </c>
      <c r="T534">
        <f t="shared" si="362"/>
        <v>1</v>
      </c>
      <c r="AA534">
        <v>80</v>
      </c>
      <c r="AB534" s="1">
        <f t="shared" si="369"/>
        <v>24</v>
      </c>
      <c r="AC534">
        <f t="shared" si="370"/>
        <v>52</v>
      </c>
      <c r="AD534" t="str">
        <f t="shared" si="363"/>
        <v/>
      </c>
      <c r="AG534" s="21" t="str">
        <f t="shared" si="341"/>
        <v/>
      </c>
      <c r="AI534" s="6" t="str">
        <f t="shared" si="342"/>
        <v/>
      </c>
      <c r="AM534" s="7" t="str">
        <f t="shared" si="343"/>
        <v/>
      </c>
      <c r="AQ534" s="8" t="str">
        <f t="shared" si="344"/>
        <v/>
      </c>
      <c r="AW534" s="25" t="str">
        <f t="shared" si="345"/>
        <v/>
      </c>
      <c r="AZ534" s="12" t="str">
        <f t="shared" si="346"/>
        <v/>
      </c>
      <c r="BI534" s="17" t="str">
        <f t="shared" si="347"/>
        <v/>
      </c>
      <c r="BM534" t="str">
        <f t="shared" si="348"/>
        <v>SPT Relationship</v>
      </c>
      <c r="BN534">
        <f t="shared" si="336"/>
        <v>125</v>
      </c>
      <c r="BO534" t="str">
        <f t="shared" si="349"/>
        <v>Wolff, 1989</v>
      </c>
      <c r="BP534">
        <f t="shared" si="333"/>
        <v>41</v>
      </c>
      <c r="BQ534" t="str">
        <f t="shared" si="350"/>
        <v/>
      </c>
      <c r="BR534" t="str">
        <f t="shared" si="364"/>
        <v/>
      </c>
      <c r="BS534" t="str">
        <f t="shared" si="351"/>
        <v/>
      </c>
      <c r="BT534" t="str">
        <f t="shared" si="334"/>
        <v/>
      </c>
      <c r="BU534" t="str">
        <f t="shared" si="352"/>
        <v/>
      </c>
      <c r="BV534" t="str">
        <f t="shared" si="365"/>
        <v/>
      </c>
      <c r="BW534" t="str">
        <f t="shared" si="353"/>
        <v/>
      </c>
      <c r="BX534" t="str">
        <f t="shared" si="366"/>
        <v/>
      </c>
      <c r="BY534" t="str">
        <f t="shared" si="354"/>
        <v/>
      </c>
      <c r="BZ534" t="str">
        <f t="shared" si="367"/>
        <v/>
      </c>
      <c r="CA534" t="str">
        <f t="shared" si="355"/>
        <v/>
      </c>
      <c r="CB534" t="str">
        <f t="shared" si="337"/>
        <v/>
      </c>
      <c r="CC534" t="str">
        <f t="shared" si="356"/>
        <v/>
      </c>
      <c r="CD534" t="str">
        <f t="shared" si="338"/>
        <v/>
      </c>
      <c r="CE534" t="str">
        <f t="shared" si="357"/>
        <v>Bowles 5th edition</v>
      </c>
      <c r="CF534">
        <f t="shared" si="339"/>
        <v>250</v>
      </c>
      <c r="CG534" t="str">
        <f t="shared" si="358"/>
        <v/>
      </c>
      <c r="CH534" t="str">
        <f t="shared" si="340"/>
        <v/>
      </c>
      <c r="CI534" t="str">
        <f t="shared" si="359"/>
        <v/>
      </c>
      <c r="CJ534" t="str">
        <f t="shared" si="368"/>
        <v/>
      </c>
    </row>
    <row r="535" spans="2:88" x14ac:dyDescent="0.3">
      <c r="B535" t="str">
        <f t="shared" si="360"/>
        <v>36.82406-76.075</v>
      </c>
      <c r="C535" s="30" t="s">
        <v>142</v>
      </c>
      <c r="D535">
        <v>36.824060000000003</v>
      </c>
      <c r="E535">
        <v>-76.075000000000003</v>
      </c>
      <c r="F535">
        <v>5</v>
      </c>
      <c r="G535" t="str">
        <f t="shared" si="361"/>
        <v>1-136.82406-76.075</v>
      </c>
      <c r="H535">
        <v>1</v>
      </c>
      <c r="I535">
        <v>-1</v>
      </c>
      <c r="J535" s="30" t="s">
        <v>21</v>
      </c>
      <c r="L535" t="s">
        <v>17</v>
      </c>
      <c r="M535">
        <v>15</v>
      </c>
      <c r="S535" t="str">
        <f t="shared" si="335"/>
        <v>Sand</v>
      </c>
      <c r="T535">
        <f t="shared" si="362"/>
        <v>1</v>
      </c>
      <c r="AA535">
        <v>80</v>
      </c>
      <c r="AB535" s="1">
        <f t="shared" si="369"/>
        <v>20</v>
      </c>
      <c r="AC535">
        <f t="shared" si="370"/>
        <v>35</v>
      </c>
      <c r="AD535" t="str">
        <f t="shared" si="363"/>
        <v/>
      </c>
      <c r="AG535" s="21" t="str">
        <f t="shared" si="341"/>
        <v/>
      </c>
      <c r="AI535" s="6" t="str">
        <f t="shared" si="342"/>
        <v/>
      </c>
      <c r="AM535" s="7" t="str">
        <f t="shared" si="343"/>
        <v/>
      </c>
      <c r="AQ535" s="8" t="str">
        <f t="shared" si="344"/>
        <v/>
      </c>
      <c r="AW535" s="25" t="str">
        <f t="shared" si="345"/>
        <v/>
      </c>
      <c r="AZ535" s="12" t="str">
        <f t="shared" si="346"/>
        <v/>
      </c>
      <c r="BI535" s="17" t="str">
        <f t="shared" si="347"/>
        <v/>
      </c>
      <c r="BM535" t="str">
        <f t="shared" si="348"/>
        <v>SPT Relationship</v>
      </c>
      <c r="BN535">
        <f t="shared" si="336"/>
        <v>123</v>
      </c>
      <c r="BO535" t="str">
        <f t="shared" si="349"/>
        <v>Wolff, 1989</v>
      </c>
      <c r="BP535">
        <f t="shared" si="333"/>
        <v>36</v>
      </c>
      <c r="BQ535" t="str">
        <f t="shared" si="350"/>
        <v/>
      </c>
      <c r="BR535" t="str">
        <f t="shared" si="364"/>
        <v/>
      </c>
      <c r="BS535" t="str">
        <f t="shared" si="351"/>
        <v/>
      </c>
      <c r="BT535" t="str">
        <f t="shared" si="334"/>
        <v/>
      </c>
      <c r="BU535" t="str">
        <f t="shared" si="352"/>
        <v/>
      </c>
      <c r="BV535" t="str">
        <f t="shared" si="365"/>
        <v/>
      </c>
      <c r="BW535" t="str">
        <f t="shared" si="353"/>
        <v/>
      </c>
      <c r="BX535" t="str">
        <f t="shared" si="366"/>
        <v/>
      </c>
      <c r="BY535" t="str">
        <f t="shared" si="354"/>
        <v/>
      </c>
      <c r="BZ535" t="str">
        <f t="shared" si="367"/>
        <v/>
      </c>
      <c r="CA535" t="str">
        <f t="shared" si="355"/>
        <v/>
      </c>
      <c r="CB535" t="str">
        <f t="shared" si="337"/>
        <v/>
      </c>
      <c r="CC535" t="str">
        <f t="shared" si="356"/>
        <v/>
      </c>
      <c r="CD535" t="str">
        <f t="shared" si="338"/>
        <v/>
      </c>
      <c r="CE535" t="str">
        <f t="shared" si="357"/>
        <v>Bowles 5th edition</v>
      </c>
      <c r="CF535">
        <f t="shared" si="339"/>
        <v>224</v>
      </c>
      <c r="CG535" t="str">
        <f t="shared" si="358"/>
        <v/>
      </c>
      <c r="CH535" t="str">
        <f t="shared" si="340"/>
        <v/>
      </c>
      <c r="CI535" t="str">
        <f t="shared" si="359"/>
        <v/>
      </c>
      <c r="CJ535" t="str">
        <f t="shared" si="368"/>
        <v/>
      </c>
    </row>
    <row r="536" spans="2:88" x14ac:dyDescent="0.3">
      <c r="B536" t="str">
        <f t="shared" si="360"/>
        <v>36.82406-76.075</v>
      </c>
      <c r="C536" s="30" t="s">
        <v>142</v>
      </c>
      <c r="D536">
        <v>36.824060000000003</v>
      </c>
      <c r="E536">
        <v>-76.075000000000003</v>
      </c>
      <c r="F536">
        <v>5</v>
      </c>
      <c r="G536" t="str">
        <f t="shared" si="361"/>
        <v>-1-336.82406-76.075</v>
      </c>
      <c r="H536">
        <v>-1</v>
      </c>
      <c r="I536">
        <v>-3</v>
      </c>
      <c r="J536" s="30" t="s">
        <v>21</v>
      </c>
      <c r="L536" t="s">
        <v>17</v>
      </c>
      <c r="M536">
        <v>7</v>
      </c>
      <c r="S536" t="str">
        <f t="shared" si="335"/>
        <v>Sand</v>
      </c>
      <c r="T536">
        <f t="shared" si="362"/>
        <v>1</v>
      </c>
      <c r="AA536">
        <v>80</v>
      </c>
      <c r="AB536" s="1">
        <f t="shared" si="369"/>
        <v>9</v>
      </c>
      <c r="AC536">
        <f t="shared" si="370"/>
        <v>13</v>
      </c>
      <c r="AD536" t="str">
        <f t="shared" si="363"/>
        <v/>
      </c>
      <c r="AG536" s="21" t="str">
        <f t="shared" si="341"/>
        <v/>
      </c>
      <c r="AI536" s="6" t="str">
        <f t="shared" si="342"/>
        <v/>
      </c>
      <c r="AM536" s="7" t="str">
        <f t="shared" si="343"/>
        <v/>
      </c>
      <c r="AQ536" s="8" t="str">
        <f t="shared" si="344"/>
        <v/>
      </c>
      <c r="AW536" s="25" t="str">
        <f t="shared" si="345"/>
        <v/>
      </c>
      <c r="AZ536" s="12" t="str">
        <f t="shared" si="346"/>
        <v/>
      </c>
      <c r="BI536" s="17" t="str">
        <f t="shared" si="347"/>
        <v/>
      </c>
      <c r="BM536" t="str">
        <f t="shared" si="348"/>
        <v>SPT Relationship</v>
      </c>
      <c r="BN536">
        <f t="shared" si="336"/>
        <v>114</v>
      </c>
      <c r="BO536" t="str">
        <f t="shared" si="349"/>
        <v>Wolff, 1989</v>
      </c>
      <c r="BP536">
        <f t="shared" si="333"/>
        <v>30</v>
      </c>
      <c r="BQ536" t="str">
        <f t="shared" si="350"/>
        <v/>
      </c>
      <c r="BR536" t="str">
        <f t="shared" si="364"/>
        <v/>
      </c>
      <c r="BS536" t="str">
        <f t="shared" si="351"/>
        <v/>
      </c>
      <c r="BT536" t="str">
        <f t="shared" si="334"/>
        <v/>
      </c>
      <c r="BU536" t="str">
        <f t="shared" si="352"/>
        <v/>
      </c>
      <c r="BV536" t="str">
        <f t="shared" si="365"/>
        <v/>
      </c>
      <c r="BW536" t="str">
        <f t="shared" si="353"/>
        <v/>
      </c>
      <c r="BX536" t="str">
        <f t="shared" si="366"/>
        <v/>
      </c>
      <c r="BY536" t="str">
        <f t="shared" si="354"/>
        <v/>
      </c>
      <c r="BZ536" t="str">
        <f t="shared" si="367"/>
        <v/>
      </c>
      <c r="CA536" t="str">
        <f t="shared" si="355"/>
        <v/>
      </c>
      <c r="CB536" t="str">
        <f t="shared" si="337"/>
        <v/>
      </c>
      <c r="CC536" t="str">
        <f t="shared" si="356"/>
        <v/>
      </c>
      <c r="CD536" t="str">
        <f t="shared" si="338"/>
        <v/>
      </c>
      <c r="CE536" t="str">
        <f t="shared" si="357"/>
        <v>Bowles 5th edition</v>
      </c>
      <c r="CF536">
        <f t="shared" si="339"/>
        <v>154</v>
      </c>
      <c r="CG536" t="str">
        <f t="shared" si="358"/>
        <v/>
      </c>
      <c r="CH536" t="str">
        <f t="shared" si="340"/>
        <v/>
      </c>
      <c r="CI536" t="str">
        <f t="shared" si="359"/>
        <v/>
      </c>
      <c r="CJ536" t="str">
        <f t="shared" si="368"/>
        <v/>
      </c>
    </row>
    <row r="537" spans="2:88" x14ac:dyDescent="0.3">
      <c r="B537" t="str">
        <f t="shared" si="360"/>
        <v>36.82406-76.075</v>
      </c>
      <c r="C537" s="30" t="s">
        <v>142</v>
      </c>
      <c r="D537">
        <v>36.824060000000003</v>
      </c>
      <c r="E537">
        <v>-76.075000000000003</v>
      </c>
      <c r="F537">
        <v>5</v>
      </c>
      <c r="G537" t="str">
        <f t="shared" si="361"/>
        <v>-3-536.82406-76.075</v>
      </c>
      <c r="H537">
        <v>-3</v>
      </c>
      <c r="I537">
        <v>-5</v>
      </c>
      <c r="J537" s="30" t="s">
        <v>21</v>
      </c>
      <c r="L537" t="s">
        <v>17</v>
      </c>
      <c r="M537">
        <v>5</v>
      </c>
      <c r="S537" t="str">
        <f t="shared" si="335"/>
        <v>Sand</v>
      </c>
      <c r="T537">
        <f t="shared" si="362"/>
        <v>1</v>
      </c>
      <c r="AA537">
        <v>80</v>
      </c>
      <c r="AB537" s="1">
        <f t="shared" si="369"/>
        <v>7</v>
      </c>
      <c r="AC537">
        <f t="shared" si="370"/>
        <v>9</v>
      </c>
      <c r="AD537" t="str">
        <f t="shared" si="363"/>
        <v/>
      </c>
      <c r="AG537" s="21" t="str">
        <f t="shared" si="341"/>
        <v/>
      </c>
      <c r="AI537" s="6" t="str">
        <f t="shared" si="342"/>
        <v/>
      </c>
      <c r="AM537" s="7" t="str">
        <f t="shared" si="343"/>
        <v/>
      </c>
      <c r="AQ537" s="8" t="str">
        <f t="shared" si="344"/>
        <v/>
      </c>
      <c r="AW537" s="25" t="str">
        <f t="shared" si="345"/>
        <v/>
      </c>
      <c r="AZ537" s="12" t="str">
        <f t="shared" si="346"/>
        <v/>
      </c>
      <c r="BI537" s="17" t="str">
        <f t="shared" si="347"/>
        <v/>
      </c>
      <c r="BM537" t="str">
        <f t="shared" si="348"/>
        <v>SPT Relationship</v>
      </c>
      <c r="BN537">
        <f t="shared" si="336"/>
        <v>111</v>
      </c>
      <c r="BO537" t="str">
        <f t="shared" si="349"/>
        <v>Wolff, 1989</v>
      </c>
      <c r="BP537">
        <f t="shared" si="333"/>
        <v>29</v>
      </c>
      <c r="BQ537" t="str">
        <f t="shared" si="350"/>
        <v/>
      </c>
      <c r="BR537" t="str">
        <f t="shared" si="364"/>
        <v/>
      </c>
      <c r="BS537" t="str">
        <f t="shared" si="351"/>
        <v/>
      </c>
      <c r="BT537" t="str">
        <f t="shared" si="334"/>
        <v/>
      </c>
      <c r="BU537" t="str">
        <f t="shared" si="352"/>
        <v/>
      </c>
      <c r="BV537" t="str">
        <f t="shared" si="365"/>
        <v/>
      </c>
      <c r="BW537" t="str">
        <f t="shared" si="353"/>
        <v/>
      </c>
      <c r="BX537" t="str">
        <f t="shared" si="366"/>
        <v/>
      </c>
      <c r="BY537" t="str">
        <f t="shared" si="354"/>
        <v/>
      </c>
      <c r="BZ537" t="str">
        <f t="shared" si="367"/>
        <v/>
      </c>
      <c r="CA537" t="str">
        <f t="shared" si="355"/>
        <v/>
      </c>
      <c r="CB537" t="str">
        <f t="shared" si="337"/>
        <v/>
      </c>
      <c r="CC537" t="str">
        <f t="shared" si="356"/>
        <v/>
      </c>
      <c r="CD537" t="str">
        <f t="shared" si="338"/>
        <v/>
      </c>
      <c r="CE537" t="str">
        <f t="shared" si="357"/>
        <v>Bowles 5th edition</v>
      </c>
      <c r="CF537">
        <f t="shared" si="339"/>
        <v>141</v>
      </c>
      <c r="CG537" t="str">
        <f t="shared" si="358"/>
        <v/>
      </c>
      <c r="CH537" t="str">
        <f t="shared" si="340"/>
        <v/>
      </c>
      <c r="CI537" t="str">
        <f t="shared" si="359"/>
        <v/>
      </c>
      <c r="CJ537" t="str">
        <f t="shared" si="368"/>
        <v/>
      </c>
    </row>
    <row r="538" spans="2:88" x14ac:dyDescent="0.3">
      <c r="B538" t="str">
        <f t="shared" si="360"/>
        <v>36.82406-76.075</v>
      </c>
      <c r="C538" s="30" t="s">
        <v>142</v>
      </c>
      <c r="D538">
        <v>36.824060000000003</v>
      </c>
      <c r="E538">
        <v>-76.075000000000003</v>
      </c>
      <c r="F538">
        <v>5</v>
      </c>
      <c r="G538" t="str">
        <f t="shared" si="361"/>
        <v>-5-736.82406-76.075</v>
      </c>
      <c r="H538">
        <v>-5</v>
      </c>
      <c r="I538">
        <v>-7</v>
      </c>
      <c r="J538" s="30" t="s">
        <v>21</v>
      </c>
      <c r="L538" t="s">
        <v>113</v>
      </c>
      <c r="M538">
        <v>1</v>
      </c>
      <c r="S538" t="str">
        <f t="shared" si="335"/>
        <v>Clay</v>
      </c>
      <c r="T538">
        <f t="shared" si="362"/>
        <v>1</v>
      </c>
      <c r="AA538">
        <v>80</v>
      </c>
      <c r="AB538" s="1">
        <f t="shared" si="369"/>
        <v>1</v>
      </c>
      <c r="AC538">
        <f t="shared" si="370"/>
        <v>1</v>
      </c>
      <c r="AD538" t="str">
        <f t="shared" si="363"/>
        <v/>
      </c>
      <c r="AG538" s="21" t="str">
        <f t="shared" si="341"/>
        <v/>
      </c>
      <c r="AI538" s="6" t="str">
        <f t="shared" si="342"/>
        <v/>
      </c>
      <c r="AM538" s="7" t="str">
        <f t="shared" si="343"/>
        <v/>
      </c>
      <c r="AQ538" s="8" t="str">
        <f t="shared" si="344"/>
        <v/>
      </c>
      <c r="AW538" s="25" t="str">
        <f t="shared" si="345"/>
        <v/>
      </c>
      <c r="AZ538" s="12" t="str">
        <f t="shared" si="346"/>
        <v/>
      </c>
      <c r="BI538" s="17" t="str">
        <f t="shared" si="347"/>
        <v/>
      </c>
      <c r="BM538" t="str">
        <f t="shared" si="348"/>
        <v>SPT Relationship</v>
      </c>
      <c r="BN538">
        <f t="shared" si="336"/>
        <v>95</v>
      </c>
      <c r="BO538" t="str">
        <f t="shared" si="349"/>
        <v>Wolff, 1989</v>
      </c>
      <c r="BP538">
        <f t="shared" si="333"/>
        <v>27</v>
      </c>
      <c r="BQ538" t="str">
        <f t="shared" si="350"/>
        <v/>
      </c>
      <c r="BR538" t="str">
        <f t="shared" si="364"/>
        <v/>
      </c>
      <c r="BS538" t="str">
        <f t="shared" si="351"/>
        <v>Stroud 1974 (K=3.5)</v>
      </c>
      <c r="BT538">
        <f t="shared" si="334"/>
        <v>73</v>
      </c>
      <c r="BU538" t="str">
        <f t="shared" si="352"/>
        <v/>
      </c>
      <c r="BV538" t="str">
        <f t="shared" si="365"/>
        <v/>
      </c>
      <c r="BW538" t="str">
        <f t="shared" si="353"/>
        <v/>
      </c>
      <c r="BX538" t="str">
        <f t="shared" si="366"/>
        <v/>
      </c>
      <c r="BY538" t="str">
        <f t="shared" si="354"/>
        <v/>
      </c>
      <c r="BZ538" t="str">
        <f t="shared" si="367"/>
        <v/>
      </c>
      <c r="CA538" t="str">
        <f t="shared" si="355"/>
        <v/>
      </c>
      <c r="CB538" t="str">
        <f t="shared" si="337"/>
        <v/>
      </c>
      <c r="CC538" t="str">
        <f t="shared" si="356"/>
        <v/>
      </c>
      <c r="CD538" t="str">
        <f t="shared" si="338"/>
        <v/>
      </c>
      <c r="CE538" t="str">
        <f t="shared" si="357"/>
        <v/>
      </c>
      <c r="CF538" t="str">
        <f t="shared" si="339"/>
        <v/>
      </c>
      <c r="CG538" t="str">
        <f t="shared" si="358"/>
        <v/>
      </c>
      <c r="CH538" t="str">
        <f t="shared" si="340"/>
        <v/>
      </c>
      <c r="CI538" t="str">
        <f t="shared" si="359"/>
        <v/>
      </c>
      <c r="CJ538" t="str">
        <f t="shared" si="368"/>
        <v/>
      </c>
    </row>
    <row r="539" spans="2:88" x14ac:dyDescent="0.3">
      <c r="B539" t="str">
        <f t="shared" si="360"/>
        <v>36.82406-76.075</v>
      </c>
      <c r="C539" s="30" t="s">
        <v>142</v>
      </c>
      <c r="D539">
        <v>36.824060000000003</v>
      </c>
      <c r="E539">
        <v>-76.075000000000003</v>
      </c>
      <c r="F539">
        <v>5</v>
      </c>
      <c r="G539" t="str">
        <f t="shared" si="361"/>
        <v>-8-1036.82406-76.075</v>
      </c>
      <c r="H539">
        <v>-8</v>
      </c>
      <c r="I539">
        <v>-10</v>
      </c>
      <c r="J539" s="30" t="s">
        <v>21</v>
      </c>
      <c r="L539" t="s">
        <v>8</v>
      </c>
      <c r="M539">
        <v>2</v>
      </c>
      <c r="S539" t="str">
        <f t="shared" si="335"/>
        <v>Sand</v>
      </c>
      <c r="T539">
        <f t="shared" si="362"/>
        <v>1</v>
      </c>
      <c r="AA539">
        <v>80</v>
      </c>
      <c r="AB539" s="1">
        <f t="shared" si="369"/>
        <v>3</v>
      </c>
      <c r="AC539">
        <f t="shared" si="370"/>
        <v>3</v>
      </c>
      <c r="AD539" t="str">
        <f t="shared" si="363"/>
        <v/>
      </c>
      <c r="AG539" s="21" t="str">
        <f t="shared" si="341"/>
        <v/>
      </c>
      <c r="AI539" s="6" t="str">
        <f t="shared" si="342"/>
        <v/>
      </c>
      <c r="AM539" s="7" t="str">
        <f t="shared" si="343"/>
        <v/>
      </c>
      <c r="AQ539" s="8" t="str">
        <f t="shared" si="344"/>
        <v/>
      </c>
      <c r="AW539" s="25" t="str">
        <f t="shared" si="345"/>
        <v/>
      </c>
      <c r="AZ539" s="12" t="str">
        <f t="shared" si="346"/>
        <v/>
      </c>
      <c r="BI539" s="17" t="str">
        <f t="shared" si="347"/>
        <v/>
      </c>
      <c r="BM539" t="str">
        <f t="shared" si="348"/>
        <v>SPT Relationship</v>
      </c>
      <c r="BN539">
        <f t="shared" si="336"/>
        <v>101</v>
      </c>
      <c r="BO539" t="str">
        <f t="shared" si="349"/>
        <v>Wolff, 1989</v>
      </c>
      <c r="BP539">
        <f t="shared" si="333"/>
        <v>27</v>
      </c>
      <c r="BQ539" t="str">
        <f t="shared" si="350"/>
        <v/>
      </c>
      <c r="BR539" t="str">
        <f t="shared" si="364"/>
        <v/>
      </c>
      <c r="BS539" t="str">
        <f t="shared" si="351"/>
        <v/>
      </c>
      <c r="BT539" t="str">
        <f t="shared" si="334"/>
        <v/>
      </c>
      <c r="BU539" t="str">
        <f t="shared" si="352"/>
        <v/>
      </c>
      <c r="BV539" t="str">
        <f t="shared" si="365"/>
        <v/>
      </c>
      <c r="BW539" t="str">
        <f t="shared" si="353"/>
        <v/>
      </c>
      <c r="BX539" t="str">
        <f t="shared" si="366"/>
        <v/>
      </c>
      <c r="BY539" t="str">
        <f t="shared" si="354"/>
        <v/>
      </c>
      <c r="BZ539" t="str">
        <f t="shared" si="367"/>
        <v/>
      </c>
      <c r="CA539" t="str">
        <f t="shared" si="355"/>
        <v/>
      </c>
      <c r="CB539" t="str">
        <f t="shared" si="337"/>
        <v/>
      </c>
      <c r="CC539" t="str">
        <f t="shared" si="356"/>
        <v/>
      </c>
      <c r="CD539" t="str">
        <f t="shared" si="338"/>
        <v/>
      </c>
      <c r="CE539" t="str">
        <f t="shared" si="357"/>
        <v>Bowles 5th edition</v>
      </c>
      <c r="CF539">
        <f t="shared" si="339"/>
        <v>115</v>
      </c>
      <c r="CG539" t="str">
        <f t="shared" si="358"/>
        <v/>
      </c>
      <c r="CH539" t="str">
        <f t="shared" si="340"/>
        <v/>
      </c>
      <c r="CI539" t="str">
        <f t="shared" si="359"/>
        <v/>
      </c>
      <c r="CJ539" t="str">
        <f t="shared" si="368"/>
        <v/>
      </c>
    </row>
    <row r="540" spans="2:88" x14ac:dyDescent="0.3">
      <c r="B540" t="str">
        <f t="shared" si="360"/>
        <v>36.82406-76.075</v>
      </c>
      <c r="C540" s="30" t="s">
        <v>142</v>
      </c>
      <c r="D540">
        <v>36.824060000000003</v>
      </c>
      <c r="E540">
        <v>-76.075000000000003</v>
      </c>
      <c r="F540">
        <v>5</v>
      </c>
      <c r="G540" t="str">
        <f t="shared" si="361"/>
        <v>-13-1536.82406-76.075</v>
      </c>
      <c r="H540">
        <v>-13</v>
      </c>
      <c r="I540">
        <v>-15</v>
      </c>
      <c r="J540" s="30" t="s">
        <v>21</v>
      </c>
      <c r="L540" t="s">
        <v>8</v>
      </c>
      <c r="M540">
        <v>11</v>
      </c>
      <c r="S540" t="str">
        <f t="shared" si="335"/>
        <v>Sand</v>
      </c>
      <c r="T540">
        <f t="shared" si="362"/>
        <v>1</v>
      </c>
      <c r="AA540">
        <v>80</v>
      </c>
      <c r="AB540" s="1">
        <f t="shared" si="369"/>
        <v>15</v>
      </c>
      <c r="AC540">
        <f t="shared" si="370"/>
        <v>14</v>
      </c>
      <c r="AD540" t="str">
        <f t="shared" si="363"/>
        <v/>
      </c>
      <c r="AG540" s="21" t="str">
        <f t="shared" si="341"/>
        <v/>
      </c>
      <c r="AI540" s="6" t="str">
        <f t="shared" si="342"/>
        <v/>
      </c>
      <c r="AM540" s="7" t="str">
        <f t="shared" si="343"/>
        <v/>
      </c>
      <c r="AQ540" s="8" t="str">
        <f t="shared" si="344"/>
        <v/>
      </c>
      <c r="AW540" s="25" t="str">
        <f t="shared" si="345"/>
        <v/>
      </c>
      <c r="AZ540" s="12" t="str">
        <f t="shared" si="346"/>
        <v/>
      </c>
      <c r="BI540" s="17" t="str">
        <f t="shared" si="347"/>
        <v/>
      </c>
      <c r="BM540" t="str">
        <f t="shared" si="348"/>
        <v>SPT Relationship</v>
      </c>
      <c r="BN540">
        <f t="shared" si="336"/>
        <v>119</v>
      </c>
      <c r="BO540" t="str">
        <f t="shared" si="349"/>
        <v>Wolff, 1989</v>
      </c>
      <c r="BP540">
        <f t="shared" si="333"/>
        <v>31</v>
      </c>
      <c r="BQ540" t="str">
        <f t="shared" si="350"/>
        <v/>
      </c>
      <c r="BR540" t="str">
        <f t="shared" si="364"/>
        <v/>
      </c>
      <c r="BS540" t="str">
        <f t="shared" si="351"/>
        <v/>
      </c>
      <c r="BT540" t="str">
        <f t="shared" si="334"/>
        <v/>
      </c>
      <c r="BU540" t="str">
        <f t="shared" si="352"/>
        <v/>
      </c>
      <c r="BV540" t="str">
        <f t="shared" si="365"/>
        <v/>
      </c>
      <c r="BW540" t="str">
        <f t="shared" si="353"/>
        <v/>
      </c>
      <c r="BX540" t="str">
        <f t="shared" si="366"/>
        <v/>
      </c>
      <c r="BY540" t="str">
        <f t="shared" si="354"/>
        <v/>
      </c>
      <c r="BZ540" t="str">
        <f t="shared" si="367"/>
        <v/>
      </c>
      <c r="CA540" t="str">
        <f t="shared" si="355"/>
        <v/>
      </c>
      <c r="CB540" t="str">
        <f t="shared" si="337"/>
        <v/>
      </c>
      <c r="CC540" t="str">
        <f t="shared" si="356"/>
        <v/>
      </c>
      <c r="CD540" t="str">
        <f t="shared" si="338"/>
        <v/>
      </c>
      <c r="CE540" t="str">
        <f t="shared" si="357"/>
        <v>Bowles 5th edition</v>
      </c>
      <c r="CF540">
        <f t="shared" si="339"/>
        <v>192</v>
      </c>
      <c r="CG540" t="str">
        <f t="shared" si="358"/>
        <v/>
      </c>
      <c r="CH540" t="str">
        <f t="shared" si="340"/>
        <v/>
      </c>
      <c r="CI540" t="str">
        <f t="shared" si="359"/>
        <v/>
      </c>
      <c r="CJ540" t="str">
        <f t="shared" si="368"/>
        <v/>
      </c>
    </row>
    <row r="541" spans="2:88" x14ac:dyDescent="0.3">
      <c r="B541" t="str">
        <f t="shared" si="360"/>
        <v>36.82406-76.075</v>
      </c>
      <c r="C541" s="30" t="s">
        <v>142</v>
      </c>
      <c r="D541">
        <v>36.824060000000003</v>
      </c>
      <c r="E541">
        <v>-76.075000000000003</v>
      </c>
      <c r="F541">
        <v>5</v>
      </c>
      <c r="G541" t="str">
        <f t="shared" si="361"/>
        <v>-18-2036.82406-76.075</v>
      </c>
      <c r="H541">
        <v>-18</v>
      </c>
      <c r="I541">
        <v>-20</v>
      </c>
      <c r="J541" s="30" t="s">
        <v>21</v>
      </c>
      <c r="L541" t="s">
        <v>8</v>
      </c>
      <c r="M541">
        <v>8</v>
      </c>
      <c r="S541" t="str">
        <f t="shared" si="335"/>
        <v>Sand</v>
      </c>
      <c r="T541">
        <f t="shared" si="362"/>
        <v>1</v>
      </c>
      <c r="AA541">
        <v>80</v>
      </c>
      <c r="AB541" s="1">
        <f t="shared" si="369"/>
        <v>11</v>
      </c>
      <c r="AC541">
        <f t="shared" si="370"/>
        <v>9</v>
      </c>
      <c r="AD541" t="str">
        <f t="shared" si="363"/>
        <v/>
      </c>
      <c r="AG541" s="21" t="str">
        <f t="shared" si="341"/>
        <v/>
      </c>
      <c r="AI541" s="6" t="str">
        <f t="shared" si="342"/>
        <v/>
      </c>
      <c r="AM541" s="7" t="str">
        <f t="shared" si="343"/>
        <v/>
      </c>
      <c r="AQ541" s="8" t="str">
        <f t="shared" si="344"/>
        <v/>
      </c>
      <c r="AW541" s="25" t="str">
        <f t="shared" si="345"/>
        <v/>
      </c>
      <c r="AZ541" s="12" t="str">
        <f t="shared" si="346"/>
        <v/>
      </c>
      <c r="BI541" s="17" t="str">
        <f t="shared" si="347"/>
        <v/>
      </c>
      <c r="BM541" t="str">
        <f t="shared" si="348"/>
        <v>SPT Relationship</v>
      </c>
      <c r="BN541">
        <f t="shared" si="336"/>
        <v>116</v>
      </c>
      <c r="BO541" t="str">
        <f t="shared" si="349"/>
        <v>Wolff, 1989</v>
      </c>
      <c r="BP541">
        <f t="shared" si="333"/>
        <v>29</v>
      </c>
      <c r="BQ541" t="str">
        <f t="shared" si="350"/>
        <v/>
      </c>
      <c r="BR541" t="str">
        <f t="shared" si="364"/>
        <v/>
      </c>
      <c r="BS541" t="str">
        <f t="shared" si="351"/>
        <v/>
      </c>
      <c r="BT541" t="str">
        <f t="shared" si="334"/>
        <v/>
      </c>
      <c r="BU541" t="str">
        <f t="shared" si="352"/>
        <v/>
      </c>
      <c r="BV541" t="str">
        <f t="shared" si="365"/>
        <v/>
      </c>
      <c r="BW541" t="str">
        <f t="shared" si="353"/>
        <v/>
      </c>
      <c r="BX541" t="str">
        <f t="shared" si="366"/>
        <v/>
      </c>
      <c r="BY541" t="str">
        <f t="shared" si="354"/>
        <v/>
      </c>
      <c r="BZ541" t="str">
        <f t="shared" si="367"/>
        <v/>
      </c>
      <c r="CA541" t="str">
        <f t="shared" si="355"/>
        <v/>
      </c>
      <c r="CB541" t="str">
        <f t="shared" si="337"/>
        <v/>
      </c>
      <c r="CC541" t="str">
        <f t="shared" si="356"/>
        <v/>
      </c>
      <c r="CD541" t="str">
        <f t="shared" si="338"/>
        <v/>
      </c>
      <c r="CE541" t="str">
        <f t="shared" si="357"/>
        <v>Bowles 5th edition</v>
      </c>
      <c r="CF541">
        <f t="shared" si="339"/>
        <v>166</v>
      </c>
      <c r="CG541" t="str">
        <f t="shared" si="358"/>
        <v/>
      </c>
      <c r="CH541" t="str">
        <f t="shared" si="340"/>
        <v/>
      </c>
      <c r="CI541" t="str">
        <f t="shared" si="359"/>
        <v/>
      </c>
      <c r="CJ541" t="str">
        <f t="shared" si="368"/>
        <v/>
      </c>
    </row>
    <row r="542" spans="2:88" x14ac:dyDescent="0.3">
      <c r="B542" t="str">
        <f t="shared" si="360"/>
        <v>36.82406-76.075</v>
      </c>
      <c r="C542" s="30" t="s">
        <v>142</v>
      </c>
      <c r="D542">
        <v>36.824060000000003</v>
      </c>
      <c r="E542">
        <v>-76.075000000000003</v>
      </c>
      <c r="F542">
        <v>5</v>
      </c>
      <c r="G542" t="str">
        <f t="shared" si="361"/>
        <v>-23-2536.82406-76.075</v>
      </c>
      <c r="H542">
        <v>-23</v>
      </c>
      <c r="I542">
        <v>-25</v>
      </c>
      <c r="J542" s="30" t="s">
        <v>21</v>
      </c>
      <c r="L542" t="s">
        <v>17</v>
      </c>
      <c r="M542">
        <v>2</v>
      </c>
      <c r="S542" t="str">
        <f t="shared" si="335"/>
        <v>Sand</v>
      </c>
      <c r="T542">
        <f t="shared" si="362"/>
        <v>1</v>
      </c>
      <c r="AA542">
        <v>80</v>
      </c>
      <c r="AB542" s="1">
        <f t="shared" si="369"/>
        <v>3</v>
      </c>
      <c r="AC542">
        <f t="shared" si="370"/>
        <v>2</v>
      </c>
      <c r="AD542" t="str">
        <f t="shared" si="363"/>
        <v/>
      </c>
      <c r="AG542" s="21" t="str">
        <f t="shared" si="341"/>
        <v/>
      </c>
      <c r="AI542" s="6" t="str">
        <f t="shared" si="342"/>
        <v/>
      </c>
      <c r="AM542" s="7" t="str">
        <f t="shared" si="343"/>
        <v/>
      </c>
      <c r="AQ542" s="8" t="str">
        <f t="shared" si="344"/>
        <v/>
      </c>
      <c r="AW542" s="25" t="str">
        <f t="shared" si="345"/>
        <v/>
      </c>
      <c r="AZ542" s="12" t="str">
        <f t="shared" si="346"/>
        <v/>
      </c>
      <c r="BI542" s="17" t="str">
        <f t="shared" si="347"/>
        <v/>
      </c>
      <c r="BM542" t="str">
        <f t="shared" si="348"/>
        <v>SPT Relationship</v>
      </c>
      <c r="BN542">
        <f t="shared" si="336"/>
        <v>101</v>
      </c>
      <c r="BO542" t="str">
        <f t="shared" si="349"/>
        <v>Wolff, 1989</v>
      </c>
      <c r="BP542">
        <f t="shared" si="333"/>
        <v>27</v>
      </c>
      <c r="BQ542" t="str">
        <f t="shared" si="350"/>
        <v/>
      </c>
      <c r="BR542" t="str">
        <f t="shared" si="364"/>
        <v/>
      </c>
      <c r="BS542" t="str">
        <f t="shared" si="351"/>
        <v/>
      </c>
      <c r="BT542" t="str">
        <f t="shared" si="334"/>
        <v/>
      </c>
      <c r="BU542" t="str">
        <f t="shared" si="352"/>
        <v/>
      </c>
      <c r="BV542" t="str">
        <f t="shared" si="365"/>
        <v/>
      </c>
      <c r="BW542" t="str">
        <f t="shared" si="353"/>
        <v/>
      </c>
      <c r="BX542" t="str">
        <f t="shared" si="366"/>
        <v/>
      </c>
      <c r="BY542" t="str">
        <f t="shared" si="354"/>
        <v/>
      </c>
      <c r="BZ542" t="str">
        <f t="shared" si="367"/>
        <v/>
      </c>
      <c r="CA542" t="str">
        <f t="shared" si="355"/>
        <v/>
      </c>
      <c r="CB542" t="str">
        <f t="shared" si="337"/>
        <v/>
      </c>
      <c r="CC542" t="str">
        <f t="shared" si="356"/>
        <v/>
      </c>
      <c r="CD542" t="str">
        <f t="shared" si="338"/>
        <v/>
      </c>
      <c r="CE542" t="str">
        <f t="shared" si="357"/>
        <v>Bowles 5th edition</v>
      </c>
      <c r="CF542">
        <f t="shared" si="339"/>
        <v>115</v>
      </c>
      <c r="CG542" t="str">
        <f t="shared" si="358"/>
        <v/>
      </c>
      <c r="CH542" t="str">
        <f t="shared" si="340"/>
        <v/>
      </c>
      <c r="CI542" t="str">
        <f t="shared" si="359"/>
        <v/>
      </c>
      <c r="CJ542" t="str">
        <f t="shared" si="368"/>
        <v/>
      </c>
    </row>
    <row r="543" spans="2:88" x14ac:dyDescent="0.3">
      <c r="B543" t="str">
        <f t="shared" si="360"/>
        <v>36.823332-76.076363</v>
      </c>
      <c r="C543" s="30" t="s">
        <v>143</v>
      </c>
      <c r="D543">
        <v>36.823332000000001</v>
      </c>
      <c r="E543">
        <v>-76.076363000000001</v>
      </c>
      <c r="F543">
        <v>5</v>
      </c>
      <c r="G543" t="str">
        <f t="shared" si="361"/>
        <v>5336.823332-76.076363</v>
      </c>
      <c r="H543">
        <v>5</v>
      </c>
      <c r="I543">
        <v>3</v>
      </c>
      <c r="J543" s="30" t="s">
        <v>21</v>
      </c>
      <c r="L543" t="s">
        <v>17</v>
      </c>
      <c r="M543">
        <v>16</v>
      </c>
      <c r="S543" t="str">
        <f t="shared" si="335"/>
        <v>Sand</v>
      </c>
      <c r="T543">
        <f t="shared" si="362"/>
        <v>1</v>
      </c>
      <c r="AA543">
        <v>80</v>
      </c>
      <c r="AB543" s="1">
        <f t="shared" si="369"/>
        <v>21</v>
      </c>
      <c r="AC543">
        <f t="shared" si="370"/>
        <v>64</v>
      </c>
      <c r="AD543" t="str">
        <f t="shared" si="363"/>
        <v/>
      </c>
      <c r="AG543" s="21" t="str">
        <f t="shared" si="341"/>
        <v/>
      </c>
      <c r="AI543" s="6" t="str">
        <f t="shared" si="342"/>
        <v/>
      </c>
      <c r="AM543" s="7" t="str">
        <f t="shared" si="343"/>
        <v/>
      </c>
      <c r="AQ543" s="8" t="str">
        <f t="shared" si="344"/>
        <v/>
      </c>
      <c r="AW543" s="25" t="str">
        <f t="shared" si="345"/>
        <v/>
      </c>
      <c r="AZ543" s="12" t="str">
        <f t="shared" si="346"/>
        <v/>
      </c>
      <c r="BI543" s="17" t="str">
        <f t="shared" si="347"/>
        <v/>
      </c>
      <c r="BM543" t="str">
        <f t="shared" si="348"/>
        <v>SPT Relationship</v>
      </c>
      <c r="BN543">
        <f t="shared" si="336"/>
        <v>124</v>
      </c>
      <c r="BO543" t="str">
        <f t="shared" si="349"/>
        <v>Wolff, 1989</v>
      </c>
      <c r="BP543">
        <f t="shared" si="333"/>
        <v>44</v>
      </c>
      <c r="BQ543" t="str">
        <f t="shared" si="350"/>
        <v/>
      </c>
      <c r="BR543" t="str">
        <f t="shared" si="364"/>
        <v/>
      </c>
      <c r="BS543" t="str">
        <f t="shared" si="351"/>
        <v/>
      </c>
      <c r="BT543" t="str">
        <f t="shared" si="334"/>
        <v/>
      </c>
      <c r="BU543" t="str">
        <f t="shared" si="352"/>
        <v/>
      </c>
      <c r="BV543" t="str">
        <f t="shared" si="365"/>
        <v/>
      </c>
      <c r="BW543" t="str">
        <f t="shared" si="353"/>
        <v/>
      </c>
      <c r="BX543" t="str">
        <f t="shared" si="366"/>
        <v/>
      </c>
      <c r="BY543" t="str">
        <f t="shared" si="354"/>
        <v/>
      </c>
      <c r="BZ543" t="str">
        <f t="shared" si="367"/>
        <v/>
      </c>
      <c r="CA543" t="str">
        <f t="shared" si="355"/>
        <v/>
      </c>
      <c r="CB543" t="str">
        <f t="shared" si="337"/>
        <v/>
      </c>
      <c r="CC543" t="str">
        <f t="shared" si="356"/>
        <v/>
      </c>
      <c r="CD543" t="str">
        <f t="shared" si="338"/>
        <v/>
      </c>
      <c r="CE543" t="str">
        <f t="shared" si="357"/>
        <v>Bowles 5th edition</v>
      </c>
      <c r="CF543">
        <f t="shared" si="339"/>
        <v>230</v>
      </c>
      <c r="CG543" t="str">
        <f t="shared" si="358"/>
        <v/>
      </c>
      <c r="CH543" t="str">
        <f t="shared" si="340"/>
        <v/>
      </c>
      <c r="CI543" t="str">
        <f t="shared" si="359"/>
        <v/>
      </c>
      <c r="CJ543" t="str">
        <f t="shared" si="368"/>
        <v/>
      </c>
    </row>
    <row r="544" spans="2:88" x14ac:dyDescent="0.3">
      <c r="B544" t="str">
        <f t="shared" si="360"/>
        <v>36.823332-76.076363</v>
      </c>
      <c r="C544" s="30" t="s">
        <v>143</v>
      </c>
      <c r="D544">
        <v>36.823332000000001</v>
      </c>
      <c r="E544">
        <v>-76.076363000000001</v>
      </c>
      <c r="F544">
        <v>5</v>
      </c>
      <c r="G544" t="str">
        <f t="shared" si="361"/>
        <v>3136.823332-76.076363</v>
      </c>
      <c r="H544">
        <v>3</v>
      </c>
      <c r="I544">
        <v>1</v>
      </c>
      <c r="J544" s="30" t="s">
        <v>21</v>
      </c>
      <c r="L544" t="s">
        <v>17</v>
      </c>
      <c r="M544">
        <v>24</v>
      </c>
      <c r="S544" t="str">
        <f t="shared" si="335"/>
        <v>Sand</v>
      </c>
      <c r="T544">
        <f t="shared" si="362"/>
        <v>1</v>
      </c>
      <c r="AA544">
        <v>80</v>
      </c>
      <c r="AB544" s="1">
        <f t="shared" si="369"/>
        <v>32</v>
      </c>
      <c r="AC544">
        <f t="shared" si="370"/>
        <v>69</v>
      </c>
      <c r="AD544" t="str">
        <f t="shared" si="363"/>
        <v/>
      </c>
      <c r="AG544" s="21" t="str">
        <f t="shared" si="341"/>
        <v/>
      </c>
      <c r="AI544" s="6" t="str">
        <f t="shared" si="342"/>
        <v/>
      </c>
      <c r="AM544" s="7" t="str">
        <f t="shared" si="343"/>
        <v/>
      </c>
      <c r="AQ544" s="8" t="str">
        <f t="shared" si="344"/>
        <v/>
      </c>
      <c r="AW544" s="25" t="str">
        <f t="shared" si="345"/>
        <v/>
      </c>
      <c r="AZ544" s="12" t="str">
        <f t="shared" si="346"/>
        <v/>
      </c>
      <c r="BI544" s="17" t="str">
        <f t="shared" si="347"/>
        <v/>
      </c>
      <c r="BM544" t="str">
        <f t="shared" si="348"/>
        <v>SPT Relationship</v>
      </c>
      <c r="BN544">
        <f t="shared" si="336"/>
        <v>128</v>
      </c>
      <c r="BO544" t="str">
        <f t="shared" si="349"/>
        <v>Wolff, 1989</v>
      </c>
      <c r="BP544">
        <f t="shared" si="333"/>
        <v>45</v>
      </c>
      <c r="BQ544" t="str">
        <f t="shared" si="350"/>
        <v/>
      </c>
      <c r="BR544" t="str">
        <f t="shared" si="364"/>
        <v/>
      </c>
      <c r="BS544" t="str">
        <f t="shared" si="351"/>
        <v/>
      </c>
      <c r="BT544" t="str">
        <f t="shared" si="334"/>
        <v/>
      </c>
      <c r="BU544" t="str">
        <f t="shared" si="352"/>
        <v/>
      </c>
      <c r="BV544" t="str">
        <f t="shared" si="365"/>
        <v/>
      </c>
      <c r="BW544" t="str">
        <f t="shared" si="353"/>
        <v/>
      </c>
      <c r="BX544" t="str">
        <f t="shared" si="366"/>
        <v/>
      </c>
      <c r="BY544" t="str">
        <f t="shared" si="354"/>
        <v/>
      </c>
      <c r="BZ544" t="str">
        <f t="shared" si="367"/>
        <v/>
      </c>
      <c r="CA544" t="str">
        <f t="shared" si="355"/>
        <v/>
      </c>
      <c r="CB544" t="str">
        <f t="shared" si="337"/>
        <v/>
      </c>
      <c r="CC544" t="str">
        <f t="shared" si="356"/>
        <v/>
      </c>
      <c r="CD544" t="str">
        <f t="shared" si="338"/>
        <v/>
      </c>
      <c r="CE544" t="str">
        <f t="shared" si="357"/>
        <v>Bowles 5th edition</v>
      </c>
      <c r="CF544">
        <f t="shared" si="339"/>
        <v>301</v>
      </c>
      <c r="CG544" t="str">
        <f t="shared" si="358"/>
        <v/>
      </c>
      <c r="CH544" t="str">
        <f t="shared" si="340"/>
        <v/>
      </c>
      <c r="CI544" t="str">
        <f t="shared" si="359"/>
        <v/>
      </c>
      <c r="CJ544" t="str">
        <f t="shared" si="368"/>
        <v/>
      </c>
    </row>
    <row r="545" spans="2:88" x14ac:dyDescent="0.3">
      <c r="B545" t="str">
        <f t="shared" si="360"/>
        <v>36.823332-76.076363</v>
      </c>
      <c r="C545" s="30" t="s">
        <v>143</v>
      </c>
      <c r="D545">
        <v>36.823332000000001</v>
      </c>
      <c r="E545">
        <v>-76.076363000000001</v>
      </c>
      <c r="F545">
        <v>5</v>
      </c>
      <c r="G545" t="str">
        <f t="shared" si="361"/>
        <v>1-136.823332-76.076363</v>
      </c>
      <c r="H545">
        <v>1</v>
      </c>
      <c r="I545">
        <v>-1</v>
      </c>
      <c r="J545" s="30" t="s">
        <v>21</v>
      </c>
      <c r="L545" t="s">
        <v>11</v>
      </c>
      <c r="M545">
        <v>12</v>
      </c>
      <c r="S545" t="str">
        <f t="shared" si="335"/>
        <v>Clay</v>
      </c>
      <c r="T545">
        <f t="shared" si="362"/>
        <v>1</v>
      </c>
      <c r="AA545">
        <v>80</v>
      </c>
      <c r="AB545" s="1">
        <f t="shared" si="369"/>
        <v>16</v>
      </c>
      <c r="AC545">
        <f t="shared" si="370"/>
        <v>28</v>
      </c>
      <c r="AD545" t="str">
        <f t="shared" si="363"/>
        <v/>
      </c>
      <c r="AG545" s="21" t="str">
        <f t="shared" si="341"/>
        <v/>
      </c>
      <c r="AI545" s="6" t="str">
        <f t="shared" si="342"/>
        <v/>
      </c>
      <c r="AM545" s="7" t="str">
        <f t="shared" si="343"/>
        <v/>
      </c>
      <c r="AQ545" s="8" t="str">
        <f t="shared" si="344"/>
        <v/>
      </c>
      <c r="AW545" s="25" t="str">
        <f t="shared" si="345"/>
        <v/>
      </c>
      <c r="AZ545" s="12" t="str">
        <f t="shared" si="346"/>
        <v/>
      </c>
      <c r="BI545" s="17" t="str">
        <f t="shared" si="347"/>
        <v/>
      </c>
      <c r="BM545" t="str">
        <f t="shared" si="348"/>
        <v>SPT Relationship</v>
      </c>
      <c r="BN545">
        <f t="shared" si="336"/>
        <v>120</v>
      </c>
      <c r="BO545" t="str">
        <f t="shared" si="349"/>
        <v>Wolff, 1989</v>
      </c>
      <c r="BP545">
        <f t="shared" si="333"/>
        <v>35</v>
      </c>
      <c r="BQ545" t="str">
        <f t="shared" si="350"/>
        <v/>
      </c>
      <c r="BR545" t="str">
        <f t="shared" si="364"/>
        <v/>
      </c>
      <c r="BS545" t="str">
        <f t="shared" si="351"/>
        <v>Stroud 1974 (K=3.5)</v>
      </c>
      <c r="BT545">
        <f t="shared" si="334"/>
        <v>1170</v>
      </c>
      <c r="BU545" t="str">
        <f t="shared" si="352"/>
        <v/>
      </c>
      <c r="BV545" t="str">
        <f t="shared" si="365"/>
        <v/>
      </c>
      <c r="BW545" t="str">
        <f t="shared" si="353"/>
        <v/>
      </c>
      <c r="BX545" t="str">
        <f t="shared" si="366"/>
        <v/>
      </c>
      <c r="BY545" t="str">
        <f t="shared" si="354"/>
        <v/>
      </c>
      <c r="BZ545" t="str">
        <f t="shared" si="367"/>
        <v/>
      </c>
      <c r="CA545" t="str">
        <f t="shared" si="355"/>
        <v/>
      </c>
      <c r="CB545" t="str">
        <f t="shared" si="337"/>
        <v/>
      </c>
      <c r="CC545" t="str">
        <f t="shared" si="356"/>
        <v/>
      </c>
      <c r="CD545" t="str">
        <f t="shared" si="338"/>
        <v/>
      </c>
      <c r="CE545" t="str">
        <f t="shared" si="357"/>
        <v/>
      </c>
      <c r="CF545" t="str">
        <f t="shared" si="339"/>
        <v/>
      </c>
      <c r="CG545" t="str">
        <f t="shared" si="358"/>
        <v/>
      </c>
      <c r="CH545" t="str">
        <f t="shared" si="340"/>
        <v/>
      </c>
      <c r="CI545" t="str">
        <f t="shared" si="359"/>
        <v/>
      </c>
      <c r="CJ545" t="str">
        <f t="shared" si="368"/>
        <v/>
      </c>
    </row>
    <row r="546" spans="2:88" x14ac:dyDescent="0.3">
      <c r="B546" t="str">
        <f t="shared" si="360"/>
        <v>36.823332-76.076363</v>
      </c>
      <c r="C546" s="30" t="s">
        <v>143</v>
      </c>
      <c r="D546">
        <v>36.823332000000001</v>
      </c>
      <c r="E546">
        <v>-76.076363000000001</v>
      </c>
      <c r="F546">
        <v>5</v>
      </c>
      <c r="G546" t="str">
        <f t="shared" si="361"/>
        <v>-1-336.823332-76.076363</v>
      </c>
      <c r="H546">
        <v>-1</v>
      </c>
      <c r="I546">
        <v>-3</v>
      </c>
      <c r="J546" s="30" t="s">
        <v>21</v>
      </c>
      <c r="L546" t="s">
        <v>17</v>
      </c>
      <c r="M546">
        <v>5</v>
      </c>
      <c r="S546" t="str">
        <f t="shared" si="335"/>
        <v>Sand</v>
      </c>
      <c r="T546">
        <f t="shared" si="362"/>
        <v>1</v>
      </c>
      <c r="AA546">
        <v>80</v>
      </c>
      <c r="AB546" s="1">
        <f t="shared" si="369"/>
        <v>7</v>
      </c>
      <c r="AC546">
        <f t="shared" si="370"/>
        <v>10</v>
      </c>
      <c r="AD546" t="str">
        <f t="shared" si="363"/>
        <v/>
      </c>
      <c r="AG546" s="21" t="str">
        <f t="shared" si="341"/>
        <v/>
      </c>
      <c r="AI546" s="6" t="str">
        <f t="shared" si="342"/>
        <v/>
      </c>
      <c r="AM546" s="7" t="str">
        <f t="shared" si="343"/>
        <v/>
      </c>
      <c r="AQ546" s="8" t="str">
        <f t="shared" si="344"/>
        <v/>
      </c>
      <c r="AW546" s="25" t="str">
        <f t="shared" si="345"/>
        <v/>
      </c>
      <c r="AZ546" s="12" t="str">
        <f t="shared" si="346"/>
        <v/>
      </c>
      <c r="BI546" s="17" t="str">
        <f t="shared" si="347"/>
        <v/>
      </c>
      <c r="BM546" t="str">
        <f t="shared" si="348"/>
        <v>SPT Relationship</v>
      </c>
      <c r="BN546">
        <f t="shared" si="336"/>
        <v>111</v>
      </c>
      <c r="BO546" t="str">
        <f t="shared" si="349"/>
        <v>Wolff, 1989</v>
      </c>
      <c r="BP546">
        <f t="shared" si="333"/>
        <v>30</v>
      </c>
      <c r="BQ546" t="str">
        <f t="shared" si="350"/>
        <v/>
      </c>
      <c r="BR546" t="str">
        <f t="shared" si="364"/>
        <v/>
      </c>
      <c r="BS546" t="str">
        <f t="shared" si="351"/>
        <v/>
      </c>
      <c r="BT546" t="str">
        <f t="shared" si="334"/>
        <v/>
      </c>
      <c r="BU546" t="str">
        <f t="shared" si="352"/>
        <v/>
      </c>
      <c r="BV546" t="str">
        <f t="shared" si="365"/>
        <v/>
      </c>
      <c r="BW546" t="str">
        <f t="shared" si="353"/>
        <v/>
      </c>
      <c r="BX546" t="str">
        <f t="shared" si="366"/>
        <v/>
      </c>
      <c r="BY546" t="str">
        <f t="shared" si="354"/>
        <v/>
      </c>
      <c r="BZ546" t="str">
        <f t="shared" si="367"/>
        <v/>
      </c>
      <c r="CA546" t="str">
        <f t="shared" si="355"/>
        <v/>
      </c>
      <c r="CB546" t="str">
        <f t="shared" si="337"/>
        <v/>
      </c>
      <c r="CC546" t="str">
        <f t="shared" si="356"/>
        <v/>
      </c>
      <c r="CD546" t="str">
        <f t="shared" si="338"/>
        <v/>
      </c>
      <c r="CE546" t="str">
        <f t="shared" si="357"/>
        <v>Bowles 5th edition</v>
      </c>
      <c r="CF546">
        <f t="shared" si="339"/>
        <v>141</v>
      </c>
      <c r="CG546" t="str">
        <f t="shared" si="358"/>
        <v/>
      </c>
      <c r="CH546" t="str">
        <f t="shared" si="340"/>
        <v/>
      </c>
      <c r="CI546" t="str">
        <f t="shared" si="359"/>
        <v/>
      </c>
      <c r="CJ546" t="str">
        <f t="shared" si="368"/>
        <v/>
      </c>
    </row>
    <row r="547" spans="2:88" x14ac:dyDescent="0.3">
      <c r="B547" t="str">
        <f t="shared" si="360"/>
        <v>36.823332-76.076363</v>
      </c>
      <c r="C547" s="30" t="s">
        <v>143</v>
      </c>
      <c r="D547">
        <v>36.823332000000001</v>
      </c>
      <c r="E547">
        <v>-76.076363000000001</v>
      </c>
      <c r="F547">
        <v>5</v>
      </c>
      <c r="G547" t="str">
        <f t="shared" si="361"/>
        <v>-3-536.823332-76.076363</v>
      </c>
      <c r="H547">
        <v>-3</v>
      </c>
      <c r="I547">
        <v>-5</v>
      </c>
      <c r="J547" s="30" t="s">
        <v>21</v>
      </c>
      <c r="L547" t="s">
        <v>17</v>
      </c>
      <c r="M547">
        <v>11</v>
      </c>
      <c r="S547" t="str">
        <f t="shared" si="335"/>
        <v>Sand</v>
      </c>
      <c r="T547">
        <f t="shared" si="362"/>
        <v>1</v>
      </c>
      <c r="AA547">
        <v>80</v>
      </c>
      <c r="AB547" s="1">
        <f t="shared" si="369"/>
        <v>15</v>
      </c>
      <c r="AC547">
        <f t="shared" si="370"/>
        <v>20</v>
      </c>
      <c r="AD547" t="str">
        <f t="shared" si="363"/>
        <v/>
      </c>
      <c r="AG547" s="21" t="str">
        <f t="shared" si="341"/>
        <v/>
      </c>
      <c r="AI547" s="6" t="str">
        <f t="shared" si="342"/>
        <v/>
      </c>
      <c r="AM547" s="7" t="str">
        <f t="shared" si="343"/>
        <v/>
      </c>
      <c r="AQ547" s="8" t="str">
        <f t="shared" si="344"/>
        <v/>
      </c>
      <c r="AW547" s="25" t="str">
        <f t="shared" si="345"/>
        <v/>
      </c>
      <c r="AZ547" s="12" t="str">
        <f t="shared" si="346"/>
        <v/>
      </c>
      <c r="BI547" s="17" t="str">
        <f t="shared" si="347"/>
        <v/>
      </c>
      <c r="BM547" t="str">
        <f t="shared" si="348"/>
        <v>SPT Relationship</v>
      </c>
      <c r="BN547">
        <f t="shared" si="336"/>
        <v>119</v>
      </c>
      <c r="BO547" t="str">
        <f t="shared" si="349"/>
        <v>Wolff, 1989</v>
      </c>
      <c r="BP547">
        <f t="shared" si="333"/>
        <v>32</v>
      </c>
      <c r="BQ547" t="str">
        <f t="shared" si="350"/>
        <v/>
      </c>
      <c r="BR547" t="str">
        <f t="shared" si="364"/>
        <v/>
      </c>
      <c r="BS547" t="str">
        <f t="shared" si="351"/>
        <v/>
      </c>
      <c r="BT547" t="str">
        <f t="shared" si="334"/>
        <v/>
      </c>
      <c r="BU547" t="str">
        <f t="shared" si="352"/>
        <v/>
      </c>
      <c r="BV547" t="str">
        <f t="shared" si="365"/>
        <v/>
      </c>
      <c r="BW547" t="str">
        <f t="shared" si="353"/>
        <v/>
      </c>
      <c r="BX547" t="str">
        <f t="shared" si="366"/>
        <v/>
      </c>
      <c r="BY547" t="str">
        <f t="shared" si="354"/>
        <v/>
      </c>
      <c r="BZ547" t="str">
        <f t="shared" si="367"/>
        <v/>
      </c>
      <c r="CA547" t="str">
        <f t="shared" si="355"/>
        <v/>
      </c>
      <c r="CB547" t="str">
        <f t="shared" si="337"/>
        <v/>
      </c>
      <c r="CC547" t="str">
        <f t="shared" si="356"/>
        <v/>
      </c>
      <c r="CD547" t="str">
        <f t="shared" si="338"/>
        <v/>
      </c>
      <c r="CE547" t="str">
        <f t="shared" si="357"/>
        <v>Bowles 5th edition</v>
      </c>
      <c r="CF547">
        <f t="shared" si="339"/>
        <v>192</v>
      </c>
      <c r="CG547" t="str">
        <f t="shared" si="358"/>
        <v/>
      </c>
      <c r="CH547" t="str">
        <f t="shared" si="340"/>
        <v/>
      </c>
      <c r="CI547" t="str">
        <f t="shared" si="359"/>
        <v/>
      </c>
      <c r="CJ547" t="str">
        <f t="shared" si="368"/>
        <v/>
      </c>
    </row>
    <row r="548" spans="2:88" x14ac:dyDescent="0.3">
      <c r="B548" t="str">
        <f t="shared" si="360"/>
        <v>36.823332-76.076363</v>
      </c>
      <c r="C548" s="30" t="s">
        <v>143</v>
      </c>
      <c r="D548">
        <v>36.823332000000001</v>
      </c>
      <c r="E548">
        <v>-76.076363000000001</v>
      </c>
      <c r="F548">
        <v>5</v>
      </c>
      <c r="G548" t="str">
        <f t="shared" si="361"/>
        <v>-5-736.823332-76.076363</v>
      </c>
      <c r="H548">
        <v>-5</v>
      </c>
      <c r="I548">
        <v>-7</v>
      </c>
      <c r="J548" s="30" t="s">
        <v>21</v>
      </c>
      <c r="L548" t="s">
        <v>17</v>
      </c>
      <c r="M548">
        <v>1</v>
      </c>
      <c r="S548" t="str">
        <f t="shared" si="335"/>
        <v>Sand</v>
      </c>
      <c r="T548">
        <f t="shared" si="362"/>
        <v>1</v>
      </c>
      <c r="AA548">
        <v>80</v>
      </c>
      <c r="AB548" s="1">
        <f t="shared" si="369"/>
        <v>1</v>
      </c>
      <c r="AC548">
        <f t="shared" si="370"/>
        <v>1</v>
      </c>
      <c r="AD548" t="str">
        <f t="shared" si="363"/>
        <v/>
      </c>
      <c r="AG548" s="21" t="str">
        <f t="shared" si="341"/>
        <v/>
      </c>
      <c r="AI548" s="6" t="str">
        <f t="shared" si="342"/>
        <v/>
      </c>
      <c r="AM548" s="7" t="str">
        <f t="shared" si="343"/>
        <v/>
      </c>
      <c r="AQ548" s="8" t="str">
        <f t="shared" si="344"/>
        <v/>
      </c>
      <c r="AW548" s="25" t="str">
        <f t="shared" si="345"/>
        <v/>
      </c>
      <c r="AZ548" s="12" t="str">
        <f t="shared" si="346"/>
        <v/>
      </c>
      <c r="BI548" s="17" t="str">
        <f t="shared" si="347"/>
        <v/>
      </c>
      <c r="BM548" t="str">
        <f t="shared" si="348"/>
        <v>SPT Relationship</v>
      </c>
      <c r="BN548">
        <f t="shared" si="336"/>
        <v>95</v>
      </c>
      <c r="BO548" t="str">
        <f t="shared" si="349"/>
        <v>Wolff, 1989</v>
      </c>
      <c r="BP548">
        <f t="shared" ref="BP548:BP611" si="371">IFERROR(ROUNDDOWN(27.1+0.3*AC548-0.00054*AC548^2,0),"")</f>
        <v>27</v>
      </c>
      <c r="BQ548" t="str">
        <f t="shared" si="350"/>
        <v/>
      </c>
      <c r="BR548" t="str">
        <f t="shared" si="364"/>
        <v/>
      </c>
      <c r="BS548" t="str">
        <f t="shared" si="351"/>
        <v/>
      </c>
      <c r="BT548" t="str">
        <f t="shared" ref="BT548:BT611" si="372">IFERROR(IF(S548="Clay",ROUND((3.5*AB548)*20.885434273039,0),""),"")</f>
        <v/>
      </c>
      <c r="BU548" t="str">
        <f t="shared" si="352"/>
        <v/>
      </c>
      <c r="BV548" t="str">
        <f t="shared" si="365"/>
        <v/>
      </c>
      <c r="BW548" t="str">
        <f t="shared" si="353"/>
        <v/>
      </c>
      <c r="BX548" t="str">
        <f t="shared" si="366"/>
        <v/>
      </c>
      <c r="BY548" t="str">
        <f t="shared" si="354"/>
        <v/>
      </c>
      <c r="BZ548" t="str">
        <f t="shared" si="367"/>
        <v/>
      </c>
      <c r="CA548" t="str">
        <f t="shared" si="355"/>
        <v/>
      </c>
      <c r="CB548" t="str">
        <f t="shared" si="337"/>
        <v/>
      </c>
      <c r="CC548" t="str">
        <f t="shared" si="356"/>
        <v/>
      </c>
      <c r="CD548" t="str">
        <f t="shared" si="338"/>
        <v/>
      </c>
      <c r="CE548" t="str">
        <f t="shared" si="357"/>
        <v>Bowles 5th edition</v>
      </c>
      <c r="CF548">
        <f t="shared" si="339"/>
        <v>102</v>
      </c>
      <c r="CG548" t="str">
        <f t="shared" si="358"/>
        <v/>
      </c>
      <c r="CH548" t="str">
        <f t="shared" si="340"/>
        <v/>
      </c>
      <c r="CI548" t="str">
        <f t="shared" si="359"/>
        <v/>
      </c>
      <c r="CJ548" t="str">
        <f t="shared" si="368"/>
        <v/>
      </c>
    </row>
    <row r="549" spans="2:88" x14ac:dyDescent="0.3">
      <c r="B549" t="str">
        <f t="shared" si="360"/>
        <v>36.823332-76.076363</v>
      </c>
      <c r="C549" s="30" t="s">
        <v>143</v>
      </c>
      <c r="D549">
        <v>36.823332000000001</v>
      </c>
      <c r="E549">
        <v>-76.076363000000001</v>
      </c>
      <c r="F549">
        <v>5</v>
      </c>
      <c r="G549" t="str">
        <f t="shared" si="361"/>
        <v>-8-1036.823332-76.076363</v>
      </c>
      <c r="H549">
        <v>-8</v>
      </c>
      <c r="I549">
        <v>-10</v>
      </c>
      <c r="J549" s="30" t="s">
        <v>21</v>
      </c>
      <c r="L549" t="s">
        <v>113</v>
      </c>
      <c r="M549">
        <v>0</v>
      </c>
      <c r="S549" t="str">
        <f t="shared" si="335"/>
        <v>Clay</v>
      </c>
      <c r="T549">
        <f t="shared" si="362"/>
        <v>1</v>
      </c>
      <c r="AA549">
        <v>80</v>
      </c>
      <c r="AB549" s="1">
        <f t="shared" si="369"/>
        <v>0</v>
      </c>
      <c r="AC549">
        <f t="shared" si="370"/>
        <v>0</v>
      </c>
      <c r="AD549" t="str">
        <f t="shared" si="363"/>
        <v/>
      </c>
      <c r="AG549" s="21" t="str">
        <f t="shared" si="341"/>
        <v/>
      </c>
      <c r="AI549" s="6" t="str">
        <f t="shared" si="342"/>
        <v/>
      </c>
      <c r="AM549" s="7" t="str">
        <f t="shared" si="343"/>
        <v/>
      </c>
      <c r="AQ549" s="8" t="str">
        <f t="shared" si="344"/>
        <v/>
      </c>
      <c r="AW549" s="25" t="str">
        <f t="shared" si="345"/>
        <v/>
      </c>
      <c r="AZ549" s="12" t="str">
        <f t="shared" si="346"/>
        <v/>
      </c>
      <c r="BI549" s="17" t="str">
        <f t="shared" si="347"/>
        <v/>
      </c>
      <c r="BM549" t="str">
        <f t="shared" si="348"/>
        <v>SPT Relationship</v>
      </c>
      <c r="BN549">
        <f t="shared" si="336"/>
        <v>95</v>
      </c>
      <c r="BO549" t="str">
        <f t="shared" si="349"/>
        <v>Wolff, 1989</v>
      </c>
      <c r="BP549">
        <f t="shared" si="371"/>
        <v>27</v>
      </c>
      <c r="BQ549" t="str">
        <f t="shared" si="350"/>
        <v/>
      </c>
      <c r="BR549" t="str">
        <f t="shared" si="364"/>
        <v/>
      </c>
      <c r="BS549" t="str">
        <f t="shared" si="351"/>
        <v>Stroud 1974 (K=3.5)</v>
      </c>
      <c r="BT549">
        <f t="shared" si="372"/>
        <v>0</v>
      </c>
      <c r="BU549" t="str">
        <f t="shared" si="352"/>
        <v/>
      </c>
      <c r="BV549" t="str">
        <f t="shared" si="365"/>
        <v/>
      </c>
      <c r="BW549" t="str">
        <f t="shared" si="353"/>
        <v/>
      </c>
      <c r="BX549" t="str">
        <f t="shared" si="366"/>
        <v/>
      </c>
      <c r="BY549" t="str">
        <f t="shared" si="354"/>
        <v/>
      </c>
      <c r="BZ549" t="str">
        <f t="shared" si="367"/>
        <v/>
      </c>
      <c r="CA549" t="str">
        <f t="shared" si="355"/>
        <v/>
      </c>
      <c r="CB549" t="str">
        <f t="shared" si="337"/>
        <v/>
      </c>
      <c r="CC549" t="str">
        <f t="shared" si="356"/>
        <v/>
      </c>
      <c r="CD549" t="str">
        <f t="shared" si="338"/>
        <v/>
      </c>
      <c r="CE549" t="str">
        <f t="shared" si="357"/>
        <v/>
      </c>
      <c r="CF549" t="str">
        <f t="shared" si="339"/>
        <v/>
      </c>
      <c r="CG549" t="str">
        <f t="shared" si="358"/>
        <v/>
      </c>
      <c r="CH549" t="str">
        <f t="shared" si="340"/>
        <v/>
      </c>
      <c r="CI549" t="str">
        <f t="shared" si="359"/>
        <v/>
      </c>
      <c r="CJ549" t="str">
        <f t="shared" si="368"/>
        <v/>
      </c>
    </row>
    <row r="550" spans="2:88" x14ac:dyDescent="0.3">
      <c r="B550" t="str">
        <f t="shared" si="360"/>
        <v>36.823332-76.076363</v>
      </c>
      <c r="C550" s="30" t="s">
        <v>143</v>
      </c>
      <c r="D550">
        <v>36.823332000000001</v>
      </c>
      <c r="E550">
        <v>-76.076363000000001</v>
      </c>
      <c r="F550">
        <v>5</v>
      </c>
      <c r="G550" t="str">
        <f t="shared" si="361"/>
        <v>-13-1536.823332-76.076363</v>
      </c>
      <c r="H550">
        <v>-13</v>
      </c>
      <c r="I550">
        <v>-15</v>
      </c>
      <c r="J550" s="30" t="s">
        <v>21</v>
      </c>
      <c r="L550" t="s">
        <v>16</v>
      </c>
      <c r="M550">
        <v>6</v>
      </c>
      <c r="S550" t="str">
        <f t="shared" si="335"/>
        <v>Sand</v>
      </c>
      <c r="T550">
        <f t="shared" si="362"/>
        <v>1</v>
      </c>
      <c r="AA550">
        <v>80</v>
      </c>
      <c r="AB550" s="1">
        <f t="shared" si="369"/>
        <v>8</v>
      </c>
      <c r="AC550">
        <f t="shared" si="370"/>
        <v>7</v>
      </c>
      <c r="AD550" t="str">
        <f t="shared" si="363"/>
        <v/>
      </c>
      <c r="AG550" s="21" t="str">
        <f t="shared" si="341"/>
        <v/>
      </c>
      <c r="AI550" s="6" t="str">
        <f t="shared" si="342"/>
        <v/>
      </c>
      <c r="AM550" s="7" t="str">
        <f t="shared" si="343"/>
        <v/>
      </c>
      <c r="AQ550" s="8" t="str">
        <f t="shared" si="344"/>
        <v/>
      </c>
      <c r="AW550" s="25" t="str">
        <f t="shared" si="345"/>
        <v/>
      </c>
      <c r="AZ550" s="12" t="str">
        <f t="shared" si="346"/>
        <v/>
      </c>
      <c r="BI550" s="17" t="str">
        <f t="shared" si="347"/>
        <v/>
      </c>
      <c r="BM550" t="str">
        <f t="shared" si="348"/>
        <v>SPT Relationship</v>
      </c>
      <c r="BN550">
        <f t="shared" si="336"/>
        <v>113</v>
      </c>
      <c r="BO550" t="str">
        <f t="shared" si="349"/>
        <v>Wolff, 1989</v>
      </c>
      <c r="BP550">
        <f t="shared" si="371"/>
        <v>29</v>
      </c>
      <c r="BQ550" t="str">
        <f t="shared" si="350"/>
        <v/>
      </c>
      <c r="BR550" t="str">
        <f t="shared" si="364"/>
        <v/>
      </c>
      <c r="BS550" t="str">
        <f t="shared" si="351"/>
        <v/>
      </c>
      <c r="BT550" t="str">
        <f t="shared" si="372"/>
        <v/>
      </c>
      <c r="BU550" t="str">
        <f t="shared" si="352"/>
        <v/>
      </c>
      <c r="BV550" t="str">
        <f t="shared" si="365"/>
        <v/>
      </c>
      <c r="BW550" t="str">
        <f t="shared" si="353"/>
        <v/>
      </c>
      <c r="BX550" t="str">
        <f t="shared" si="366"/>
        <v/>
      </c>
      <c r="BY550" t="str">
        <f t="shared" si="354"/>
        <v/>
      </c>
      <c r="BZ550" t="str">
        <f t="shared" si="367"/>
        <v/>
      </c>
      <c r="CA550" t="str">
        <f t="shared" si="355"/>
        <v/>
      </c>
      <c r="CB550" t="str">
        <f t="shared" si="337"/>
        <v/>
      </c>
      <c r="CC550" t="str">
        <f t="shared" si="356"/>
        <v/>
      </c>
      <c r="CD550" t="str">
        <f t="shared" si="338"/>
        <v/>
      </c>
      <c r="CE550" t="str">
        <f t="shared" si="357"/>
        <v>Bowles 5th edition</v>
      </c>
      <c r="CF550">
        <f t="shared" si="339"/>
        <v>147</v>
      </c>
      <c r="CG550" t="str">
        <f t="shared" si="358"/>
        <v/>
      </c>
      <c r="CH550" t="str">
        <f t="shared" si="340"/>
        <v/>
      </c>
      <c r="CI550" t="str">
        <f t="shared" si="359"/>
        <v/>
      </c>
      <c r="CJ550" t="str">
        <f t="shared" si="368"/>
        <v/>
      </c>
    </row>
    <row r="551" spans="2:88" x14ac:dyDescent="0.3">
      <c r="B551" t="str">
        <f t="shared" si="360"/>
        <v>36.823332-76.076363</v>
      </c>
      <c r="C551" s="30" t="s">
        <v>143</v>
      </c>
      <c r="D551">
        <v>36.823332000000001</v>
      </c>
      <c r="E551">
        <v>-76.076363000000001</v>
      </c>
      <c r="F551">
        <v>5</v>
      </c>
      <c r="G551" t="str">
        <f t="shared" si="361"/>
        <v>-18-2036.823332-76.076363</v>
      </c>
      <c r="H551">
        <v>-18</v>
      </c>
      <c r="I551">
        <v>-20</v>
      </c>
      <c r="J551" s="30" t="s">
        <v>21</v>
      </c>
      <c r="L551" t="s">
        <v>16</v>
      </c>
      <c r="M551">
        <v>7</v>
      </c>
      <c r="S551" t="str">
        <f t="shared" si="335"/>
        <v>Sand</v>
      </c>
      <c r="T551">
        <f t="shared" si="362"/>
        <v>1</v>
      </c>
      <c r="AA551">
        <v>80</v>
      </c>
      <c r="AB551" s="1">
        <f t="shared" si="369"/>
        <v>9</v>
      </c>
      <c r="AC551">
        <f t="shared" si="370"/>
        <v>7</v>
      </c>
      <c r="AD551" t="str">
        <f t="shared" si="363"/>
        <v/>
      </c>
      <c r="AG551" s="21" t="str">
        <f t="shared" si="341"/>
        <v/>
      </c>
      <c r="AI551" s="6" t="str">
        <f t="shared" si="342"/>
        <v/>
      </c>
      <c r="AM551" s="7" t="str">
        <f t="shared" si="343"/>
        <v/>
      </c>
      <c r="AQ551" s="8" t="str">
        <f t="shared" si="344"/>
        <v/>
      </c>
      <c r="AW551" s="25" t="str">
        <f t="shared" si="345"/>
        <v/>
      </c>
      <c r="AZ551" s="12" t="str">
        <f t="shared" si="346"/>
        <v/>
      </c>
      <c r="BI551" s="17" t="str">
        <f t="shared" si="347"/>
        <v/>
      </c>
      <c r="BM551" t="str">
        <f t="shared" si="348"/>
        <v>SPT Relationship</v>
      </c>
      <c r="BN551">
        <f t="shared" si="336"/>
        <v>114</v>
      </c>
      <c r="BO551" t="str">
        <f t="shared" si="349"/>
        <v>Wolff, 1989</v>
      </c>
      <c r="BP551">
        <f t="shared" si="371"/>
        <v>29</v>
      </c>
      <c r="BQ551" t="str">
        <f t="shared" si="350"/>
        <v/>
      </c>
      <c r="BR551" t="str">
        <f t="shared" si="364"/>
        <v/>
      </c>
      <c r="BS551" t="str">
        <f t="shared" si="351"/>
        <v/>
      </c>
      <c r="BT551" t="str">
        <f t="shared" si="372"/>
        <v/>
      </c>
      <c r="BU551" t="str">
        <f t="shared" si="352"/>
        <v/>
      </c>
      <c r="BV551" t="str">
        <f t="shared" si="365"/>
        <v/>
      </c>
      <c r="BW551" t="str">
        <f t="shared" si="353"/>
        <v/>
      </c>
      <c r="BX551" t="str">
        <f t="shared" si="366"/>
        <v/>
      </c>
      <c r="BY551" t="str">
        <f t="shared" si="354"/>
        <v/>
      </c>
      <c r="BZ551" t="str">
        <f t="shared" si="367"/>
        <v/>
      </c>
      <c r="CA551" t="str">
        <f t="shared" si="355"/>
        <v/>
      </c>
      <c r="CB551" t="str">
        <f t="shared" si="337"/>
        <v/>
      </c>
      <c r="CC551" t="str">
        <f t="shared" si="356"/>
        <v/>
      </c>
      <c r="CD551" t="str">
        <f t="shared" si="338"/>
        <v/>
      </c>
      <c r="CE551" t="str">
        <f t="shared" si="357"/>
        <v>Bowles 5th edition</v>
      </c>
      <c r="CF551">
        <f t="shared" si="339"/>
        <v>154</v>
      </c>
      <c r="CG551" t="str">
        <f t="shared" si="358"/>
        <v/>
      </c>
      <c r="CH551" t="str">
        <f t="shared" si="340"/>
        <v/>
      </c>
      <c r="CI551" t="str">
        <f t="shared" si="359"/>
        <v/>
      </c>
      <c r="CJ551" t="str">
        <f t="shared" si="368"/>
        <v/>
      </c>
    </row>
    <row r="552" spans="2:88" x14ac:dyDescent="0.3">
      <c r="B552" t="str">
        <f t="shared" si="360"/>
        <v>36.823332-76.076363</v>
      </c>
      <c r="C552" s="30" t="s">
        <v>143</v>
      </c>
      <c r="D552">
        <v>36.823332000000001</v>
      </c>
      <c r="E552">
        <v>-76.076363000000001</v>
      </c>
      <c r="F552">
        <v>5</v>
      </c>
      <c r="G552" t="str">
        <f t="shared" si="361"/>
        <v>-23-2536.823332-76.076363</v>
      </c>
      <c r="H552">
        <v>-23</v>
      </c>
      <c r="I552">
        <v>-25</v>
      </c>
      <c r="J552" s="30" t="s">
        <v>21</v>
      </c>
      <c r="L552" t="s">
        <v>8</v>
      </c>
      <c r="M552">
        <v>2</v>
      </c>
      <c r="S552" t="str">
        <f t="shared" ref="S552:S615" si="373">IF(OR(L552="CL",L552="CH",L552="CL_ML"),"Clay",IF(OR(L552="SM",L552="SC",L552="SP",L552="SP-SM",L552="SP-SC",L552="SC-SM",L552="SW",L552="SW-SM"),"Sand",IF(OR(L552="GP", L552="GM",L552="GC", L552="GP-GM",L552="GW"),"Gravel",IF(OR(L552="ML",L552="MH"),"Silt",IF(OR(L552="OL",L552="OH",L552="PT"),"Organic")))))</f>
        <v>Sand</v>
      </c>
      <c r="T552">
        <f t="shared" si="362"/>
        <v>1</v>
      </c>
      <c r="AA552">
        <v>80</v>
      </c>
      <c r="AB552" s="1">
        <f t="shared" si="369"/>
        <v>3</v>
      </c>
      <c r="AC552">
        <f t="shared" si="370"/>
        <v>2</v>
      </c>
      <c r="AD552" t="str">
        <f t="shared" si="363"/>
        <v/>
      </c>
      <c r="AG552" s="21" t="str">
        <f t="shared" si="341"/>
        <v/>
      </c>
      <c r="AI552" s="6" t="str">
        <f t="shared" si="342"/>
        <v/>
      </c>
      <c r="AM552" s="7" t="str">
        <f t="shared" si="343"/>
        <v/>
      </c>
      <c r="AQ552" s="8" t="str">
        <f t="shared" si="344"/>
        <v/>
      </c>
      <c r="AW552" s="25" t="str">
        <f t="shared" si="345"/>
        <v/>
      </c>
      <c r="AZ552" s="12" t="str">
        <f t="shared" si="346"/>
        <v/>
      </c>
      <c r="BI552" s="17" t="str">
        <f t="shared" si="347"/>
        <v/>
      </c>
      <c r="BM552" t="str">
        <f t="shared" si="348"/>
        <v>SPT Relationship</v>
      </c>
      <c r="BN552">
        <f t="shared" si="336"/>
        <v>101</v>
      </c>
      <c r="BO552" t="str">
        <f t="shared" si="349"/>
        <v>Wolff, 1989</v>
      </c>
      <c r="BP552">
        <f t="shared" si="371"/>
        <v>27</v>
      </c>
      <c r="BQ552" t="str">
        <f t="shared" si="350"/>
        <v/>
      </c>
      <c r="BR552" t="str">
        <f t="shared" si="364"/>
        <v/>
      </c>
      <c r="BS552" t="str">
        <f t="shared" si="351"/>
        <v/>
      </c>
      <c r="BT552" t="str">
        <f t="shared" si="372"/>
        <v/>
      </c>
      <c r="BU552" t="str">
        <f t="shared" si="352"/>
        <v/>
      </c>
      <c r="BV552" t="str">
        <f t="shared" si="365"/>
        <v/>
      </c>
      <c r="BW552" t="str">
        <f t="shared" si="353"/>
        <v/>
      </c>
      <c r="BX552" t="str">
        <f t="shared" si="366"/>
        <v/>
      </c>
      <c r="BY552" t="str">
        <f t="shared" si="354"/>
        <v/>
      </c>
      <c r="BZ552" t="str">
        <f t="shared" si="367"/>
        <v/>
      </c>
      <c r="CA552" t="str">
        <f t="shared" si="355"/>
        <v/>
      </c>
      <c r="CB552" t="str">
        <f t="shared" si="337"/>
        <v/>
      </c>
      <c r="CC552" t="str">
        <f t="shared" si="356"/>
        <v/>
      </c>
      <c r="CD552" t="str">
        <f t="shared" si="338"/>
        <v/>
      </c>
      <c r="CE552" t="str">
        <f t="shared" si="357"/>
        <v>Bowles 5th edition</v>
      </c>
      <c r="CF552">
        <f t="shared" si="339"/>
        <v>115</v>
      </c>
      <c r="CG552" t="str">
        <f t="shared" si="358"/>
        <v/>
      </c>
      <c r="CH552" t="str">
        <f t="shared" si="340"/>
        <v/>
      </c>
      <c r="CI552" t="str">
        <f t="shared" si="359"/>
        <v/>
      </c>
      <c r="CJ552" t="str">
        <f t="shared" si="368"/>
        <v/>
      </c>
    </row>
    <row r="553" spans="2:88" x14ac:dyDescent="0.3">
      <c r="B553" t="str">
        <f t="shared" si="360"/>
        <v>36.823885-76.074754</v>
      </c>
      <c r="C553" s="30" t="s">
        <v>144</v>
      </c>
      <c r="D553">
        <v>36.823884999999997</v>
      </c>
      <c r="E553">
        <v>-76.074753999999999</v>
      </c>
      <c r="F553">
        <v>5</v>
      </c>
      <c r="G553" t="str">
        <f t="shared" si="361"/>
        <v>5336.823885-76.074754</v>
      </c>
      <c r="H553">
        <v>5</v>
      </c>
      <c r="I553">
        <v>3</v>
      </c>
      <c r="J553" s="30" t="s">
        <v>21</v>
      </c>
      <c r="L553" t="s">
        <v>17</v>
      </c>
      <c r="M553">
        <v>7</v>
      </c>
      <c r="S553" t="str">
        <f t="shared" si="373"/>
        <v>Sand</v>
      </c>
      <c r="T553">
        <f t="shared" si="362"/>
        <v>1</v>
      </c>
      <c r="AA553">
        <v>80</v>
      </c>
      <c r="AB553" s="1">
        <f t="shared" si="369"/>
        <v>9</v>
      </c>
      <c r="AC553">
        <f t="shared" si="370"/>
        <v>27</v>
      </c>
      <c r="AD553" t="str">
        <f t="shared" si="363"/>
        <v/>
      </c>
      <c r="AG553" s="21" t="str">
        <f t="shared" si="341"/>
        <v/>
      </c>
      <c r="AI553" s="6" t="str">
        <f t="shared" si="342"/>
        <v/>
      </c>
      <c r="AM553" s="7" t="str">
        <f t="shared" si="343"/>
        <v/>
      </c>
      <c r="AQ553" s="8" t="str">
        <f t="shared" si="344"/>
        <v/>
      </c>
      <c r="AW553" s="25" t="str">
        <f t="shared" si="345"/>
        <v/>
      </c>
      <c r="AZ553" s="12" t="str">
        <f t="shared" si="346"/>
        <v/>
      </c>
      <c r="BI553" s="17" t="str">
        <f t="shared" si="347"/>
        <v/>
      </c>
      <c r="BM553" t="str">
        <f t="shared" si="348"/>
        <v>SPT Relationship</v>
      </c>
      <c r="BN553">
        <f t="shared" si="336"/>
        <v>114</v>
      </c>
      <c r="BO553" t="str">
        <f t="shared" si="349"/>
        <v>Wolff, 1989</v>
      </c>
      <c r="BP553">
        <f t="shared" si="371"/>
        <v>34</v>
      </c>
      <c r="BQ553" t="str">
        <f t="shared" si="350"/>
        <v/>
      </c>
      <c r="BR553" t="str">
        <f t="shared" si="364"/>
        <v/>
      </c>
      <c r="BS553" t="str">
        <f t="shared" si="351"/>
        <v/>
      </c>
      <c r="BT553" t="str">
        <f t="shared" si="372"/>
        <v/>
      </c>
      <c r="BU553" t="str">
        <f t="shared" si="352"/>
        <v/>
      </c>
      <c r="BV553" t="str">
        <f t="shared" si="365"/>
        <v/>
      </c>
      <c r="BW553" t="str">
        <f t="shared" si="353"/>
        <v/>
      </c>
      <c r="BX553" t="str">
        <f t="shared" si="366"/>
        <v/>
      </c>
      <c r="BY553" t="str">
        <f t="shared" si="354"/>
        <v/>
      </c>
      <c r="BZ553" t="str">
        <f t="shared" si="367"/>
        <v/>
      </c>
      <c r="CA553" t="str">
        <f t="shared" si="355"/>
        <v/>
      </c>
      <c r="CB553" t="str">
        <f t="shared" si="337"/>
        <v/>
      </c>
      <c r="CC553" t="str">
        <f t="shared" si="356"/>
        <v/>
      </c>
      <c r="CD553" t="str">
        <f t="shared" si="338"/>
        <v/>
      </c>
      <c r="CE553" t="str">
        <f t="shared" si="357"/>
        <v>Bowles 5th edition</v>
      </c>
      <c r="CF553">
        <f t="shared" si="339"/>
        <v>154</v>
      </c>
      <c r="CG553" t="str">
        <f t="shared" si="358"/>
        <v/>
      </c>
      <c r="CH553" t="str">
        <f t="shared" si="340"/>
        <v/>
      </c>
      <c r="CI553" t="str">
        <f t="shared" si="359"/>
        <v/>
      </c>
      <c r="CJ553" t="str">
        <f t="shared" si="368"/>
        <v/>
      </c>
    </row>
    <row r="554" spans="2:88" x14ac:dyDescent="0.3">
      <c r="B554" t="str">
        <f t="shared" si="360"/>
        <v>36.823885-76.074754</v>
      </c>
      <c r="C554" s="30" t="s">
        <v>144</v>
      </c>
      <c r="D554">
        <v>36.823884999999997</v>
      </c>
      <c r="E554">
        <v>-76.074753999999999</v>
      </c>
      <c r="F554">
        <v>5</v>
      </c>
      <c r="G554" t="str">
        <f t="shared" si="361"/>
        <v>3136.823885-76.074754</v>
      </c>
      <c r="H554">
        <v>3</v>
      </c>
      <c r="I554">
        <v>1</v>
      </c>
      <c r="J554" s="30" t="s">
        <v>21</v>
      </c>
      <c r="L554" t="s">
        <v>17</v>
      </c>
      <c r="M554">
        <v>13</v>
      </c>
      <c r="S554" t="str">
        <f t="shared" si="373"/>
        <v>Sand</v>
      </c>
      <c r="T554">
        <f t="shared" si="362"/>
        <v>1</v>
      </c>
      <c r="AA554">
        <v>80</v>
      </c>
      <c r="AB554" s="1">
        <f t="shared" si="369"/>
        <v>17</v>
      </c>
      <c r="AC554">
        <f t="shared" si="370"/>
        <v>37</v>
      </c>
      <c r="AD554" t="str">
        <f t="shared" si="363"/>
        <v/>
      </c>
      <c r="AG554" s="21" t="str">
        <f t="shared" si="341"/>
        <v/>
      </c>
      <c r="AI554" s="6" t="str">
        <f t="shared" si="342"/>
        <v/>
      </c>
      <c r="AM554" s="7" t="str">
        <f t="shared" si="343"/>
        <v/>
      </c>
      <c r="AQ554" s="8" t="str">
        <f t="shared" si="344"/>
        <v/>
      </c>
      <c r="AW554" s="25" t="str">
        <f t="shared" si="345"/>
        <v/>
      </c>
      <c r="AZ554" s="12" t="str">
        <f t="shared" si="346"/>
        <v/>
      </c>
      <c r="BI554" s="17" t="str">
        <f t="shared" si="347"/>
        <v/>
      </c>
      <c r="BM554" t="str">
        <f t="shared" si="348"/>
        <v>SPT Relationship</v>
      </c>
      <c r="BN554">
        <f t="shared" si="336"/>
        <v>121</v>
      </c>
      <c r="BO554" t="str">
        <f t="shared" si="349"/>
        <v>Wolff, 1989</v>
      </c>
      <c r="BP554">
        <f t="shared" si="371"/>
        <v>37</v>
      </c>
      <c r="BQ554" t="str">
        <f t="shared" si="350"/>
        <v/>
      </c>
      <c r="BR554" t="str">
        <f t="shared" si="364"/>
        <v/>
      </c>
      <c r="BS554" t="str">
        <f t="shared" si="351"/>
        <v/>
      </c>
      <c r="BT554" t="str">
        <f t="shared" si="372"/>
        <v/>
      </c>
      <c r="BU554" t="str">
        <f t="shared" si="352"/>
        <v/>
      </c>
      <c r="BV554" t="str">
        <f t="shared" si="365"/>
        <v/>
      </c>
      <c r="BW554" t="str">
        <f t="shared" si="353"/>
        <v/>
      </c>
      <c r="BX554" t="str">
        <f t="shared" si="366"/>
        <v/>
      </c>
      <c r="BY554" t="str">
        <f t="shared" si="354"/>
        <v/>
      </c>
      <c r="BZ554" t="str">
        <f t="shared" si="367"/>
        <v/>
      </c>
      <c r="CA554" t="str">
        <f t="shared" si="355"/>
        <v/>
      </c>
      <c r="CB554" t="str">
        <f t="shared" si="337"/>
        <v/>
      </c>
      <c r="CC554" t="str">
        <f t="shared" si="356"/>
        <v/>
      </c>
      <c r="CD554" t="str">
        <f t="shared" si="338"/>
        <v/>
      </c>
      <c r="CE554" t="str">
        <f t="shared" si="357"/>
        <v>Bowles 5th edition</v>
      </c>
      <c r="CF554">
        <f t="shared" si="339"/>
        <v>205</v>
      </c>
      <c r="CG554" t="str">
        <f t="shared" si="358"/>
        <v/>
      </c>
      <c r="CH554" t="str">
        <f t="shared" si="340"/>
        <v/>
      </c>
      <c r="CI554" t="str">
        <f t="shared" si="359"/>
        <v/>
      </c>
      <c r="CJ554" t="str">
        <f t="shared" si="368"/>
        <v/>
      </c>
    </row>
    <row r="555" spans="2:88" x14ac:dyDescent="0.3">
      <c r="B555" t="str">
        <f t="shared" si="360"/>
        <v>36.823885-76.074754</v>
      </c>
      <c r="C555" s="30" t="s">
        <v>144</v>
      </c>
      <c r="D555">
        <v>36.823884999999997</v>
      </c>
      <c r="E555">
        <v>-76.074753999999999</v>
      </c>
      <c r="F555">
        <v>5</v>
      </c>
      <c r="G555" t="str">
        <f t="shared" si="361"/>
        <v>1-136.823885-76.074754</v>
      </c>
      <c r="H555">
        <v>1</v>
      </c>
      <c r="I555">
        <v>-1</v>
      </c>
      <c r="J555" s="30" t="s">
        <v>21</v>
      </c>
      <c r="L555" t="s">
        <v>16</v>
      </c>
      <c r="M555">
        <v>18</v>
      </c>
      <c r="S555" t="str">
        <f t="shared" si="373"/>
        <v>Sand</v>
      </c>
      <c r="T555">
        <f t="shared" si="362"/>
        <v>1</v>
      </c>
      <c r="AA555">
        <v>80</v>
      </c>
      <c r="AB555" s="1">
        <f t="shared" si="369"/>
        <v>24</v>
      </c>
      <c r="AC555">
        <f t="shared" si="370"/>
        <v>42</v>
      </c>
      <c r="AD555" t="str">
        <f t="shared" si="363"/>
        <v/>
      </c>
      <c r="AG555" s="21" t="str">
        <f t="shared" si="341"/>
        <v/>
      </c>
      <c r="AI555" s="6" t="str">
        <f t="shared" si="342"/>
        <v/>
      </c>
      <c r="AM555" s="7" t="str">
        <f t="shared" si="343"/>
        <v/>
      </c>
      <c r="AQ555" s="8" t="str">
        <f t="shared" si="344"/>
        <v/>
      </c>
      <c r="AW555" s="25" t="str">
        <f t="shared" si="345"/>
        <v/>
      </c>
      <c r="AZ555" s="12" t="str">
        <f t="shared" si="346"/>
        <v/>
      </c>
      <c r="BI555" s="17" t="str">
        <f t="shared" si="347"/>
        <v/>
      </c>
      <c r="BM555" t="str">
        <f t="shared" si="348"/>
        <v>SPT Relationship</v>
      </c>
      <c r="BN555">
        <f t="shared" si="336"/>
        <v>125</v>
      </c>
      <c r="BO555" t="str">
        <f t="shared" si="349"/>
        <v>Wolff, 1989</v>
      </c>
      <c r="BP555">
        <f t="shared" si="371"/>
        <v>38</v>
      </c>
      <c r="BQ555" t="str">
        <f t="shared" si="350"/>
        <v/>
      </c>
      <c r="BR555" t="str">
        <f t="shared" si="364"/>
        <v/>
      </c>
      <c r="BS555" t="str">
        <f t="shared" si="351"/>
        <v/>
      </c>
      <c r="BT555" t="str">
        <f t="shared" si="372"/>
        <v/>
      </c>
      <c r="BU555" t="str">
        <f t="shared" si="352"/>
        <v/>
      </c>
      <c r="BV555" t="str">
        <f t="shared" si="365"/>
        <v/>
      </c>
      <c r="BW555" t="str">
        <f t="shared" si="353"/>
        <v/>
      </c>
      <c r="BX555" t="str">
        <f t="shared" si="366"/>
        <v/>
      </c>
      <c r="BY555" t="str">
        <f t="shared" si="354"/>
        <v/>
      </c>
      <c r="BZ555" t="str">
        <f t="shared" si="367"/>
        <v/>
      </c>
      <c r="CA555" t="str">
        <f t="shared" si="355"/>
        <v/>
      </c>
      <c r="CB555" t="str">
        <f t="shared" si="337"/>
        <v/>
      </c>
      <c r="CC555" t="str">
        <f t="shared" si="356"/>
        <v/>
      </c>
      <c r="CD555" t="str">
        <f t="shared" si="338"/>
        <v/>
      </c>
      <c r="CE555" t="str">
        <f t="shared" si="357"/>
        <v>Bowles 5th edition</v>
      </c>
      <c r="CF555">
        <f t="shared" si="339"/>
        <v>250</v>
      </c>
      <c r="CG555" t="str">
        <f t="shared" si="358"/>
        <v/>
      </c>
      <c r="CH555" t="str">
        <f t="shared" si="340"/>
        <v/>
      </c>
      <c r="CI555" t="str">
        <f t="shared" si="359"/>
        <v/>
      </c>
      <c r="CJ555" t="str">
        <f t="shared" si="368"/>
        <v/>
      </c>
    </row>
    <row r="556" spans="2:88" x14ac:dyDescent="0.3">
      <c r="B556" t="str">
        <f t="shared" si="360"/>
        <v>36.823885-76.074754</v>
      </c>
      <c r="C556" s="30" t="s">
        <v>144</v>
      </c>
      <c r="D556">
        <v>36.823884999999997</v>
      </c>
      <c r="E556">
        <v>-76.074753999999999</v>
      </c>
      <c r="F556">
        <v>5</v>
      </c>
      <c r="G556" t="str">
        <f t="shared" si="361"/>
        <v>-1-336.823885-76.074754</v>
      </c>
      <c r="H556">
        <v>-1</v>
      </c>
      <c r="I556">
        <v>-3</v>
      </c>
      <c r="J556" s="30" t="s">
        <v>21</v>
      </c>
      <c r="L556" t="s">
        <v>17</v>
      </c>
      <c r="M556">
        <v>5</v>
      </c>
      <c r="S556" t="str">
        <f t="shared" si="373"/>
        <v>Sand</v>
      </c>
      <c r="T556">
        <f t="shared" si="362"/>
        <v>1</v>
      </c>
      <c r="AA556">
        <v>80</v>
      </c>
      <c r="AB556" s="1">
        <f t="shared" si="369"/>
        <v>7</v>
      </c>
      <c r="AC556">
        <f t="shared" si="370"/>
        <v>10</v>
      </c>
      <c r="AD556" t="str">
        <f t="shared" si="363"/>
        <v/>
      </c>
      <c r="AG556" s="21" t="str">
        <f t="shared" si="341"/>
        <v/>
      </c>
      <c r="AI556" s="6" t="str">
        <f t="shared" si="342"/>
        <v/>
      </c>
      <c r="AM556" s="7" t="str">
        <f t="shared" si="343"/>
        <v/>
      </c>
      <c r="AQ556" s="8" t="str">
        <f t="shared" si="344"/>
        <v/>
      </c>
      <c r="AW556" s="25" t="str">
        <f t="shared" si="345"/>
        <v/>
      </c>
      <c r="AZ556" s="12" t="str">
        <f t="shared" si="346"/>
        <v/>
      </c>
      <c r="BI556" s="17" t="str">
        <f t="shared" si="347"/>
        <v/>
      </c>
      <c r="BM556" t="str">
        <f t="shared" si="348"/>
        <v>SPT Relationship</v>
      </c>
      <c r="BN556">
        <f t="shared" si="336"/>
        <v>111</v>
      </c>
      <c r="BO556" t="str">
        <f t="shared" si="349"/>
        <v>Wolff, 1989</v>
      </c>
      <c r="BP556">
        <f t="shared" si="371"/>
        <v>30</v>
      </c>
      <c r="BQ556" t="str">
        <f t="shared" si="350"/>
        <v/>
      </c>
      <c r="BR556" t="str">
        <f t="shared" si="364"/>
        <v/>
      </c>
      <c r="BS556" t="str">
        <f t="shared" si="351"/>
        <v/>
      </c>
      <c r="BT556" t="str">
        <f t="shared" si="372"/>
        <v/>
      </c>
      <c r="BU556" t="str">
        <f t="shared" si="352"/>
        <v/>
      </c>
      <c r="BV556" t="str">
        <f t="shared" si="365"/>
        <v/>
      </c>
      <c r="BW556" t="str">
        <f t="shared" si="353"/>
        <v/>
      </c>
      <c r="BX556" t="str">
        <f t="shared" si="366"/>
        <v/>
      </c>
      <c r="BY556" t="str">
        <f t="shared" si="354"/>
        <v/>
      </c>
      <c r="BZ556" t="str">
        <f t="shared" si="367"/>
        <v/>
      </c>
      <c r="CA556" t="str">
        <f t="shared" si="355"/>
        <v/>
      </c>
      <c r="CB556" t="str">
        <f t="shared" si="337"/>
        <v/>
      </c>
      <c r="CC556" t="str">
        <f t="shared" si="356"/>
        <v/>
      </c>
      <c r="CD556" t="str">
        <f t="shared" si="338"/>
        <v/>
      </c>
      <c r="CE556" t="str">
        <f t="shared" si="357"/>
        <v>Bowles 5th edition</v>
      </c>
      <c r="CF556">
        <f t="shared" si="339"/>
        <v>141</v>
      </c>
      <c r="CG556" t="str">
        <f t="shared" si="358"/>
        <v/>
      </c>
      <c r="CH556" t="str">
        <f t="shared" si="340"/>
        <v/>
      </c>
      <c r="CI556" t="str">
        <f t="shared" si="359"/>
        <v/>
      </c>
      <c r="CJ556" t="str">
        <f t="shared" si="368"/>
        <v/>
      </c>
    </row>
    <row r="557" spans="2:88" x14ac:dyDescent="0.3">
      <c r="B557" t="str">
        <f t="shared" si="360"/>
        <v>36.823885-76.074754</v>
      </c>
      <c r="C557" s="30" t="s">
        <v>144</v>
      </c>
      <c r="D557">
        <v>36.823884999999997</v>
      </c>
      <c r="E557">
        <v>-76.074753999999999</v>
      </c>
      <c r="F557">
        <v>5</v>
      </c>
      <c r="G557" t="str">
        <f t="shared" si="361"/>
        <v>-3-536.823885-76.074754</v>
      </c>
      <c r="H557">
        <v>-3</v>
      </c>
      <c r="I557">
        <v>-5</v>
      </c>
      <c r="J557" s="30" t="s">
        <v>21</v>
      </c>
      <c r="L557" t="s">
        <v>113</v>
      </c>
      <c r="M557">
        <v>2</v>
      </c>
      <c r="S557" t="str">
        <f t="shared" si="373"/>
        <v>Clay</v>
      </c>
      <c r="T557">
        <f t="shared" si="362"/>
        <v>1</v>
      </c>
      <c r="AA557">
        <v>80</v>
      </c>
      <c r="AB557" s="1">
        <f t="shared" si="369"/>
        <v>3</v>
      </c>
      <c r="AC557">
        <f t="shared" si="370"/>
        <v>4</v>
      </c>
      <c r="AD557" t="str">
        <f t="shared" si="363"/>
        <v/>
      </c>
      <c r="AG557" s="21" t="str">
        <f t="shared" si="341"/>
        <v/>
      </c>
      <c r="AI557" s="6" t="str">
        <f t="shared" si="342"/>
        <v/>
      </c>
      <c r="AM557" s="7" t="str">
        <f t="shared" si="343"/>
        <v/>
      </c>
      <c r="AQ557" s="8" t="str">
        <f t="shared" si="344"/>
        <v/>
      </c>
      <c r="AW557" s="25" t="str">
        <f t="shared" si="345"/>
        <v/>
      </c>
      <c r="AZ557" s="12" t="str">
        <f t="shared" si="346"/>
        <v/>
      </c>
      <c r="BI557" s="17" t="str">
        <f t="shared" si="347"/>
        <v/>
      </c>
      <c r="BM557" t="str">
        <f t="shared" si="348"/>
        <v>SPT Relationship</v>
      </c>
      <c r="BN557">
        <f t="shared" si="336"/>
        <v>101</v>
      </c>
      <c r="BO557" t="str">
        <f t="shared" si="349"/>
        <v>Wolff, 1989</v>
      </c>
      <c r="BP557">
        <f t="shared" si="371"/>
        <v>28</v>
      </c>
      <c r="BQ557" t="str">
        <f t="shared" si="350"/>
        <v/>
      </c>
      <c r="BR557" t="str">
        <f t="shared" si="364"/>
        <v/>
      </c>
      <c r="BS557" t="str">
        <f t="shared" si="351"/>
        <v>Stroud 1974 (K=3.5)</v>
      </c>
      <c r="BT557">
        <f t="shared" si="372"/>
        <v>219</v>
      </c>
      <c r="BU557" t="str">
        <f t="shared" si="352"/>
        <v/>
      </c>
      <c r="BV557" t="str">
        <f t="shared" si="365"/>
        <v/>
      </c>
      <c r="BW557" t="str">
        <f t="shared" si="353"/>
        <v/>
      </c>
      <c r="BX557" t="str">
        <f t="shared" si="366"/>
        <v/>
      </c>
      <c r="BY557" t="str">
        <f t="shared" si="354"/>
        <v/>
      </c>
      <c r="BZ557" t="str">
        <f t="shared" si="367"/>
        <v/>
      </c>
      <c r="CA557" t="str">
        <f t="shared" si="355"/>
        <v/>
      </c>
      <c r="CB557" t="str">
        <f t="shared" si="337"/>
        <v/>
      </c>
      <c r="CC557" t="str">
        <f t="shared" si="356"/>
        <v/>
      </c>
      <c r="CD557" t="str">
        <f t="shared" si="338"/>
        <v/>
      </c>
      <c r="CE557" t="str">
        <f t="shared" si="357"/>
        <v/>
      </c>
      <c r="CF557" t="str">
        <f t="shared" si="339"/>
        <v/>
      </c>
      <c r="CG557" t="str">
        <f t="shared" si="358"/>
        <v/>
      </c>
      <c r="CH557" t="str">
        <f t="shared" si="340"/>
        <v/>
      </c>
      <c r="CI557" t="str">
        <f t="shared" si="359"/>
        <v/>
      </c>
      <c r="CJ557" t="str">
        <f t="shared" si="368"/>
        <v/>
      </c>
    </row>
    <row r="558" spans="2:88" x14ac:dyDescent="0.3">
      <c r="B558" t="str">
        <f t="shared" si="360"/>
        <v>36.823885-76.074754</v>
      </c>
      <c r="C558" s="30" t="s">
        <v>144</v>
      </c>
      <c r="D558">
        <v>36.823884999999997</v>
      </c>
      <c r="E558">
        <v>-76.074753999999999</v>
      </c>
      <c r="F558">
        <v>5</v>
      </c>
      <c r="G558" t="str">
        <f t="shared" si="361"/>
        <v>-5-736.823885-76.074754</v>
      </c>
      <c r="H558">
        <v>-5</v>
      </c>
      <c r="I558">
        <v>-7</v>
      </c>
      <c r="J558" s="30" t="s">
        <v>21</v>
      </c>
      <c r="L558" t="s">
        <v>8</v>
      </c>
      <c r="M558">
        <v>1</v>
      </c>
      <c r="S558" t="str">
        <f t="shared" si="373"/>
        <v>Sand</v>
      </c>
      <c r="T558">
        <f t="shared" si="362"/>
        <v>1</v>
      </c>
      <c r="AA558">
        <v>80</v>
      </c>
      <c r="AB558" s="1">
        <f t="shared" si="369"/>
        <v>1</v>
      </c>
      <c r="AC558">
        <f t="shared" si="370"/>
        <v>1</v>
      </c>
      <c r="AD558" t="str">
        <f t="shared" si="363"/>
        <v/>
      </c>
      <c r="AG558" s="21" t="str">
        <f t="shared" si="341"/>
        <v/>
      </c>
      <c r="AI558" s="6" t="str">
        <f t="shared" si="342"/>
        <v/>
      </c>
      <c r="AM558" s="7" t="str">
        <f t="shared" si="343"/>
        <v/>
      </c>
      <c r="AQ558" s="8" t="str">
        <f t="shared" si="344"/>
        <v/>
      </c>
      <c r="AW558" s="25" t="str">
        <f t="shared" si="345"/>
        <v/>
      </c>
      <c r="AZ558" s="12" t="str">
        <f t="shared" si="346"/>
        <v/>
      </c>
      <c r="BI558" s="17" t="str">
        <f t="shared" si="347"/>
        <v/>
      </c>
      <c r="BM558" t="str">
        <f t="shared" si="348"/>
        <v>SPT Relationship</v>
      </c>
      <c r="BN558">
        <f t="shared" si="336"/>
        <v>95</v>
      </c>
      <c r="BO558" t="str">
        <f t="shared" si="349"/>
        <v>Wolff, 1989</v>
      </c>
      <c r="BP558">
        <f t="shared" si="371"/>
        <v>27</v>
      </c>
      <c r="BQ558" t="str">
        <f t="shared" si="350"/>
        <v/>
      </c>
      <c r="BR558" t="str">
        <f t="shared" si="364"/>
        <v/>
      </c>
      <c r="BS558" t="str">
        <f t="shared" si="351"/>
        <v/>
      </c>
      <c r="BT558" t="str">
        <f t="shared" si="372"/>
        <v/>
      </c>
      <c r="BU558" t="str">
        <f t="shared" si="352"/>
        <v/>
      </c>
      <c r="BV558" t="str">
        <f t="shared" si="365"/>
        <v/>
      </c>
      <c r="BW558" t="str">
        <f t="shared" si="353"/>
        <v/>
      </c>
      <c r="BX558" t="str">
        <f t="shared" si="366"/>
        <v/>
      </c>
      <c r="BY558" t="str">
        <f t="shared" si="354"/>
        <v/>
      </c>
      <c r="BZ558" t="str">
        <f t="shared" si="367"/>
        <v/>
      </c>
      <c r="CA558" t="str">
        <f t="shared" si="355"/>
        <v/>
      </c>
      <c r="CB558" t="str">
        <f t="shared" si="337"/>
        <v/>
      </c>
      <c r="CC558" t="str">
        <f t="shared" si="356"/>
        <v/>
      </c>
      <c r="CD558" t="str">
        <f t="shared" si="338"/>
        <v/>
      </c>
      <c r="CE558" t="str">
        <f t="shared" si="357"/>
        <v>Bowles 5th edition</v>
      </c>
      <c r="CF558">
        <f t="shared" si="339"/>
        <v>102</v>
      </c>
      <c r="CG558" t="str">
        <f t="shared" si="358"/>
        <v/>
      </c>
      <c r="CH558" t="str">
        <f t="shared" si="340"/>
        <v/>
      </c>
      <c r="CI558" t="str">
        <f t="shared" si="359"/>
        <v/>
      </c>
      <c r="CJ558" t="str">
        <f t="shared" si="368"/>
        <v/>
      </c>
    </row>
    <row r="559" spans="2:88" x14ac:dyDescent="0.3">
      <c r="B559" t="str">
        <f t="shared" si="360"/>
        <v>36.823885-76.074754</v>
      </c>
      <c r="C559" s="30" t="s">
        <v>144</v>
      </c>
      <c r="D559">
        <v>36.823884999999997</v>
      </c>
      <c r="E559">
        <v>-76.074753999999999</v>
      </c>
      <c r="F559">
        <v>5</v>
      </c>
      <c r="G559" t="str">
        <f t="shared" si="361"/>
        <v>-8-1036.823885-76.074754</v>
      </c>
      <c r="H559">
        <v>-8</v>
      </c>
      <c r="I559">
        <v>-10</v>
      </c>
      <c r="J559" s="30" t="s">
        <v>21</v>
      </c>
      <c r="L559" t="s">
        <v>113</v>
      </c>
      <c r="M559">
        <v>1</v>
      </c>
      <c r="S559" t="str">
        <f t="shared" si="373"/>
        <v>Clay</v>
      </c>
      <c r="T559">
        <f t="shared" si="362"/>
        <v>1</v>
      </c>
      <c r="AA559">
        <v>80</v>
      </c>
      <c r="AB559" s="1">
        <f t="shared" si="369"/>
        <v>1</v>
      </c>
      <c r="AC559">
        <f t="shared" si="370"/>
        <v>1</v>
      </c>
      <c r="AD559" t="str">
        <f t="shared" si="363"/>
        <v/>
      </c>
      <c r="AG559" s="21" t="str">
        <f t="shared" si="341"/>
        <v/>
      </c>
      <c r="AI559" s="6" t="str">
        <f t="shared" si="342"/>
        <v/>
      </c>
      <c r="AM559" s="7" t="str">
        <f t="shared" si="343"/>
        <v/>
      </c>
      <c r="AQ559" s="8" t="str">
        <f t="shared" si="344"/>
        <v/>
      </c>
      <c r="AW559" s="25" t="str">
        <f t="shared" si="345"/>
        <v/>
      </c>
      <c r="AZ559" s="12" t="str">
        <f t="shared" si="346"/>
        <v/>
      </c>
      <c r="BI559" s="17" t="str">
        <f t="shared" si="347"/>
        <v/>
      </c>
      <c r="BM559" t="str">
        <f t="shared" si="348"/>
        <v>SPT Relationship</v>
      </c>
      <c r="BN559">
        <f t="shared" si="336"/>
        <v>95</v>
      </c>
      <c r="BO559" t="str">
        <f t="shared" si="349"/>
        <v>Wolff, 1989</v>
      </c>
      <c r="BP559">
        <f t="shared" si="371"/>
        <v>27</v>
      </c>
      <c r="BQ559" t="str">
        <f t="shared" si="350"/>
        <v/>
      </c>
      <c r="BR559" t="str">
        <f t="shared" si="364"/>
        <v/>
      </c>
      <c r="BS559" t="str">
        <f t="shared" si="351"/>
        <v>Stroud 1974 (K=3.5)</v>
      </c>
      <c r="BT559">
        <f t="shared" si="372"/>
        <v>73</v>
      </c>
      <c r="BU559" t="str">
        <f t="shared" si="352"/>
        <v/>
      </c>
      <c r="BV559" t="str">
        <f t="shared" si="365"/>
        <v/>
      </c>
      <c r="BW559" t="str">
        <f t="shared" si="353"/>
        <v/>
      </c>
      <c r="BX559" t="str">
        <f t="shared" si="366"/>
        <v/>
      </c>
      <c r="BY559" t="str">
        <f t="shared" si="354"/>
        <v/>
      </c>
      <c r="BZ559" t="str">
        <f t="shared" si="367"/>
        <v/>
      </c>
      <c r="CA559" t="str">
        <f t="shared" si="355"/>
        <v/>
      </c>
      <c r="CB559" t="str">
        <f t="shared" si="337"/>
        <v/>
      </c>
      <c r="CC559" t="str">
        <f t="shared" si="356"/>
        <v/>
      </c>
      <c r="CD559" t="str">
        <f t="shared" si="338"/>
        <v/>
      </c>
      <c r="CE559" t="str">
        <f t="shared" si="357"/>
        <v/>
      </c>
      <c r="CF559" t="str">
        <f t="shared" si="339"/>
        <v/>
      </c>
      <c r="CG559" t="str">
        <f t="shared" si="358"/>
        <v/>
      </c>
      <c r="CH559" t="str">
        <f t="shared" si="340"/>
        <v/>
      </c>
      <c r="CI559" t="str">
        <f t="shared" si="359"/>
        <v/>
      </c>
      <c r="CJ559" t="str">
        <f t="shared" si="368"/>
        <v/>
      </c>
    </row>
    <row r="560" spans="2:88" x14ac:dyDescent="0.3">
      <c r="B560" t="str">
        <f t="shared" si="360"/>
        <v>36.823885-76.074754</v>
      </c>
      <c r="C560" s="30" t="s">
        <v>144</v>
      </c>
      <c r="D560">
        <v>36.823884999999997</v>
      </c>
      <c r="E560">
        <v>-76.074753999999999</v>
      </c>
      <c r="F560">
        <v>5</v>
      </c>
      <c r="G560" t="str">
        <f t="shared" si="361"/>
        <v>-13-1536.823885-76.074754</v>
      </c>
      <c r="H560">
        <v>-13</v>
      </c>
      <c r="I560">
        <v>-15</v>
      </c>
      <c r="J560" s="30" t="s">
        <v>21</v>
      </c>
      <c r="L560" t="s">
        <v>17</v>
      </c>
      <c r="M560">
        <v>7</v>
      </c>
      <c r="S560" t="str">
        <f t="shared" si="373"/>
        <v>Sand</v>
      </c>
      <c r="T560">
        <f t="shared" si="362"/>
        <v>1</v>
      </c>
      <c r="AA560">
        <v>80</v>
      </c>
      <c r="AB560" s="1">
        <f t="shared" si="369"/>
        <v>9</v>
      </c>
      <c r="AC560">
        <f t="shared" si="370"/>
        <v>8</v>
      </c>
      <c r="AD560" t="str">
        <f t="shared" si="363"/>
        <v/>
      </c>
      <c r="AG560" s="21" t="str">
        <f t="shared" si="341"/>
        <v/>
      </c>
      <c r="AI560" s="6" t="str">
        <f t="shared" si="342"/>
        <v/>
      </c>
      <c r="AM560" s="7" t="str">
        <f t="shared" si="343"/>
        <v/>
      </c>
      <c r="AQ560" s="8" t="str">
        <f t="shared" si="344"/>
        <v/>
      </c>
      <c r="AW560" s="25" t="str">
        <f t="shared" si="345"/>
        <v/>
      </c>
      <c r="AZ560" s="12" t="str">
        <f t="shared" si="346"/>
        <v/>
      </c>
      <c r="BI560" s="17" t="str">
        <f t="shared" si="347"/>
        <v/>
      </c>
      <c r="BM560" t="str">
        <f t="shared" si="348"/>
        <v>SPT Relationship</v>
      </c>
      <c r="BN560">
        <f t="shared" si="336"/>
        <v>114</v>
      </c>
      <c r="BO560" t="str">
        <f t="shared" si="349"/>
        <v>Wolff, 1989</v>
      </c>
      <c r="BP560">
        <f t="shared" si="371"/>
        <v>29</v>
      </c>
      <c r="BQ560" t="str">
        <f t="shared" si="350"/>
        <v/>
      </c>
      <c r="BR560" t="str">
        <f t="shared" si="364"/>
        <v/>
      </c>
      <c r="BS560" t="str">
        <f t="shared" si="351"/>
        <v/>
      </c>
      <c r="BT560" t="str">
        <f t="shared" si="372"/>
        <v/>
      </c>
      <c r="BU560" t="str">
        <f t="shared" si="352"/>
        <v/>
      </c>
      <c r="BV560" t="str">
        <f t="shared" si="365"/>
        <v/>
      </c>
      <c r="BW560" t="str">
        <f t="shared" si="353"/>
        <v/>
      </c>
      <c r="BX560" t="str">
        <f t="shared" si="366"/>
        <v/>
      </c>
      <c r="BY560" t="str">
        <f t="shared" si="354"/>
        <v/>
      </c>
      <c r="BZ560" t="str">
        <f t="shared" si="367"/>
        <v/>
      </c>
      <c r="CA560" t="str">
        <f t="shared" si="355"/>
        <v/>
      </c>
      <c r="CB560" t="str">
        <f t="shared" si="337"/>
        <v/>
      </c>
      <c r="CC560" t="str">
        <f t="shared" si="356"/>
        <v/>
      </c>
      <c r="CD560" t="str">
        <f t="shared" si="338"/>
        <v/>
      </c>
      <c r="CE560" t="str">
        <f t="shared" si="357"/>
        <v>Bowles 5th edition</v>
      </c>
      <c r="CF560">
        <f t="shared" si="339"/>
        <v>154</v>
      </c>
      <c r="CG560" t="str">
        <f t="shared" si="358"/>
        <v/>
      </c>
      <c r="CH560" t="str">
        <f t="shared" si="340"/>
        <v/>
      </c>
      <c r="CI560" t="str">
        <f t="shared" si="359"/>
        <v/>
      </c>
      <c r="CJ560" t="str">
        <f t="shared" si="368"/>
        <v/>
      </c>
    </row>
    <row r="561" spans="2:88" x14ac:dyDescent="0.3">
      <c r="B561" t="str">
        <f t="shared" si="360"/>
        <v>36.823885-76.074754</v>
      </c>
      <c r="C561" s="30" t="s">
        <v>144</v>
      </c>
      <c r="D561">
        <v>36.823884999999997</v>
      </c>
      <c r="E561">
        <v>-76.074753999999999</v>
      </c>
      <c r="F561">
        <v>5</v>
      </c>
      <c r="G561" t="str">
        <f t="shared" si="361"/>
        <v>-18-2036.823885-76.074754</v>
      </c>
      <c r="H561">
        <v>-18</v>
      </c>
      <c r="I561">
        <v>-20</v>
      </c>
      <c r="J561" s="30" t="s">
        <v>21</v>
      </c>
      <c r="L561" t="s">
        <v>17</v>
      </c>
      <c r="M561">
        <v>5</v>
      </c>
      <c r="S561" t="str">
        <f t="shared" si="373"/>
        <v>Sand</v>
      </c>
      <c r="T561">
        <f t="shared" si="362"/>
        <v>1</v>
      </c>
      <c r="AA561">
        <v>80</v>
      </c>
      <c r="AB561" s="1">
        <f t="shared" si="369"/>
        <v>7</v>
      </c>
      <c r="AC561">
        <f t="shared" si="370"/>
        <v>6</v>
      </c>
      <c r="AD561" t="str">
        <f t="shared" si="363"/>
        <v/>
      </c>
      <c r="AG561" s="21" t="str">
        <f t="shared" si="341"/>
        <v/>
      </c>
      <c r="AI561" s="6" t="str">
        <f t="shared" si="342"/>
        <v/>
      </c>
      <c r="AM561" s="7" t="str">
        <f t="shared" si="343"/>
        <v/>
      </c>
      <c r="AQ561" s="8" t="str">
        <f t="shared" si="344"/>
        <v/>
      </c>
      <c r="AW561" s="25" t="str">
        <f t="shared" si="345"/>
        <v/>
      </c>
      <c r="AZ561" s="12" t="str">
        <f t="shared" si="346"/>
        <v/>
      </c>
      <c r="BI561" s="17" t="str">
        <f t="shared" si="347"/>
        <v/>
      </c>
      <c r="BM561" t="str">
        <f t="shared" si="348"/>
        <v>SPT Relationship</v>
      </c>
      <c r="BN561">
        <f t="shared" si="336"/>
        <v>111</v>
      </c>
      <c r="BO561" t="str">
        <f t="shared" si="349"/>
        <v>Wolff, 1989</v>
      </c>
      <c r="BP561">
        <f t="shared" si="371"/>
        <v>28</v>
      </c>
      <c r="BQ561" t="str">
        <f t="shared" si="350"/>
        <v/>
      </c>
      <c r="BR561" t="str">
        <f t="shared" si="364"/>
        <v/>
      </c>
      <c r="BS561" t="str">
        <f t="shared" si="351"/>
        <v/>
      </c>
      <c r="BT561" t="str">
        <f t="shared" si="372"/>
        <v/>
      </c>
      <c r="BU561" t="str">
        <f t="shared" si="352"/>
        <v/>
      </c>
      <c r="BV561" t="str">
        <f t="shared" si="365"/>
        <v/>
      </c>
      <c r="BW561" t="str">
        <f t="shared" si="353"/>
        <v/>
      </c>
      <c r="BX561" t="str">
        <f t="shared" si="366"/>
        <v/>
      </c>
      <c r="BY561" t="str">
        <f t="shared" si="354"/>
        <v/>
      </c>
      <c r="BZ561" t="str">
        <f t="shared" si="367"/>
        <v/>
      </c>
      <c r="CA561" t="str">
        <f t="shared" si="355"/>
        <v/>
      </c>
      <c r="CB561" t="str">
        <f t="shared" si="337"/>
        <v/>
      </c>
      <c r="CC561" t="str">
        <f t="shared" si="356"/>
        <v/>
      </c>
      <c r="CD561" t="str">
        <f t="shared" si="338"/>
        <v/>
      </c>
      <c r="CE561" t="str">
        <f t="shared" si="357"/>
        <v>Bowles 5th edition</v>
      </c>
      <c r="CF561">
        <f t="shared" si="339"/>
        <v>141</v>
      </c>
      <c r="CG561" t="str">
        <f t="shared" si="358"/>
        <v/>
      </c>
      <c r="CH561" t="str">
        <f t="shared" si="340"/>
        <v/>
      </c>
      <c r="CI561" t="str">
        <f t="shared" si="359"/>
        <v/>
      </c>
      <c r="CJ561" t="str">
        <f t="shared" si="368"/>
        <v/>
      </c>
    </row>
    <row r="562" spans="2:88" x14ac:dyDescent="0.3">
      <c r="B562" t="str">
        <f t="shared" si="360"/>
        <v>36.823885-76.074754</v>
      </c>
      <c r="C562" s="30" t="s">
        <v>144</v>
      </c>
      <c r="D562">
        <v>36.823884999999997</v>
      </c>
      <c r="E562">
        <v>-76.074753999999999</v>
      </c>
      <c r="F562">
        <v>5</v>
      </c>
      <c r="G562" t="str">
        <f t="shared" si="361"/>
        <v>-23-2536.823885-76.074754</v>
      </c>
      <c r="H562">
        <v>-23</v>
      </c>
      <c r="I562">
        <v>-25</v>
      </c>
      <c r="J562" s="30" t="s">
        <v>21</v>
      </c>
      <c r="L562" t="s">
        <v>8</v>
      </c>
      <c r="M562">
        <v>2</v>
      </c>
      <c r="S562" t="str">
        <f t="shared" si="373"/>
        <v>Sand</v>
      </c>
      <c r="T562">
        <f t="shared" si="362"/>
        <v>1</v>
      </c>
      <c r="AA562">
        <v>80</v>
      </c>
      <c r="AB562" s="1">
        <f t="shared" si="369"/>
        <v>3</v>
      </c>
      <c r="AC562">
        <f t="shared" si="370"/>
        <v>2</v>
      </c>
      <c r="AD562" t="str">
        <f t="shared" si="363"/>
        <v/>
      </c>
      <c r="AG562" s="21" t="str">
        <f t="shared" si="341"/>
        <v/>
      </c>
      <c r="AI562" s="6" t="str">
        <f t="shared" si="342"/>
        <v/>
      </c>
      <c r="AM562" s="7" t="str">
        <f t="shared" si="343"/>
        <v/>
      </c>
      <c r="AQ562" s="8" t="str">
        <f t="shared" si="344"/>
        <v/>
      </c>
      <c r="AW562" s="25" t="str">
        <f t="shared" si="345"/>
        <v/>
      </c>
      <c r="AZ562" s="12" t="str">
        <f t="shared" si="346"/>
        <v/>
      </c>
      <c r="BI562" s="17" t="str">
        <f t="shared" si="347"/>
        <v/>
      </c>
      <c r="BM562" t="str">
        <f t="shared" si="348"/>
        <v>SPT Relationship</v>
      </c>
      <c r="BN562">
        <f t="shared" si="336"/>
        <v>101</v>
      </c>
      <c r="BO562" t="str">
        <f t="shared" si="349"/>
        <v>Wolff, 1989</v>
      </c>
      <c r="BP562">
        <f t="shared" si="371"/>
        <v>27</v>
      </c>
      <c r="BQ562" t="str">
        <f t="shared" si="350"/>
        <v/>
      </c>
      <c r="BR562" t="str">
        <f t="shared" si="364"/>
        <v/>
      </c>
      <c r="BS562" t="str">
        <f t="shared" si="351"/>
        <v/>
      </c>
      <c r="BT562" t="str">
        <f t="shared" si="372"/>
        <v/>
      </c>
      <c r="BU562" t="str">
        <f t="shared" si="352"/>
        <v/>
      </c>
      <c r="BV562" t="str">
        <f t="shared" si="365"/>
        <v/>
      </c>
      <c r="BW562" t="str">
        <f t="shared" si="353"/>
        <v/>
      </c>
      <c r="BX562" t="str">
        <f t="shared" si="366"/>
        <v/>
      </c>
      <c r="BY562" t="str">
        <f t="shared" si="354"/>
        <v/>
      </c>
      <c r="BZ562" t="str">
        <f t="shared" si="367"/>
        <v/>
      </c>
      <c r="CA562" t="str">
        <f t="shared" si="355"/>
        <v/>
      </c>
      <c r="CB562" t="str">
        <f t="shared" si="337"/>
        <v/>
      </c>
      <c r="CC562" t="str">
        <f t="shared" si="356"/>
        <v/>
      </c>
      <c r="CD562" t="str">
        <f t="shared" si="338"/>
        <v/>
      </c>
      <c r="CE562" t="str">
        <f t="shared" si="357"/>
        <v>Bowles 5th edition</v>
      </c>
      <c r="CF562">
        <f t="shared" si="339"/>
        <v>115</v>
      </c>
      <c r="CG562" t="str">
        <f t="shared" si="358"/>
        <v/>
      </c>
      <c r="CH562" t="str">
        <f t="shared" si="340"/>
        <v/>
      </c>
      <c r="CI562" t="str">
        <f t="shared" si="359"/>
        <v/>
      </c>
      <c r="CJ562" t="str">
        <f t="shared" si="368"/>
        <v/>
      </c>
    </row>
    <row r="563" spans="2:88" x14ac:dyDescent="0.3">
      <c r="B563" t="str">
        <f t="shared" si="360"/>
        <v>36.823325-76.07455</v>
      </c>
      <c r="C563" s="30" t="s">
        <v>145</v>
      </c>
      <c r="D563">
        <v>36.823324999999997</v>
      </c>
      <c r="E563">
        <v>-76.074550000000002</v>
      </c>
      <c r="F563">
        <v>5</v>
      </c>
      <c r="G563" t="str">
        <f t="shared" si="361"/>
        <v>5336.823325-76.07455</v>
      </c>
      <c r="H563">
        <v>5</v>
      </c>
      <c r="I563">
        <v>3</v>
      </c>
      <c r="J563" s="30" t="s">
        <v>21</v>
      </c>
      <c r="L563" t="s">
        <v>17</v>
      </c>
      <c r="M563">
        <v>10</v>
      </c>
      <c r="S563" t="str">
        <f t="shared" si="373"/>
        <v>Sand</v>
      </c>
      <c r="T563">
        <f t="shared" si="362"/>
        <v>1</v>
      </c>
      <c r="AA563">
        <v>80</v>
      </c>
      <c r="AB563" s="1">
        <f t="shared" si="369"/>
        <v>13</v>
      </c>
      <c r="AC563">
        <f t="shared" si="370"/>
        <v>40</v>
      </c>
      <c r="AD563" t="str">
        <f t="shared" si="363"/>
        <v/>
      </c>
      <c r="AG563" s="21" t="str">
        <f t="shared" si="341"/>
        <v/>
      </c>
      <c r="AI563" s="6" t="str">
        <f t="shared" si="342"/>
        <v/>
      </c>
      <c r="AM563" s="7" t="str">
        <f t="shared" si="343"/>
        <v/>
      </c>
      <c r="AQ563" s="8" t="str">
        <f t="shared" si="344"/>
        <v/>
      </c>
      <c r="AW563" s="25" t="str">
        <f t="shared" si="345"/>
        <v/>
      </c>
      <c r="AZ563" s="12" t="str">
        <f t="shared" si="346"/>
        <v/>
      </c>
      <c r="BI563" s="17" t="str">
        <f t="shared" si="347"/>
        <v/>
      </c>
      <c r="BM563" t="str">
        <f t="shared" si="348"/>
        <v>SPT Relationship</v>
      </c>
      <c r="BN563">
        <f t="shared" si="336"/>
        <v>118</v>
      </c>
      <c r="BO563" t="str">
        <f t="shared" si="349"/>
        <v>Wolff, 1989</v>
      </c>
      <c r="BP563">
        <f t="shared" si="371"/>
        <v>38</v>
      </c>
      <c r="BQ563" t="str">
        <f t="shared" si="350"/>
        <v/>
      </c>
      <c r="BR563" t="str">
        <f t="shared" si="364"/>
        <v/>
      </c>
      <c r="BS563" t="str">
        <f t="shared" si="351"/>
        <v/>
      </c>
      <c r="BT563" t="str">
        <f t="shared" si="372"/>
        <v/>
      </c>
      <c r="BU563" t="str">
        <f t="shared" si="352"/>
        <v/>
      </c>
      <c r="BV563" t="str">
        <f t="shared" si="365"/>
        <v/>
      </c>
      <c r="BW563" t="str">
        <f t="shared" si="353"/>
        <v/>
      </c>
      <c r="BX563" t="str">
        <f t="shared" si="366"/>
        <v/>
      </c>
      <c r="BY563" t="str">
        <f t="shared" si="354"/>
        <v/>
      </c>
      <c r="BZ563" t="str">
        <f t="shared" si="367"/>
        <v/>
      </c>
      <c r="CA563" t="str">
        <f t="shared" si="355"/>
        <v/>
      </c>
      <c r="CB563" t="str">
        <f t="shared" si="337"/>
        <v/>
      </c>
      <c r="CC563" t="str">
        <f t="shared" si="356"/>
        <v/>
      </c>
      <c r="CD563" t="str">
        <f t="shared" si="338"/>
        <v/>
      </c>
      <c r="CE563" t="str">
        <f t="shared" si="357"/>
        <v>Bowles 5th edition</v>
      </c>
      <c r="CF563">
        <f t="shared" si="339"/>
        <v>179</v>
      </c>
      <c r="CG563" t="str">
        <f t="shared" si="358"/>
        <v/>
      </c>
      <c r="CH563" t="str">
        <f t="shared" si="340"/>
        <v/>
      </c>
      <c r="CI563" t="str">
        <f t="shared" si="359"/>
        <v/>
      </c>
      <c r="CJ563" t="str">
        <f t="shared" si="368"/>
        <v/>
      </c>
    </row>
    <row r="564" spans="2:88" x14ac:dyDescent="0.3">
      <c r="B564" t="str">
        <f t="shared" si="360"/>
        <v>36.823325-76.07455</v>
      </c>
      <c r="C564" s="30" t="s">
        <v>145</v>
      </c>
      <c r="D564">
        <v>36.823324999999997</v>
      </c>
      <c r="E564">
        <v>-76.074550000000002</v>
      </c>
      <c r="F564">
        <v>5</v>
      </c>
      <c r="G564" t="str">
        <f t="shared" si="361"/>
        <v>3136.823325-76.07455</v>
      </c>
      <c r="H564">
        <v>3</v>
      </c>
      <c r="I564">
        <v>1</v>
      </c>
      <c r="J564" s="30" t="s">
        <v>21</v>
      </c>
      <c r="L564" t="s">
        <v>17</v>
      </c>
      <c r="M564">
        <v>8</v>
      </c>
      <c r="S564" t="str">
        <f t="shared" si="373"/>
        <v>Sand</v>
      </c>
      <c r="T564">
        <f t="shared" si="362"/>
        <v>1</v>
      </c>
      <c r="AA564">
        <v>80</v>
      </c>
      <c r="AB564" s="1">
        <f t="shared" si="369"/>
        <v>11</v>
      </c>
      <c r="AC564">
        <f t="shared" si="370"/>
        <v>23</v>
      </c>
      <c r="AD564" t="str">
        <f t="shared" si="363"/>
        <v/>
      </c>
      <c r="AG564" s="21" t="str">
        <f t="shared" si="341"/>
        <v/>
      </c>
      <c r="AI564" s="6" t="str">
        <f t="shared" si="342"/>
        <v/>
      </c>
      <c r="AM564" s="7" t="str">
        <f t="shared" si="343"/>
        <v/>
      </c>
      <c r="AQ564" s="8" t="str">
        <f t="shared" si="344"/>
        <v/>
      </c>
      <c r="AW564" s="25" t="str">
        <f t="shared" si="345"/>
        <v/>
      </c>
      <c r="AZ564" s="12" t="str">
        <f t="shared" si="346"/>
        <v/>
      </c>
      <c r="BI564" s="17" t="str">
        <f t="shared" si="347"/>
        <v/>
      </c>
      <c r="BM564" t="str">
        <f t="shared" si="348"/>
        <v>SPT Relationship</v>
      </c>
      <c r="BN564">
        <f t="shared" si="336"/>
        <v>116</v>
      </c>
      <c r="BO564" t="str">
        <f t="shared" si="349"/>
        <v>Wolff, 1989</v>
      </c>
      <c r="BP564">
        <f t="shared" si="371"/>
        <v>33</v>
      </c>
      <c r="BQ564" t="str">
        <f t="shared" si="350"/>
        <v/>
      </c>
      <c r="BR564" t="str">
        <f t="shared" si="364"/>
        <v/>
      </c>
      <c r="BS564" t="str">
        <f t="shared" si="351"/>
        <v/>
      </c>
      <c r="BT564" t="str">
        <f t="shared" si="372"/>
        <v/>
      </c>
      <c r="BU564" t="str">
        <f t="shared" si="352"/>
        <v/>
      </c>
      <c r="BV564" t="str">
        <f t="shared" si="365"/>
        <v/>
      </c>
      <c r="BW564" t="str">
        <f t="shared" si="353"/>
        <v/>
      </c>
      <c r="BX564" t="str">
        <f t="shared" si="366"/>
        <v/>
      </c>
      <c r="BY564" t="str">
        <f t="shared" si="354"/>
        <v/>
      </c>
      <c r="BZ564" t="str">
        <f t="shared" si="367"/>
        <v/>
      </c>
      <c r="CA564" t="str">
        <f t="shared" si="355"/>
        <v/>
      </c>
      <c r="CB564" t="str">
        <f t="shared" si="337"/>
        <v/>
      </c>
      <c r="CC564" t="str">
        <f t="shared" si="356"/>
        <v/>
      </c>
      <c r="CD564" t="str">
        <f t="shared" si="338"/>
        <v/>
      </c>
      <c r="CE564" t="str">
        <f t="shared" si="357"/>
        <v>Bowles 5th edition</v>
      </c>
      <c r="CF564">
        <f t="shared" si="339"/>
        <v>166</v>
      </c>
      <c r="CG564" t="str">
        <f t="shared" si="358"/>
        <v/>
      </c>
      <c r="CH564" t="str">
        <f t="shared" si="340"/>
        <v/>
      </c>
      <c r="CI564" t="str">
        <f t="shared" si="359"/>
        <v/>
      </c>
      <c r="CJ564" t="str">
        <f t="shared" si="368"/>
        <v/>
      </c>
    </row>
    <row r="565" spans="2:88" x14ac:dyDescent="0.3">
      <c r="B565" t="str">
        <f t="shared" si="360"/>
        <v>36.823325-76.07455</v>
      </c>
      <c r="C565" s="30" t="s">
        <v>145</v>
      </c>
      <c r="D565">
        <v>36.823324999999997</v>
      </c>
      <c r="E565">
        <v>-76.074550000000002</v>
      </c>
      <c r="F565">
        <v>5</v>
      </c>
      <c r="G565" t="str">
        <f t="shared" si="361"/>
        <v>1-136.823325-76.07455</v>
      </c>
      <c r="H565">
        <v>1</v>
      </c>
      <c r="I565">
        <v>-1</v>
      </c>
      <c r="J565" s="30" t="s">
        <v>21</v>
      </c>
      <c r="L565" t="s">
        <v>17</v>
      </c>
      <c r="M565">
        <v>9</v>
      </c>
      <c r="S565" t="str">
        <f t="shared" si="373"/>
        <v>Sand</v>
      </c>
      <c r="T565">
        <f t="shared" si="362"/>
        <v>1</v>
      </c>
      <c r="AA565">
        <v>80</v>
      </c>
      <c r="AB565" s="1">
        <f t="shared" si="369"/>
        <v>12</v>
      </c>
      <c r="AC565">
        <f t="shared" si="370"/>
        <v>21</v>
      </c>
      <c r="AD565" t="str">
        <f t="shared" si="363"/>
        <v/>
      </c>
      <c r="AG565" s="21" t="str">
        <f t="shared" si="341"/>
        <v/>
      </c>
      <c r="AI565" s="6" t="str">
        <f t="shared" si="342"/>
        <v/>
      </c>
      <c r="AM565" s="7" t="str">
        <f t="shared" si="343"/>
        <v/>
      </c>
      <c r="AQ565" s="8" t="str">
        <f t="shared" si="344"/>
        <v/>
      </c>
      <c r="AW565" s="25" t="str">
        <f t="shared" si="345"/>
        <v/>
      </c>
      <c r="AZ565" s="12" t="str">
        <f t="shared" si="346"/>
        <v/>
      </c>
      <c r="BI565" s="17" t="str">
        <f t="shared" si="347"/>
        <v/>
      </c>
      <c r="BM565" t="str">
        <f t="shared" si="348"/>
        <v>SPT Relationship</v>
      </c>
      <c r="BN565">
        <f t="shared" si="336"/>
        <v>117</v>
      </c>
      <c r="BO565" t="str">
        <f t="shared" si="349"/>
        <v>Wolff, 1989</v>
      </c>
      <c r="BP565">
        <f t="shared" si="371"/>
        <v>33</v>
      </c>
      <c r="BQ565" t="str">
        <f t="shared" si="350"/>
        <v/>
      </c>
      <c r="BR565" t="str">
        <f t="shared" si="364"/>
        <v/>
      </c>
      <c r="BS565" t="str">
        <f t="shared" si="351"/>
        <v/>
      </c>
      <c r="BT565" t="str">
        <f t="shared" si="372"/>
        <v/>
      </c>
      <c r="BU565" t="str">
        <f t="shared" si="352"/>
        <v/>
      </c>
      <c r="BV565" t="str">
        <f t="shared" si="365"/>
        <v/>
      </c>
      <c r="BW565" t="str">
        <f t="shared" si="353"/>
        <v/>
      </c>
      <c r="BX565" t="str">
        <f t="shared" si="366"/>
        <v/>
      </c>
      <c r="BY565" t="str">
        <f t="shared" si="354"/>
        <v/>
      </c>
      <c r="BZ565" t="str">
        <f t="shared" si="367"/>
        <v/>
      </c>
      <c r="CA565" t="str">
        <f t="shared" si="355"/>
        <v/>
      </c>
      <c r="CB565" t="str">
        <f t="shared" si="337"/>
        <v/>
      </c>
      <c r="CC565" t="str">
        <f t="shared" si="356"/>
        <v/>
      </c>
      <c r="CD565" t="str">
        <f t="shared" si="338"/>
        <v/>
      </c>
      <c r="CE565" t="str">
        <f t="shared" si="357"/>
        <v>Bowles 5th edition</v>
      </c>
      <c r="CF565">
        <f t="shared" si="339"/>
        <v>173</v>
      </c>
      <c r="CG565" t="str">
        <f t="shared" si="358"/>
        <v/>
      </c>
      <c r="CH565" t="str">
        <f t="shared" si="340"/>
        <v/>
      </c>
      <c r="CI565" t="str">
        <f t="shared" si="359"/>
        <v/>
      </c>
      <c r="CJ565" t="str">
        <f t="shared" si="368"/>
        <v/>
      </c>
    </row>
    <row r="566" spans="2:88" x14ac:dyDescent="0.3">
      <c r="B566" t="str">
        <f t="shared" si="360"/>
        <v>36.823325-76.07455</v>
      </c>
      <c r="C566" s="30" t="s">
        <v>145</v>
      </c>
      <c r="D566">
        <v>36.823324999999997</v>
      </c>
      <c r="E566">
        <v>-76.074550000000002</v>
      </c>
      <c r="F566">
        <v>5</v>
      </c>
      <c r="G566" t="str">
        <f t="shared" si="361"/>
        <v>-1-336.823325-76.07455</v>
      </c>
      <c r="H566">
        <v>-1</v>
      </c>
      <c r="I566">
        <v>-3</v>
      </c>
      <c r="J566" s="30" t="s">
        <v>21</v>
      </c>
      <c r="L566" t="s">
        <v>17</v>
      </c>
      <c r="M566">
        <v>9</v>
      </c>
      <c r="S566" t="str">
        <f t="shared" si="373"/>
        <v>Sand</v>
      </c>
      <c r="T566">
        <f t="shared" si="362"/>
        <v>1</v>
      </c>
      <c r="AA566">
        <v>80</v>
      </c>
      <c r="AB566" s="1">
        <f t="shared" si="369"/>
        <v>12</v>
      </c>
      <c r="AC566">
        <f t="shared" si="370"/>
        <v>18</v>
      </c>
      <c r="AD566" t="str">
        <f t="shared" si="363"/>
        <v/>
      </c>
      <c r="AG566" s="21" t="str">
        <f t="shared" si="341"/>
        <v/>
      </c>
      <c r="AI566" s="6" t="str">
        <f t="shared" si="342"/>
        <v/>
      </c>
      <c r="AM566" s="7" t="str">
        <f t="shared" si="343"/>
        <v/>
      </c>
      <c r="AQ566" s="8" t="str">
        <f t="shared" si="344"/>
        <v/>
      </c>
      <c r="AW566" s="25" t="str">
        <f t="shared" si="345"/>
        <v/>
      </c>
      <c r="AZ566" s="12" t="str">
        <f t="shared" si="346"/>
        <v/>
      </c>
      <c r="BI566" s="17" t="str">
        <f t="shared" si="347"/>
        <v/>
      </c>
      <c r="BM566" t="str">
        <f t="shared" si="348"/>
        <v>SPT Relationship</v>
      </c>
      <c r="BN566">
        <f t="shared" si="336"/>
        <v>117</v>
      </c>
      <c r="BO566" t="str">
        <f t="shared" si="349"/>
        <v>Wolff, 1989</v>
      </c>
      <c r="BP566">
        <f t="shared" si="371"/>
        <v>32</v>
      </c>
      <c r="BQ566" t="str">
        <f t="shared" si="350"/>
        <v/>
      </c>
      <c r="BR566" t="str">
        <f t="shared" si="364"/>
        <v/>
      </c>
      <c r="BS566" t="str">
        <f t="shared" si="351"/>
        <v/>
      </c>
      <c r="BT566" t="str">
        <f t="shared" si="372"/>
        <v/>
      </c>
      <c r="BU566" t="str">
        <f t="shared" si="352"/>
        <v/>
      </c>
      <c r="BV566" t="str">
        <f t="shared" si="365"/>
        <v/>
      </c>
      <c r="BW566" t="str">
        <f t="shared" si="353"/>
        <v/>
      </c>
      <c r="BX566" t="str">
        <f t="shared" si="366"/>
        <v/>
      </c>
      <c r="BY566" t="str">
        <f t="shared" si="354"/>
        <v/>
      </c>
      <c r="BZ566" t="str">
        <f t="shared" si="367"/>
        <v/>
      </c>
      <c r="CA566" t="str">
        <f t="shared" si="355"/>
        <v/>
      </c>
      <c r="CB566" t="str">
        <f t="shared" si="337"/>
        <v/>
      </c>
      <c r="CC566" t="str">
        <f t="shared" si="356"/>
        <v/>
      </c>
      <c r="CD566" t="str">
        <f t="shared" si="338"/>
        <v/>
      </c>
      <c r="CE566" t="str">
        <f t="shared" si="357"/>
        <v>Bowles 5th edition</v>
      </c>
      <c r="CF566">
        <f t="shared" si="339"/>
        <v>173</v>
      </c>
      <c r="CG566" t="str">
        <f t="shared" si="358"/>
        <v/>
      </c>
      <c r="CH566" t="str">
        <f t="shared" si="340"/>
        <v/>
      </c>
      <c r="CI566" t="str">
        <f t="shared" si="359"/>
        <v/>
      </c>
      <c r="CJ566" t="str">
        <f t="shared" si="368"/>
        <v/>
      </c>
    </row>
    <row r="567" spans="2:88" x14ac:dyDescent="0.3">
      <c r="B567" t="str">
        <f t="shared" si="360"/>
        <v>36.823325-76.07455</v>
      </c>
      <c r="C567" s="30" t="s">
        <v>145</v>
      </c>
      <c r="D567">
        <v>36.823324999999997</v>
      </c>
      <c r="E567">
        <v>-76.074550000000002</v>
      </c>
      <c r="F567">
        <v>5</v>
      </c>
      <c r="G567" t="str">
        <f t="shared" si="361"/>
        <v>-3-536.823325-76.07455</v>
      </c>
      <c r="H567">
        <v>-3</v>
      </c>
      <c r="I567">
        <v>-5</v>
      </c>
      <c r="J567" s="30" t="s">
        <v>21</v>
      </c>
      <c r="L567" t="s">
        <v>16</v>
      </c>
      <c r="M567">
        <v>2</v>
      </c>
      <c r="S567" t="str">
        <f t="shared" si="373"/>
        <v>Sand</v>
      </c>
      <c r="T567">
        <f t="shared" si="362"/>
        <v>1</v>
      </c>
      <c r="AA567">
        <v>80</v>
      </c>
      <c r="AB567" s="1">
        <f t="shared" si="369"/>
        <v>3</v>
      </c>
      <c r="AC567">
        <f t="shared" si="370"/>
        <v>4</v>
      </c>
      <c r="AD567" t="str">
        <f t="shared" si="363"/>
        <v/>
      </c>
      <c r="AG567" s="21" t="str">
        <f t="shared" si="341"/>
        <v/>
      </c>
      <c r="AI567" s="6" t="str">
        <f t="shared" si="342"/>
        <v/>
      </c>
      <c r="AM567" s="7" t="str">
        <f t="shared" si="343"/>
        <v/>
      </c>
      <c r="AQ567" s="8" t="str">
        <f t="shared" si="344"/>
        <v/>
      </c>
      <c r="AW567" s="25" t="str">
        <f t="shared" si="345"/>
        <v/>
      </c>
      <c r="AZ567" s="12" t="str">
        <f t="shared" si="346"/>
        <v/>
      </c>
      <c r="BI567" s="17" t="str">
        <f t="shared" si="347"/>
        <v/>
      </c>
      <c r="BM567" t="str">
        <f t="shared" si="348"/>
        <v>SPT Relationship</v>
      </c>
      <c r="BN567">
        <f t="shared" si="336"/>
        <v>101</v>
      </c>
      <c r="BO567" t="str">
        <f t="shared" si="349"/>
        <v>Wolff, 1989</v>
      </c>
      <c r="BP567">
        <f t="shared" si="371"/>
        <v>28</v>
      </c>
      <c r="BQ567" t="str">
        <f t="shared" si="350"/>
        <v/>
      </c>
      <c r="BR567" t="str">
        <f t="shared" si="364"/>
        <v/>
      </c>
      <c r="BS567" t="str">
        <f t="shared" si="351"/>
        <v/>
      </c>
      <c r="BT567" t="str">
        <f t="shared" si="372"/>
        <v/>
      </c>
      <c r="BU567" t="str">
        <f t="shared" si="352"/>
        <v/>
      </c>
      <c r="BV567" t="str">
        <f t="shared" si="365"/>
        <v/>
      </c>
      <c r="BW567" t="str">
        <f t="shared" si="353"/>
        <v/>
      </c>
      <c r="BX567" t="str">
        <f t="shared" si="366"/>
        <v/>
      </c>
      <c r="BY567" t="str">
        <f t="shared" si="354"/>
        <v/>
      </c>
      <c r="BZ567" t="str">
        <f t="shared" si="367"/>
        <v/>
      </c>
      <c r="CA567" t="str">
        <f t="shared" si="355"/>
        <v/>
      </c>
      <c r="CB567" t="str">
        <f t="shared" si="337"/>
        <v/>
      </c>
      <c r="CC567" t="str">
        <f t="shared" si="356"/>
        <v/>
      </c>
      <c r="CD567" t="str">
        <f t="shared" si="338"/>
        <v/>
      </c>
      <c r="CE567" t="str">
        <f t="shared" si="357"/>
        <v>Bowles 5th edition</v>
      </c>
      <c r="CF567">
        <f t="shared" si="339"/>
        <v>115</v>
      </c>
      <c r="CG567" t="str">
        <f t="shared" si="358"/>
        <v/>
      </c>
      <c r="CH567" t="str">
        <f t="shared" si="340"/>
        <v/>
      </c>
      <c r="CI567" t="str">
        <f t="shared" si="359"/>
        <v/>
      </c>
      <c r="CJ567" t="str">
        <f t="shared" si="368"/>
        <v/>
      </c>
    </row>
    <row r="568" spans="2:88" x14ac:dyDescent="0.3">
      <c r="B568" t="str">
        <f t="shared" si="360"/>
        <v>36.823325-76.07455</v>
      </c>
      <c r="C568" s="30" t="s">
        <v>145</v>
      </c>
      <c r="D568">
        <v>36.823324999999997</v>
      </c>
      <c r="E568">
        <v>-76.074550000000002</v>
      </c>
      <c r="F568">
        <v>5</v>
      </c>
      <c r="G568" t="str">
        <f t="shared" si="361"/>
        <v>-5-736.823325-76.07455</v>
      </c>
      <c r="H568">
        <v>-5</v>
      </c>
      <c r="I568">
        <v>-7</v>
      </c>
      <c r="J568" s="30" t="s">
        <v>21</v>
      </c>
      <c r="L568" t="s">
        <v>17</v>
      </c>
      <c r="M568">
        <v>0</v>
      </c>
      <c r="S568" t="str">
        <f t="shared" si="373"/>
        <v>Sand</v>
      </c>
      <c r="T568">
        <f t="shared" si="362"/>
        <v>1</v>
      </c>
      <c r="AA568">
        <v>80</v>
      </c>
      <c r="AB568" s="1">
        <f t="shared" si="369"/>
        <v>0</v>
      </c>
      <c r="AC568">
        <f t="shared" si="370"/>
        <v>0</v>
      </c>
      <c r="AD568" t="str">
        <f t="shared" si="363"/>
        <v/>
      </c>
      <c r="AG568" s="21" t="str">
        <f t="shared" si="341"/>
        <v/>
      </c>
      <c r="AI568" s="6" t="str">
        <f t="shared" si="342"/>
        <v/>
      </c>
      <c r="AM568" s="7" t="str">
        <f t="shared" si="343"/>
        <v/>
      </c>
      <c r="AQ568" s="8" t="str">
        <f t="shared" si="344"/>
        <v/>
      </c>
      <c r="AW568" s="25" t="str">
        <f t="shared" si="345"/>
        <v/>
      </c>
      <c r="AZ568" s="12" t="str">
        <f t="shared" si="346"/>
        <v/>
      </c>
      <c r="BI568" s="17" t="str">
        <f t="shared" si="347"/>
        <v/>
      </c>
      <c r="BM568" t="str">
        <f t="shared" si="348"/>
        <v>SPT Relationship</v>
      </c>
      <c r="BN568">
        <f t="shared" si="336"/>
        <v>95</v>
      </c>
      <c r="BO568" t="str">
        <f t="shared" si="349"/>
        <v>Wolff, 1989</v>
      </c>
      <c r="BP568">
        <f t="shared" si="371"/>
        <v>27</v>
      </c>
      <c r="BQ568" t="str">
        <f t="shared" si="350"/>
        <v/>
      </c>
      <c r="BR568" t="str">
        <f t="shared" si="364"/>
        <v/>
      </c>
      <c r="BS568" t="str">
        <f t="shared" si="351"/>
        <v/>
      </c>
      <c r="BT568" t="str">
        <f t="shared" si="372"/>
        <v/>
      </c>
      <c r="BU568" t="str">
        <f t="shared" si="352"/>
        <v/>
      </c>
      <c r="BV568" t="str">
        <f t="shared" si="365"/>
        <v/>
      </c>
      <c r="BW568" t="str">
        <f t="shared" si="353"/>
        <v/>
      </c>
      <c r="BX568" t="str">
        <f t="shared" si="366"/>
        <v/>
      </c>
      <c r="BY568" t="str">
        <f t="shared" si="354"/>
        <v/>
      </c>
      <c r="BZ568" t="str">
        <f t="shared" si="367"/>
        <v/>
      </c>
      <c r="CA568" t="str">
        <f t="shared" si="355"/>
        <v/>
      </c>
      <c r="CB568" t="str">
        <f t="shared" si="337"/>
        <v/>
      </c>
      <c r="CC568" t="str">
        <f t="shared" si="356"/>
        <v/>
      </c>
      <c r="CD568" t="str">
        <f t="shared" si="338"/>
        <v/>
      </c>
      <c r="CE568" t="str">
        <f t="shared" si="357"/>
        <v>Bowles 5th edition</v>
      </c>
      <c r="CF568">
        <f t="shared" si="339"/>
        <v>96</v>
      </c>
      <c r="CG568" t="str">
        <f t="shared" si="358"/>
        <v/>
      </c>
      <c r="CH568" t="str">
        <f t="shared" si="340"/>
        <v/>
      </c>
      <c r="CI568" t="str">
        <f t="shared" si="359"/>
        <v/>
      </c>
      <c r="CJ568" t="str">
        <f t="shared" si="368"/>
        <v/>
      </c>
    </row>
    <row r="569" spans="2:88" x14ac:dyDescent="0.3">
      <c r="B569" t="str">
        <f t="shared" si="360"/>
        <v>36.823325-76.07455</v>
      </c>
      <c r="C569" s="30" t="s">
        <v>145</v>
      </c>
      <c r="D569">
        <v>36.823324999999997</v>
      </c>
      <c r="E569">
        <v>-76.074550000000002</v>
      </c>
      <c r="F569">
        <v>5</v>
      </c>
      <c r="G569" t="str">
        <f t="shared" si="361"/>
        <v>-8-1036.823325-76.07455</v>
      </c>
      <c r="H569">
        <v>-8</v>
      </c>
      <c r="I569">
        <v>-10</v>
      </c>
      <c r="J569" s="30" t="s">
        <v>21</v>
      </c>
      <c r="L569" t="s">
        <v>17</v>
      </c>
      <c r="M569">
        <v>1</v>
      </c>
      <c r="S569" t="str">
        <f t="shared" si="373"/>
        <v>Sand</v>
      </c>
      <c r="T569">
        <f t="shared" si="362"/>
        <v>1</v>
      </c>
      <c r="AA569">
        <v>80</v>
      </c>
      <c r="AB569" s="1">
        <f t="shared" si="369"/>
        <v>1</v>
      </c>
      <c r="AC569">
        <f t="shared" si="370"/>
        <v>1</v>
      </c>
      <c r="AD569" t="str">
        <f t="shared" si="363"/>
        <v/>
      </c>
      <c r="AG569" s="21" t="str">
        <f t="shared" si="341"/>
        <v/>
      </c>
      <c r="AI569" s="6" t="str">
        <f t="shared" si="342"/>
        <v/>
      </c>
      <c r="AM569" s="7" t="str">
        <f t="shared" si="343"/>
        <v/>
      </c>
      <c r="AQ569" s="8" t="str">
        <f t="shared" si="344"/>
        <v/>
      </c>
      <c r="AW569" s="25" t="str">
        <f t="shared" si="345"/>
        <v/>
      </c>
      <c r="AZ569" s="12" t="str">
        <f t="shared" si="346"/>
        <v/>
      </c>
      <c r="BI569" s="17" t="str">
        <f t="shared" si="347"/>
        <v/>
      </c>
      <c r="BM569" t="str">
        <f t="shared" si="348"/>
        <v>SPT Relationship</v>
      </c>
      <c r="BN569">
        <f t="shared" si="336"/>
        <v>95</v>
      </c>
      <c r="BO569" t="str">
        <f t="shared" si="349"/>
        <v>Wolff, 1989</v>
      </c>
      <c r="BP569">
        <f t="shared" si="371"/>
        <v>27</v>
      </c>
      <c r="BQ569" t="str">
        <f t="shared" si="350"/>
        <v/>
      </c>
      <c r="BR569" t="str">
        <f t="shared" si="364"/>
        <v/>
      </c>
      <c r="BS569" t="str">
        <f t="shared" si="351"/>
        <v/>
      </c>
      <c r="BT569" t="str">
        <f t="shared" si="372"/>
        <v/>
      </c>
      <c r="BU569" t="str">
        <f t="shared" si="352"/>
        <v/>
      </c>
      <c r="BV569" t="str">
        <f t="shared" si="365"/>
        <v/>
      </c>
      <c r="BW569" t="str">
        <f t="shared" si="353"/>
        <v/>
      </c>
      <c r="BX569" t="str">
        <f t="shared" si="366"/>
        <v/>
      </c>
      <c r="BY569" t="str">
        <f t="shared" si="354"/>
        <v/>
      </c>
      <c r="BZ569" t="str">
        <f t="shared" si="367"/>
        <v/>
      </c>
      <c r="CA569" t="str">
        <f t="shared" si="355"/>
        <v/>
      </c>
      <c r="CB569" t="str">
        <f t="shared" si="337"/>
        <v/>
      </c>
      <c r="CC569" t="str">
        <f t="shared" si="356"/>
        <v/>
      </c>
      <c r="CD569" t="str">
        <f t="shared" si="338"/>
        <v/>
      </c>
      <c r="CE569" t="str">
        <f t="shared" si="357"/>
        <v>Bowles 5th edition</v>
      </c>
      <c r="CF569">
        <f t="shared" si="339"/>
        <v>102</v>
      </c>
      <c r="CG569" t="str">
        <f t="shared" si="358"/>
        <v/>
      </c>
      <c r="CH569" t="str">
        <f t="shared" si="340"/>
        <v/>
      </c>
      <c r="CI569" t="str">
        <f t="shared" si="359"/>
        <v/>
      </c>
      <c r="CJ569" t="str">
        <f t="shared" si="368"/>
        <v/>
      </c>
    </row>
    <row r="570" spans="2:88" x14ac:dyDescent="0.3">
      <c r="B570" t="str">
        <f t="shared" si="360"/>
        <v>36.823325-76.07455</v>
      </c>
      <c r="C570" s="30" t="s">
        <v>145</v>
      </c>
      <c r="D570">
        <v>36.823324999999997</v>
      </c>
      <c r="E570">
        <v>-76.074550000000002</v>
      </c>
      <c r="F570">
        <v>5</v>
      </c>
      <c r="G570" t="str">
        <f t="shared" si="361"/>
        <v>-13-1536.823325-76.07455</v>
      </c>
      <c r="H570">
        <v>-13</v>
      </c>
      <c r="I570">
        <v>-15</v>
      </c>
      <c r="J570" s="30" t="s">
        <v>21</v>
      </c>
      <c r="L570" t="s">
        <v>8</v>
      </c>
      <c r="M570">
        <v>5</v>
      </c>
      <c r="S570" t="str">
        <f t="shared" si="373"/>
        <v>Sand</v>
      </c>
      <c r="T570">
        <f t="shared" si="362"/>
        <v>1</v>
      </c>
      <c r="AA570">
        <v>80</v>
      </c>
      <c r="AB570" s="1">
        <f t="shared" si="369"/>
        <v>7</v>
      </c>
      <c r="AC570">
        <f t="shared" si="370"/>
        <v>6</v>
      </c>
      <c r="AD570" t="str">
        <f t="shared" si="363"/>
        <v/>
      </c>
      <c r="AG570" s="21" t="str">
        <f t="shared" si="341"/>
        <v/>
      </c>
      <c r="AI570" s="6" t="str">
        <f t="shared" si="342"/>
        <v/>
      </c>
      <c r="AM570" s="7" t="str">
        <f t="shared" si="343"/>
        <v/>
      </c>
      <c r="AQ570" s="8" t="str">
        <f t="shared" si="344"/>
        <v/>
      </c>
      <c r="AW570" s="25" t="str">
        <f t="shared" si="345"/>
        <v/>
      </c>
      <c r="AZ570" s="12" t="str">
        <f t="shared" si="346"/>
        <v/>
      </c>
      <c r="BI570" s="17" t="str">
        <f t="shared" si="347"/>
        <v/>
      </c>
      <c r="BM570" t="str">
        <f t="shared" si="348"/>
        <v>SPT Relationship</v>
      </c>
      <c r="BN570">
        <f t="shared" si="336"/>
        <v>111</v>
      </c>
      <c r="BO570" t="str">
        <f t="shared" si="349"/>
        <v>Wolff, 1989</v>
      </c>
      <c r="BP570">
        <f t="shared" si="371"/>
        <v>28</v>
      </c>
      <c r="BQ570" t="str">
        <f t="shared" si="350"/>
        <v/>
      </c>
      <c r="BR570" t="str">
        <f t="shared" si="364"/>
        <v/>
      </c>
      <c r="BS570" t="str">
        <f t="shared" si="351"/>
        <v/>
      </c>
      <c r="BT570" t="str">
        <f t="shared" si="372"/>
        <v/>
      </c>
      <c r="BU570" t="str">
        <f t="shared" si="352"/>
        <v/>
      </c>
      <c r="BV570" t="str">
        <f t="shared" si="365"/>
        <v/>
      </c>
      <c r="BW570" t="str">
        <f t="shared" si="353"/>
        <v/>
      </c>
      <c r="BX570" t="str">
        <f t="shared" si="366"/>
        <v/>
      </c>
      <c r="BY570" t="str">
        <f t="shared" si="354"/>
        <v/>
      </c>
      <c r="BZ570" t="str">
        <f t="shared" si="367"/>
        <v/>
      </c>
      <c r="CA570" t="str">
        <f t="shared" si="355"/>
        <v/>
      </c>
      <c r="CB570" t="str">
        <f t="shared" si="337"/>
        <v/>
      </c>
      <c r="CC570" t="str">
        <f t="shared" si="356"/>
        <v/>
      </c>
      <c r="CD570" t="str">
        <f t="shared" si="338"/>
        <v/>
      </c>
      <c r="CE570" t="str">
        <f t="shared" si="357"/>
        <v>Bowles 5th edition</v>
      </c>
      <c r="CF570">
        <f t="shared" si="339"/>
        <v>141</v>
      </c>
      <c r="CG570" t="str">
        <f t="shared" si="358"/>
        <v/>
      </c>
      <c r="CH570" t="str">
        <f t="shared" si="340"/>
        <v/>
      </c>
      <c r="CI570" t="str">
        <f t="shared" si="359"/>
        <v/>
      </c>
      <c r="CJ570" t="str">
        <f t="shared" si="368"/>
        <v/>
      </c>
    </row>
    <row r="571" spans="2:88" x14ac:dyDescent="0.3">
      <c r="B571" t="str">
        <f t="shared" si="360"/>
        <v>36.823325-76.07455</v>
      </c>
      <c r="C571" s="30" t="s">
        <v>145</v>
      </c>
      <c r="D571">
        <v>36.823324999999997</v>
      </c>
      <c r="E571">
        <v>-76.074550000000002</v>
      </c>
      <c r="F571">
        <v>5</v>
      </c>
      <c r="G571" t="str">
        <f t="shared" si="361"/>
        <v>-18-2036.823325-76.07455</v>
      </c>
      <c r="H571">
        <v>-18</v>
      </c>
      <c r="I571">
        <v>-20</v>
      </c>
      <c r="J571" s="30" t="s">
        <v>21</v>
      </c>
      <c r="L571" t="s">
        <v>8</v>
      </c>
      <c r="M571">
        <v>7</v>
      </c>
      <c r="S571" t="str">
        <f t="shared" si="373"/>
        <v>Sand</v>
      </c>
      <c r="T571">
        <f t="shared" si="362"/>
        <v>1</v>
      </c>
      <c r="AA571">
        <v>80</v>
      </c>
      <c r="AB571" s="1">
        <f t="shared" si="369"/>
        <v>9</v>
      </c>
      <c r="AC571">
        <f t="shared" si="370"/>
        <v>7</v>
      </c>
      <c r="AD571" t="str">
        <f t="shared" si="363"/>
        <v/>
      </c>
      <c r="AG571" s="21" t="str">
        <f t="shared" si="341"/>
        <v/>
      </c>
      <c r="AI571" s="6" t="str">
        <f t="shared" si="342"/>
        <v/>
      </c>
      <c r="AM571" s="7" t="str">
        <f t="shared" si="343"/>
        <v/>
      </c>
      <c r="AQ571" s="8" t="str">
        <f t="shared" si="344"/>
        <v/>
      </c>
      <c r="AW571" s="25" t="str">
        <f t="shared" si="345"/>
        <v/>
      </c>
      <c r="AZ571" s="12" t="str">
        <f t="shared" si="346"/>
        <v/>
      </c>
      <c r="BI571" s="17" t="str">
        <f t="shared" si="347"/>
        <v/>
      </c>
      <c r="BM571" t="str">
        <f t="shared" si="348"/>
        <v>SPT Relationship</v>
      </c>
      <c r="BN571">
        <f t="shared" si="336"/>
        <v>114</v>
      </c>
      <c r="BO571" t="str">
        <f t="shared" si="349"/>
        <v>Wolff, 1989</v>
      </c>
      <c r="BP571">
        <f t="shared" si="371"/>
        <v>29</v>
      </c>
      <c r="BQ571" t="str">
        <f t="shared" si="350"/>
        <v/>
      </c>
      <c r="BR571" t="str">
        <f t="shared" si="364"/>
        <v/>
      </c>
      <c r="BS571" t="str">
        <f t="shared" si="351"/>
        <v/>
      </c>
      <c r="BT571" t="str">
        <f t="shared" si="372"/>
        <v/>
      </c>
      <c r="BU571" t="str">
        <f t="shared" si="352"/>
        <v/>
      </c>
      <c r="BV571" t="str">
        <f t="shared" si="365"/>
        <v/>
      </c>
      <c r="BW571" t="str">
        <f t="shared" si="353"/>
        <v/>
      </c>
      <c r="BX571" t="str">
        <f t="shared" si="366"/>
        <v/>
      </c>
      <c r="BY571" t="str">
        <f t="shared" si="354"/>
        <v/>
      </c>
      <c r="BZ571" t="str">
        <f t="shared" si="367"/>
        <v/>
      </c>
      <c r="CA571" t="str">
        <f t="shared" si="355"/>
        <v/>
      </c>
      <c r="CB571" t="str">
        <f t="shared" si="337"/>
        <v/>
      </c>
      <c r="CC571" t="str">
        <f t="shared" si="356"/>
        <v/>
      </c>
      <c r="CD571" t="str">
        <f t="shared" si="338"/>
        <v/>
      </c>
      <c r="CE571" t="str">
        <f t="shared" si="357"/>
        <v>Bowles 5th edition</v>
      </c>
      <c r="CF571">
        <f t="shared" si="339"/>
        <v>154</v>
      </c>
      <c r="CG571" t="str">
        <f t="shared" si="358"/>
        <v/>
      </c>
      <c r="CH571" t="str">
        <f t="shared" si="340"/>
        <v/>
      </c>
      <c r="CI571" t="str">
        <f t="shared" si="359"/>
        <v/>
      </c>
      <c r="CJ571" t="str">
        <f t="shared" si="368"/>
        <v/>
      </c>
    </row>
    <row r="572" spans="2:88" x14ac:dyDescent="0.3">
      <c r="B572" t="str">
        <f t="shared" si="360"/>
        <v>36.823325-76.07455</v>
      </c>
      <c r="C572" s="30" t="s">
        <v>145</v>
      </c>
      <c r="D572">
        <v>36.823324999999997</v>
      </c>
      <c r="E572">
        <v>-76.074550000000002</v>
      </c>
      <c r="F572">
        <v>5</v>
      </c>
      <c r="G572" t="str">
        <f t="shared" si="361"/>
        <v>-23-2536.823325-76.07455</v>
      </c>
      <c r="H572">
        <v>-23</v>
      </c>
      <c r="I572">
        <v>-25</v>
      </c>
      <c r="J572" s="30" t="s">
        <v>21</v>
      </c>
      <c r="L572" t="s">
        <v>8</v>
      </c>
      <c r="M572">
        <v>7</v>
      </c>
      <c r="S572" t="str">
        <f t="shared" si="373"/>
        <v>Sand</v>
      </c>
      <c r="T572">
        <f t="shared" si="362"/>
        <v>1</v>
      </c>
      <c r="AA572">
        <v>80</v>
      </c>
      <c r="AB572" s="1">
        <f t="shared" si="369"/>
        <v>9</v>
      </c>
      <c r="AC572">
        <f t="shared" si="370"/>
        <v>7</v>
      </c>
      <c r="AD572" t="str">
        <f t="shared" si="363"/>
        <v/>
      </c>
      <c r="AG572" s="21" t="str">
        <f t="shared" si="341"/>
        <v/>
      </c>
      <c r="AI572" s="6" t="str">
        <f t="shared" si="342"/>
        <v/>
      </c>
      <c r="AM572" s="7" t="str">
        <f t="shared" si="343"/>
        <v/>
      </c>
      <c r="AQ572" s="8" t="str">
        <f t="shared" si="344"/>
        <v/>
      </c>
      <c r="AW572" s="25" t="str">
        <f t="shared" si="345"/>
        <v/>
      </c>
      <c r="AZ572" s="12" t="str">
        <f t="shared" si="346"/>
        <v/>
      </c>
      <c r="BI572" s="17" t="str">
        <f t="shared" si="347"/>
        <v/>
      </c>
      <c r="BM572" t="str">
        <f t="shared" si="348"/>
        <v>SPT Relationship</v>
      </c>
      <c r="BN572">
        <f t="shared" si="336"/>
        <v>114</v>
      </c>
      <c r="BO572" t="str">
        <f t="shared" si="349"/>
        <v>Wolff, 1989</v>
      </c>
      <c r="BP572">
        <f t="shared" si="371"/>
        <v>29</v>
      </c>
      <c r="BQ572" t="str">
        <f t="shared" si="350"/>
        <v/>
      </c>
      <c r="BR572" t="str">
        <f t="shared" si="364"/>
        <v/>
      </c>
      <c r="BS572" t="str">
        <f t="shared" si="351"/>
        <v/>
      </c>
      <c r="BT572" t="str">
        <f t="shared" si="372"/>
        <v/>
      </c>
      <c r="BU572" t="str">
        <f t="shared" si="352"/>
        <v/>
      </c>
      <c r="BV572" t="str">
        <f t="shared" si="365"/>
        <v/>
      </c>
      <c r="BW572" t="str">
        <f t="shared" si="353"/>
        <v/>
      </c>
      <c r="BX572" t="str">
        <f t="shared" si="366"/>
        <v/>
      </c>
      <c r="BY572" t="str">
        <f t="shared" si="354"/>
        <v/>
      </c>
      <c r="BZ572" t="str">
        <f t="shared" si="367"/>
        <v/>
      </c>
      <c r="CA572" t="str">
        <f t="shared" si="355"/>
        <v/>
      </c>
      <c r="CB572" t="str">
        <f t="shared" si="337"/>
        <v/>
      </c>
      <c r="CC572" t="str">
        <f t="shared" si="356"/>
        <v/>
      </c>
      <c r="CD572" t="str">
        <f t="shared" si="338"/>
        <v/>
      </c>
      <c r="CE572" t="str">
        <f t="shared" si="357"/>
        <v>Bowles 5th edition</v>
      </c>
      <c r="CF572">
        <f t="shared" si="339"/>
        <v>154</v>
      </c>
      <c r="CG572" t="str">
        <f t="shared" si="358"/>
        <v/>
      </c>
      <c r="CH572" t="str">
        <f t="shared" si="340"/>
        <v/>
      </c>
      <c r="CI572" t="str">
        <f t="shared" si="359"/>
        <v/>
      </c>
      <c r="CJ572" t="str">
        <f t="shared" si="368"/>
        <v/>
      </c>
    </row>
    <row r="573" spans="2:88" x14ac:dyDescent="0.3">
      <c r="B573" t="str">
        <f t="shared" si="360"/>
        <v>36.823325-76.07455</v>
      </c>
      <c r="C573" s="30" t="s">
        <v>145</v>
      </c>
      <c r="D573">
        <v>36.823324999999997</v>
      </c>
      <c r="E573">
        <v>-76.074550000000002</v>
      </c>
      <c r="F573">
        <v>5</v>
      </c>
      <c r="G573" t="str">
        <f t="shared" si="361"/>
        <v>-28-3036.823325-76.07455</v>
      </c>
      <c r="H573">
        <v>-28</v>
      </c>
      <c r="I573">
        <v>-30</v>
      </c>
      <c r="J573" s="30" t="s">
        <v>21</v>
      </c>
      <c r="L573" t="s">
        <v>17</v>
      </c>
      <c r="M573">
        <v>2</v>
      </c>
      <c r="S573" t="str">
        <f t="shared" si="373"/>
        <v>Sand</v>
      </c>
      <c r="T573">
        <f t="shared" si="362"/>
        <v>1</v>
      </c>
      <c r="AA573">
        <v>80</v>
      </c>
      <c r="AB573" s="1">
        <f t="shared" si="369"/>
        <v>3</v>
      </c>
      <c r="AC573">
        <f t="shared" si="370"/>
        <v>2</v>
      </c>
      <c r="AD573" t="str">
        <f t="shared" si="363"/>
        <v/>
      </c>
      <c r="AG573" s="21" t="str">
        <f t="shared" si="341"/>
        <v/>
      </c>
      <c r="AI573" s="6" t="str">
        <f t="shared" si="342"/>
        <v/>
      </c>
      <c r="AM573" s="7" t="str">
        <f t="shared" si="343"/>
        <v/>
      </c>
      <c r="AQ573" s="8" t="str">
        <f t="shared" si="344"/>
        <v/>
      </c>
      <c r="AW573" s="25" t="str">
        <f t="shared" si="345"/>
        <v/>
      </c>
      <c r="AZ573" s="12" t="str">
        <f t="shared" si="346"/>
        <v/>
      </c>
      <c r="BI573" s="17" t="str">
        <f t="shared" si="347"/>
        <v/>
      </c>
      <c r="BM573" t="str">
        <f t="shared" si="348"/>
        <v>SPT Relationship</v>
      </c>
      <c r="BN573">
        <f t="shared" si="336"/>
        <v>101</v>
      </c>
      <c r="BO573" t="str">
        <f t="shared" si="349"/>
        <v>Wolff, 1989</v>
      </c>
      <c r="BP573">
        <f t="shared" si="371"/>
        <v>27</v>
      </c>
      <c r="BQ573" t="str">
        <f t="shared" si="350"/>
        <v/>
      </c>
      <c r="BR573" t="str">
        <f t="shared" si="364"/>
        <v/>
      </c>
      <c r="BS573" t="str">
        <f t="shared" si="351"/>
        <v/>
      </c>
      <c r="BT573" t="str">
        <f t="shared" si="372"/>
        <v/>
      </c>
      <c r="BU573" t="str">
        <f t="shared" si="352"/>
        <v/>
      </c>
      <c r="BV573" t="str">
        <f t="shared" si="365"/>
        <v/>
      </c>
      <c r="BW573" t="str">
        <f t="shared" si="353"/>
        <v/>
      </c>
      <c r="BX573" t="str">
        <f t="shared" si="366"/>
        <v/>
      </c>
      <c r="BY573" t="str">
        <f t="shared" si="354"/>
        <v/>
      </c>
      <c r="BZ573" t="str">
        <f t="shared" si="367"/>
        <v/>
      </c>
      <c r="CA573" t="str">
        <f t="shared" si="355"/>
        <v/>
      </c>
      <c r="CB573" t="str">
        <f t="shared" si="337"/>
        <v/>
      </c>
      <c r="CC573" t="str">
        <f t="shared" si="356"/>
        <v/>
      </c>
      <c r="CD573" t="str">
        <f t="shared" si="338"/>
        <v/>
      </c>
      <c r="CE573" t="str">
        <f t="shared" si="357"/>
        <v>Bowles 5th edition</v>
      </c>
      <c r="CF573">
        <f t="shared" si="339"/>
        <v>115</v>
      </c>
      <c r="CG573" t="str">
        <f t="shared" si="358"/>
        <v/>
      </c>
      <c r="CH573" t="str">
        <f t="shared" si="340"/>
        <v/>
      </c>
      <c r="CI573" t="str">
        <f t="shared" si="359"/>
        <v/>
      </c>
      <c r="CJ573" t="str">
        <f t="shared" si="368"/>
        <v/>
      </c>
    </row>
    <row r="574" spans="2:88" x14ac:dyDescent="0.3">
      <c r="B574" t="str">
        <f t="shared" si="360"/>
        <v>36.823325-76.07455</v>
      </c>
      <c r="C574" s="30" t="s">
        <v>145</v>
      </c>
      <c r="D574">
        <v>36.823324999999997</v>
      </c>
      <c r="E574">
        <v>-76.074550000000002</v>
      </c>
      <c r="F574">
        <v>5</v>
      </c>
      <c r="G574" t="str">
        <f t="shared" si="361"/>
        <v>-33-3536.823325-76.07455</v>
      </c>
      <c r="H574">
        <v>-33</v>
      </c>
      <c r="I574">
        <v>-35</v>
      </c>
      <c r="J574" s="30" t="s">
        <v>21</v>
      </c>
      <c r="L574" t="s">
        <v>17</v>
      </c>
      <c r="M574">
        <v>2</v>
      </c>
      <c r="S574" t="str">
        <f t="shared" si="373"/>
        <v>Sand</v>
      </c>
      <c r="T574">
        <f t="shared" si="362"/>
        <v>1</v>
      </c>
      <c r="AA574">
        <v>80</v>
      </c>
      <c r="AB574" s="1">
        <f t="shared" si="369"/>
        <v>3</v>
      </c>
      <c r="AC574">
        <f t="shared" si="370"/>
        <v>2</v>
      </c>
      <c r="AD574" t="str">
        <f t="shared" si="363"/>
        <v/>
      </c>
      <c r="AG574" s="21" t="str">
        <f t="shared" si="341"/>
        <v/>
      </c>
      <c r="AI574" s="6" t="str">
        <f t="shared" si="342"/>
        <v/>
      </c>
      <c r="AM574" s="7" t="str">
        <f t="shared" si="343"/>
        <v/>
      </c>
      <c r="AQ574" s="8" t="str">
        <f t="shared" si="344"/>
        <v/>
      </c>
      <c r="AW574" s="25" t="str">
        <f t="shared" si="345"/>
        <v/>
      </c>
      <c r="AZ574" s="12" t="str">
        <f t="shared" si="346"/>
        <v/>
      </c>
      <c r="BI574" s="17" t="str">
        <f t="shared" si="347"/>
        <v/>
      </c>
      <c r="BM574" t="str">
        <f t="shared" si="348"/>
        <v>SPT Relationship</v>
      </c>
      <c r="BN574">
        <f t="shared" si="336"/>
        <v>101</v>
      </c>
      <c r="BO574" t="str">
        <f t="shared" si="349"/>
        <v>Wolff, 1989</v>
      </c>
      <c r="BP574">
        <f t="shared" si="371"/>
        <v>27</v>
      </c>
      <c r="BQ574" t="str">
        <f t="shared" si="350"/>
        <v/>
      </c>
      <c r="BR574" t="str">
        <f t="shared" si="364"/>
        <v/>
      </c>
      <c r="BS574" t="str">
        <f t="shared" si="351"/>
        <v/>
      </c>
      <c r="BT574" t="str">
        <f t="shared" si="372"/>
        <v/>
      </c>
      <c r="BU574" t="str">
        <f t="shared" si="352"/>
        <v/>
      </c>
      <c r="BV574" t="str">
        <f t="shared" si="365"/>
        <v/>
      </c>
      <c r="BW574" t="str">
        <f t="shared" si="353"/>
        <v/>
      </c>
      <c r="BX574" t="str">
        <f t="shared" si="366"/>
        <v/>
      </c>
      <c r="BY574" t="str">
        <f t="shared" si="354"/>
        <v/>
      </c>
      <c r="BZ574" t="str">
        <f t="shared" si="367"/>
        <v/>
      </c>
      <c r="CA574" t="str">
        <f t="shared" si="355"/>
        <v/>
      </c>
      <c r="CB574" t="str">
        <f t="shared" si="337"/>
        <v/>
      </c>
      <c r="CC574" t="str">
        <f t="shared" si="356"/>
        <v/>
      </c>
      <c r="CD574" t="str">
        <f t="shared" si="338"/>
        <v/>
      </c>
      <c r="CE574" t="str">
        <f t="shared" si="357"/>
        <v>Bowles 5th edition</v>
      </c>
      <c r="CF574">
        <f t="shared" si="339"/>
        <v>115</v>
      </c>
      <c r="CG574" t="str">
        <f t="shared" si="358"/>
        <v/>
      </c>
      <c r="CH574" t="str">
        <f t="shared" si="340"/>
        <v/>
      </c>
      <c r="CI574" t="str">
        <f t="shared" si="359"/>
        <v/>
      </c>
      <c r="CJ574" t="str">
        <f t="shared" si="368"/>
        <v/>
      </c>
    </row>
    <row r="575" spans="2:88" x14ac:dyDescent="0.3">
      <c r="B575" t="str">
        <f t="shared" si="360"/>
        <v>36.823325-76.07455</v>
      </c>
      <c r="C575" s="30" t="s">
        <v>145</v>
      </c>
      <c r="D575">
        <v>36.823324999999997</v>
      </c>
      <c r="E575">
        <v>-76.074550000000002</v>
      </c>
      <c r="F575">
        <v>5</v>
      </c>
      <c r="G575" t="str">
        <f t="shared" si="361"/>
        <v>-38-4036.823325-76.07455</v>
      </c>
      <c r="H575">
        <v>-38</v>
      </c>
      <c r="I575">
        <v>-40</v>
      </c>
      <c r="J575" s="30" t="s">
        <v>21</v>
      </c>
      <c r="L575" t="s">
        <v>17</v>
      </c>
      <c r="M575">
        <v>2</v>
      </c>
      <c r="S575" t="str">
        <f t="shared" si="373"/>
        <v>Sand</v>
      </c>
      <c r="T575">
        <f t="shared" si="362"/>
        <v>1</v>
      </c>
      <c r="AA575">
        <v>80</v>
      </c>
      <c r="AB575" s="1">
        <f t="shared" si="369"/>
        <v>3</v>
      </c>
      <c r="AC575">
        <f t="shared" si="370"/>
        <v>1</v>
      </c>
      <c r="AD575" t="str">
        <f t="shared" si="363"/>
        <v/>
      </c>
      <c r="AG575" s="21" t="str">
        <f t="shared" si="341"/>
        <v/>
      </c>
      <c r="AI575" s="6" t="str">
        <f t="shared" si="342"/>
        <v/>
      </c>
      <c r="AM575" s="7" t="str">
        <f t="shared" si="343"/>
        <v/>
      </c>
      <c r="AQ575" s="8" t="str">
        <f t="shared" si="344"/>
        <v/>
      </c>
      <c r="AW575" s="25" t="str">
        <f t="shared" si="345"/>
        <v/>
      </c>
      <c r="AZ575" s="12" t="str">
        <f t="shared" si="346"/>
        <v/>
      </c>
      <c r="BI575" s="17" t="str">
        <f t="shared" si="347"/>
        <v/>
      </c>
      <c r="BM575" t="str">
        <f t="shared" si="348"/>
        <v>SPT Relationship</v>
      </c>
      <c r="BN575">
        <f t="shared" si="336"/>
        <v>101</v>
      </c>
      <c r="BO575" t="str">
        <f t="shared" si="349"/>
        <v>Wolff, 1989</v>
      </c>
      <c r="BP575">
        <f t="shared" si="371"/>
        <v>27</v>
      </c>
      <c r="BQ575" t="str">
        <f t="shared" si="350"/>
        <v/>
      </c>
      <c r="BR575" t="str">
        <f t="shared" si="364"/>
        <v/>
      </c>
      <c r="BS575" t="str">
        <f t="shared" si="351"/>
        <v/>
      </c>
      <c r="BT575" t="str">
        <f t="shared" si="372"/>
        <v/>
      </c>
      <c r="BU575" t="str">
        <f t="shared" si="352"/>
        <v/>
      </c>
      <c r="BV575" t="str">
        <f t="shared" si="365"/>
        <v/>
      </c>
      <c r="BW575" t="str">
        <f t="shared" si="353"/>
        <v/>
      </c>
      <c r="BX575" t="str">
        <f t="shared" si="366"/>
        <v/>
      </c>
      <c r="BY575" t="str">
        <f t="shared" si="354"/>
        <v/>
      </c>
      <c r="BZ575" t="str">
        <f t="shared" si="367"/>
        <v/>
      </c>
      <c r="CA575" t="str">
        <f t="shared" si="355"/>
        <v/>
      </c>
      <c r="CB575" t="str">
        <f t="shared" si="337"/>
        <v/>
      </c>
      <c r="CC575" t="str">
        <f t="shared" si="356"/>
        <v/>
      </c>
      <c r="CD575" t="str">
        <f t="shared" si="338"/>
        <v/>
      </c>
      <c r="CE575" t="str">
        <f t="shared" si="357"/>
        <v>Bowles 5th edition</v>
      </c>
      <c r="CF575">
        <f t="shared" si="339"/>
        <v>115</v>
      </c>
      <c r="CG575" t="str">
        <f t="shared" si="358"/>
        <v/>
      </c>
      <c r="CH575" t="str">
        <f t="shared" si="340"/>
        <v/>
      </c>
      <c r="CI575" t="str">
        <f t="shared" si="359"/>
        <v/>
      </c>
      <c r="CJ575" t="str">
        <f t="shared" si="368"/>
        <v/>
      </c>
    </row>
    <row r="576" spans="2:88" x14ac:dyDescent="0.3">
      <c r="B576" t="str">
        <f t="shared" si="360"/>
        <v>36.823325-76.07455</v>
      </c>
      <c r="C576" s="30" t="s">
        <v>145</v>
      </c>
      <c r="D576">
        <v>36.823324999999997</v>
      </c>
      <c r="E576">
        <v>-76.074550000000002</v>
      </c>
      <c r="F576">
        <v>5</v>
      </c>
      <c r="G576" t="str">
        <f t="shared" si="361"/>
        <v>-43-4536.823325-76.07455</v>
      </c>
      <c r="H576">
        <v>-43</v>
      </c>
      <c r="I576">
        <v>-45</v>
      </c>
      <c r="J576" s="30" t="s">
        <v>21</v>
      </c>
      <c r="L576" t="s">
        <v>113</v>
      </c>
      <c r="M576">
        <v>2</v>
      </c>
      <c r="S576" t="str">
        <f t="shared" si="373"/>
        <v>Clay</v>
      </c>
      <c r="T576">
        <f t="shared" si="362"/>
        <v>1</v>
      </c>
      <c r="AA576">
        <v>80</v>
      </c>
      <c r="AB576" s="1">
        <f t="shared" si="369"/>
        <v>3</v>
      </c>
      <c r="AC576">
        <f t="shared" si="370"/>
        <v>1</v>
      </c>
      <c r="AD576" t="str">
        <f t="shared" si="363"/>
        <v/>
      </c>
      <c r="AG576" s="21" t="str">
        <f t="shared" si="341"/>
        <v/>
      </c>
      <c r="AI576" s="6" t="str">
        <f t="shared" si="342"/>
        <v/>
      </c>
      <c r="AM576" s="7" t="str">
        <f t="shared" si="343"/>
        <v/>
      </c>
      <c r="AQ576" s="8" t="str">
        <f t="shared" si="344"/>
        <v/>
      </c>
      <c r="AW576" s="25" t="str">
        <f t="shared" si="345"/>
        <v/>
      </c>
      <c r="AZ576" s="12" t="str">
        <f t="shared" si="346"/>
        <v/>
      </c>
      <c r="BI576" s="17" t="str">
        <f t="shared" si="347"/>
        <v/>
      </c>
      <c r="BM576" t="str">
        <f t="shared" si="348"/>
        <v>SPT Relationship</v>
      </c>
      <c r="BN576">
        <f t="shared" ref="BN576:BN648" si="374">IFERROR(IF(M576=0,95,ROUND(95*M576^0.095,0)),"")</f>
        <v>101</v>
      </c>
      <c r="BO576" t="str">
        <f t="shared" si="349"/>
        <v>Wolff, 1989</v>
      </c>
      <c r="BP576">
        <f t="shared" si="371"/>
        <v>27</v>
      </c>
      <c r="BQ576" t="str">
        <f t="shared" si="350"/>
        <v/>
      </c>
      <c r="BR576" t="str">
        <f t="shared" si="364"/>
        <v/>
      </c>
      <c r="BS576" t="str">
        <f t="shared" si="351"/>
        <v>Stroud 1974 (K=3.5)</v>
      </c>
      <c r="BT576">
        <f t="shared" si="372"/>
        <v>219</v>
      </c>
      <c r="BU576" t="str">
        <f t="shared" si="352"/>
        <v/>
      </c>
      <c r="BV576" t="str">
        <f t="shared" si="365"/>
        <v/>
      </c>
      <c r="BW576" t="str">
        <f t="shared" si="353"/>
        <v/>
      </c>
      <c r="BX576" t="str">
        <f t="shared" si="366"/>
        <v/>
      </c>
      <c r="BY576" t="str">
        <f t="shared" si="354"/>
        <v/>
      </c>
      <c r="BZ576" t="str">
        <f t="shared" si="367"/>
        <v/>
      </c>
      <c r="CA576" t="str">
        <f t="shared" si="355"/>
        <v/>
      </c>
      <c r="CB576" t="str">
        <f t="shared" ref="CB576:CB639" si="375">IF(P576="","",-0.0000000002*P576^5+0.00000009*P576^4-0.00002*P576^3+0.0019*P576^2-0.0999*P576+2.2178)</f>
        <v/>
      </c>
      <c r="CC576" t="str">
        <f t="shared" si="356"/>
        <v/>
      </c>
      <c r="CD576" t="str">
        <f t="shared" ref="CD576:CD639" si="376">IF(AD576="","",(10^(1.11-1.62*AD576)*100)*20.885434273039)</f>
        <v/>
      </c>
      <c r="CE576" t="str">
        <f t="shared" si="357"/>
        <v/>
      </c>
      <c r="CF576" t="str">
        <f t="shared" ref="CF576:CF639" si="377">IF(S576="Clay","",IF(AB576="","",ROUND((AB576+15)*6.4,0)))</f>
        <v/>
      </c>
      <c r="CG576" t="str">
        <f t="shared" si="358"/>
        <v/>
      </c>
      <c r="CH576" t="str">
        <f t="shared" ref="CH576:CH639" si="378">IF(N576="","",ROUND(N576/100*2.67,2))</f>
        <v/>
      </c>
      <c r="CI576" t="str">
        <f t="shared" si="359"/>
        <v/>
      </c>
      <c r="CJ576" t="str">
        <f t="shared" si="368"/>
        <v/>
      </c>
    </row>
    <row r="577" spans="2:88" x14ac:dyDescent="0.3">
      <c r="B577" t="str">
        <f t="shared" si="360"/>
        <v>36.823325-76.07455</v>
      </c>
      <c r="C577" s="30" t="s">
        <v>145</v>
      </c>
      <c r="D577">
        <v>36.823324999999997</v>
      </c>
      <c r="E577">
        <v>-76.074550000000002</v>
      </c>
      <c r="F577">
        <v>5</v>
      </c>
      <c r="G577" t="str">
        <f t="shared" si="361"/>
        <v>-45-4736.823325-76.07455</v>
      </c>
      <c r="H577">
        <v>-45</v>
      </c>
      <c r="I577">
        <v>-47</v>
      </c>
      <c r="J577" s="30" t="s">
        <v>49</v>
      </c>
      <c r="L577" t="s">
        <v>113</v>
      </c>
      <c r="M577" t="s">
        <v>148</v>
      </c>
      <c r="S577" t="str">
        <f t="shared" si="373"/>
        <v>Clay</v>
      </c>
      <c r="T577">
        <f t="shared" si="362"/>
        <v>1</v>
      </c>
      <c r="AA577">
        <v>80</v>
      </c>
      <c r="AB577" s="1" t="str">
        <f t="shared" si="369"/>
        <v/>
      </c>
      <c r="AC577" t="str">
        <f t="shared" si="370"/>
        <v/>
      </c>
      <c r="AD577" t="str">
        <f t="shared" si="363"/>
        <v/>
      </c>
      <c r="AG577" s="21" t="str">
        <f t="shared" si="341"/>
        <v/>
      </c>
      <c r="AI577" s="6" t="str">
        <f t="shared" si="342"/>
        <v/>
      </c>
      <c r="AM577" s="7" t="str">
        <f t="shared" si="343"/>
        <v/>
      </c>
      <c r="AQ577" s="8" t="str">
        <f t="shared" si="344"/>
        <v/>
      </c>
      <c r="AW577" s="25" t="str">
        <f t="shared" si="345"/>
        <v/>
      </c>
      <c r="AZ577" s="12" t="str">
        <f t="shared" si="346"/>
        <v/>
      </c>
      <c r="BI577" s="17" t="str">
        <f t="shared" si="347"/>
        <v/>
      </c>
      <c r="BM577" t="str">
        <f t="shared" si="348"/>
        <v/>
      </c>
      <c r="BN577" t="str">
        <f t="shared" si="374"/>
        <v/>
      </c>
      <c r="BO577" t="str">
        <f t="shared" si="349"/>
        <v/>
      </c>
      <c r="BP577" t="str">
        <f t="shared" si="371"/>
        <v/>
      </c>
      <c r="BQ577" t="str">
        <f t="shared" si="350"/>
        <v/>
      </c>
      <c r="BR577" t="str">
        <f t="shared" si="364"/>
        <v/>
      </c>
      <c r="BS577" t="str">
        <f t="shared" si="351"/>
        <v/>
      </c>
      <c r="BT577" t="str">
        <f t="shared" si="372"/>
        <v/>
      </c>
      <c r="BU577" t="str">
        <f t="shared" si="352"/>
        <v/>
      </c>
      <c r="BV577" t="str">
        <f t="shared" si="365"/>
        <v/>
      </c>
      <c r="BW577" t="str">
        <f t="shared" si="353"/>
        <v/>
      </c>
      <c r="BX577" t="str">
        <f t="shared" si="366"/>
        <v/>
      </c>
      <c r="BY577" t="str">
        <f t="shared" si="354"/>
        <v/>
      </c>
      <c r="BZ577" t="str">
        <f t="shared" si="367"/>
        <v/>
      </c>
      <c r="CA577" t="str">
        <f t="shared" si="355"/>
        <v/>
      </c>
      <c r="CB577" t="str">
        <f t="shared" si="375"/>
        <v/>
      </c>
      <c r="CC577" t="str">
        <f t="shared" si="356"/>
        <v/>
      </c>
      <c r="CD577" t="str">
        <f t="shared" si="376"/>
        <v/>
      </c>
      <c r="CE577" t="str">
        <f t="shared" si="357"/>
        <v/>
      </c>
      <c r="CF577" t="str">
        <f t="shared" si="377"/>
        <v/>
      </c>
      <c r="CG577" t="str">
        <f t="shared" si="358"/>
        <v/>
      </c>
      <c r="CH577" t="str">
        <f t="shared" si="378"/>
        <v/>
      </c>
      <c r="CI577" t="str">
        <f t="shared" si="359"/>
        <v/>
      </c>
      <c r="CJ577" t="str">
        <f t="shared" si="368"/>
        <v/>
      </c>
    </row>
    <row r="578" spans="2:88" x14ac:dyDescent="0.3">
      <c r="B578" t="str">
        <f t="shared" si="360"/>
        <v>36.823325-76.07455</v>
      </c>
      <c r="C578" s="30" t="s">
        <v>145</v>
      </c>
      <c r="D578">
        <v>36.823324999999997</v>
      </c>
      <c r="E578">
        <v>-76.074550000000002</v>
      </c>
      <c r="F578">
        <v>5</v>
      </c>
      <c r="G578" t="str">
        <f t="shared" si="361"/>
        <v>-47-4936.823325-76.07455</v>
      </c>
      <c r="H578">
        <v>-47</v>
      </c>
      <c r="I578">
        <v>-49</v>
      </c>
      <c r="J578" s="30" t="s">
        <v>21</v>
      </c>
      <c r="L578" t="s">
        <v>113</v>
      </c>
      <c r="M578">
        <v>2</v>
      </c>
      <c r="S578" t="str">
        <f t="shared" si="373"/>
        <v>Clay</v>
      </c>
      <c r="T578">
        <f t="shared" si="362"/>
        <v>1</v>
      </c>
      <c r="AA578">
        <v>80</v>
      </c>
      <c r="AB578" s="1">
        <f t="shared" si="369"/>
        <v>3</v>
      </c>
      <c r="AC578">
        <f t="shared" si="370"/>
        <v>1</v>
      </c>
      <c r="AD578" t="str">
        <f t="shared" si="363"/>
        <v/>
      </c>
      <c r="AG578" s="21" t="str">
        <f t="shared" si="341"/>
        <v/>
      </c>
      <c r="AI578" s="6" t="str">
        <f t="shared" si="342"/>
        <v/>
      </c>
      <c r="AM578" s="7" t="str">
        <f t="shared" si="343"/>
        <v/>
      </c>
      <c r="AQ578" s="8" t="str">
        <f t="shared" si="344"/>
        <v/>
      </c>
      <c r="AW578" s="25" t="str">
        <f t="shared" si="345"/>
        <v/>
      </c>
      <c r="AZ578" s="12" t="str">
        <f t="shared" si="346"/>
        <v/>
      </c>
      <c r="BI578" s="17" t="str">
        <f t="shared" si="347"/>
        <v/>
      </c>
      <c r="BM578" t="str">
        <f t="shared" si="348"/>
        <v>SPT Relationship</v>
      </c>
      <c r="BN578">
        <f t="shared" si="374"/>
        <v>101</v>
      </c>
      <c r="BO578" t="str">
        <f t="shared" si="349"/>
        <v>Wolff, 1989</v>
      </c>
      <c r="BP578">
        <f t="shared" si="371"/>
        <v>27</v>
      </c>
      <c r="BQ578" t="str">
        <f t="shared" si="350"/>
        <v/>
      </c>
      <c r="BR578" t="str">
        <f t="shared" si="364"/>
        <v/>
      </c>
      <c r="BS578" t="str">
        <f t="shared" si="351"/>
        <v>Stroud 1974 (K=3.5)</v>
      </c>
      <c r="BT578">
        <f t="shared" si="372"/>
        <v>219</v>
      </c>
      <c r="BU578" t="str">
        <f t="shared" si="352"/>
        <v/>
      </c>
      <c r="BV578" t="str">
        <f t="shared" si="365"/>
        <v/>
      </c>
      <c r="BW578" t="str">
        <f t="shared" si="353"/>
        <v/>
      </c>
      <c r="BX578" t="str">
        <f t="shared" si="366"/>
        <v/>
      </c>
      <c r="BY578" t="str">
        <f t="shared" si="354"/>
        <v/>
      </c>
      <c r="BZ578" t="str">
        <f t="shared" si="367"/>
        <v/>
      </c>
      <c r="CA578" t="str">
        <f t="shared" si="355"/>
        <v/>
      </c>
      <c r="CB578" t="str">
        <f t="shared" si="375"/>
        <v/>
      </c>
      <c r="CC578" t="str">
        <f t="shared" si="356"/>
        <v/>
      </c>
      <c r="CD578" t="str">
        <f t="shared" si="376"/>
        <v/>
      </c>
      <c r="CE578" t="str">
        <f t="shared" si="357"/>
        <v/>
      </c>
      <c r="CF578" t="str">
        <f t="shared" si="377"/>
        <v/>
      </c>
      <c r="CG578" t="str">
        <f t="shared" si="358"/>
        <v/>
      </c>
      <c r="CH578" t="str">
        <f t="shared" si="378"/>
        <v/>
      </c>
      <c r="CI578" t="str">
        <f t="shared" si="359"/>
        <v/>
      </c>
      <c r="CJ578" t="str">
        <f t="shared" si="368"/>
        <v/>
      </c>
    </row>
    <row r="579" spans="2:88" x14ac:dyDescent="0.3">
      <c r="B579" t="str">
        <f t="shared" si="360"/>
        <v>36.823325-76.07455</v>
      </c>
      <c r="C579" s="30" t="s">
        <v>145</v>
      </c>
      <c r="D579">
        <v>36.823324999999997</v>
      </c>
      <c r="E579">
        <v>-76.074550000000002</v>
      </c>
      <c r="F579">
        <v>5</v>
      </c>
      <c r="G579" t="str">
        <f t="shared" si="361"/>
        <v>-53-5536.823325-76.07455</v>
      </c>
      <c r="H579">
        <v>-53</v>
      </c>
      <c r="I579">
        <v>-55</v>
      </c>
      <c r="J579" s="30" t="s">
        <v>21</v>
      </c>
      <c r="L579" t="s">
        <v>113</v>
      </c>
      <c r="M579">
        <v>2</v>
      </c>
      <c r="S579" t="str">
        <f t="shared" si="373"/>
        <v>Clay</v>
      </c>
      <c r="T579">
        <f t="shared" si="362"/>
        <v>1</v>
      </c>
      <c r="AA579">
        <v>80</v>
      </c>
      <c r="AB579" s="1">
        <f t="shared" si="369"/>
        <v>3</v>
      </c>
      <c r="AC579">
        <f t="shared" si="370"/>
        <v>1</v>
      </c>
      <c r="AD579" t="str">
        <f t="shared" si="363"/>
        <v/>
      </c>
      <c r="AG579" s="21" t="str">
        <f t="shared" ref="AG579:AG642" si="379">IF(AH579="","","Pocket Pentrometer")</f>
        <v/>
      </c>
      <c r="AI579" s="6" t="str">
        <f t="shared" ref="AI579:AI642" si="380">IF(AJ579="","","Unconfined Compression")</f>
        <v/>
      </c>
      <c r="AM579" s="7" t="str">
        <f t="shared" ref="AM579:AM642" si="381">IF(AN579="","","Undrained Unconsolidated Triaxial")</f>
        <v/>
      </c>
      <c r="AQ579" s="8" t="str">
        <f t="shared" ref="AQ579:AQ642" si="382">IF(AR579="","","Consolidated Undrained Triaxial")</f>
        <v/>
      </c>
      <c r="AW579" s="25" t="str">
        <f t="shared" ref="AW579:AW642" si="383">IF(AX579="","","Direct Shear")</f>
        <v/>
      </c>
      <c r="AZ579" s="12" t="str">
        <f t="shared" ref="AZ579:AZ642" si="384">IF(BA579="","","Consolidation Test")</f>
        <v/>
      </c>
      <c r="BI579" s="17" t="str">
        <f t="shared" ref="BI579:BI642" si="385">IF(BJ579="","","Permeability Test")</f>
        <v/>
      </c>
      <c r="BM579" t="str">
        <f t="shared" ref="BM579:BM648" si="386">IF(BN579="","","SPT Relationship")</f>
        <v>SPT Relationship</v>
      </c>
      <c r="BN579">
        <f t="shared" si="374"/>
        <v>101</v>
      </c>
      <c r="BO579" t="str">
        <f t="shared" ref="BO579:BO642" si="387">IF(BP579="","","Wolff, 1989")</f>
        <v>Wolff, 1989</v>
      </c>
      <c r="BP579">
        <f t="shared" si="371"/>
        <v>27</v>
      </c>
      <c r="BQ579" t="str">
        <f t="shared" ref="BQ579:BQ642" si="388">IF(BR579="","","GTENG-2476")</f>
        <v/>
      </c>
      <c r="BR579" t="str">
        <f t="shared" si="364"/>
        <v/>
      </c>
      <c r="BS579" t="str">
        <f t="shared" ref="BS579:BS642" si="389">IF(BT579="","", "Stroud 1974 (K=3.5)")</f>
        <v>Stroud 1974 (K=3.5)</v>
      </c>
      <c r="BT579">
        <f t="shared" si="372"/>
        <v>219</v>
      </c>
      <c r="BU579" t="str">
        <f t="shared" ref="BU579:BU642" si="390">IF(BV579="","","Kulhawy and Mayne 1990")</f>
        <v/>
      </c>
      <c r="BV579" t="str">
        <f t="shared" si="365"/>
        <v/>
      </c>
      <c r="BW579" t="str">
        <f t="shared" ref="BW579:BW642" si="391">IF(BX579="","","Kulhawy and Mayne 1990")</f>
        <v/>
      </c>
      <c r="BX579" t="str">
        <f t="shared" si="366"/>
        <v/>
      </c>
      <c r="BY579" t="str">
        <f t="shared" ref="BY579:BY642" si="392">IF(BZ579="","","Mesri 1990")</f>
        <v/>
      </c>
      <c r="BZ579" t="str">
        <f t="shared" si="367"/>
        <v/>
      </c>
      <c r="CA579" t="str">
        <f t="shared" ref="CA579:CA642" si="393">IF(CB579="","","NAVFAC Vol. 7.1 Figure 4")</f>
        <v/>
      </c>
      <c r="CB579" t="str">
        <f t="shared" si="375"/>
        <v/>
      </c>
      <c r="CC579" t="str">
        <f t="shared" ref="CC579:CC642" si="394">IF(CD579="","","Stas and Kulhawy 1984")</f>
        <v/>
      </c>
      <c r="CD579" t="str">
        <f t="shared" si="376"/>
        <v/>
      </c>
      <c r="CE579" t="str">
        <f t="shared" ref="CE579:CE642" si="395">IF(CF579="","","Bowles 5th edition")</f>
        <v/>
      </c>
      <c r="CF579" t="str">
        <f t="shared" si="377"/>
        <v/>
      </c>
      <c r="CG579" t="str">
        <f t="shared" ref="CG579:CG642" si="396">IF(CH579="","","Relationship (Gs=2.67)")</f>
        <v/>
      </c>
      <c r="CH579" t="str">
        <f t="shared" si="378"/>
        <v/>
      </c>
      <c r="CI579" t="str">
        <f t="shared" ref="CI579:CI642" si="397">IF(CJ579="","","Hazen, 1911 (c=1.5)")</f>
        <v/>
      </c>
      <c r="CJ579" t="str">
        <f t="shared" si="368"/>
        <v/>
      </c>
    </row>
    <row r="580" spans="2:88" x14ac:dyDescent="0.3">
      <c r="B580" t="str">
        <f t="shared" si="360"/>
        <v>36.823325-76.07455</v>
      </c>
      <c r="C580" s="30" t="s">
        <v>145</v>
      </c>
      <c r="D580">
        <v>36.823324999999997</v>
      </c>
      <c r="E580">
        <v>-76.074550000000002</v>
      </c>
      <c r="F580">
        <v>5</v>
      </c>
      <c r="G580" t="str">
        <f t="shared" si="361"/>
        <v>-58-6036.823325-76.07455</v>
      </c>
      <c r="H580">
        <v>-58</v>
      </c>
      <c r="I580">
        <v>-60</v>
      </c>
      <c r="J580" s="30" t="s">
        <v>21</v>
      </c>
      <c r="L580" t="s">
        <v>11</v>
      </c>
      <c r="M580">
        <v>0</v>
      </c>
      <c r="S580" t="str">
        <f t="shared" si="373"/>
        <v>Clay</v>
      </c>
      <c r="T580">
        <f t="shared" si="362"/>
        <v>1</v>
      </c>
      <c r="AA580">
        <v>80</v>
      </c>
      <c r="AB580" s="1">
        <f t="shared" si="369"/>
        <v>0</v>
      </c>
      <c r="AC580">
        <f t="shared" si="370"/>
        <v>0</v>
      </c>
      <c r="AD580" t="str">
        <f t="shared" si="363"/>
        <v/>
      </c>
      <c r="AG580" s="21" t="str">
        <f t="shared" si="379"/>
        <v/>
      </c>
      <c r="AI580" s="6" t="str">
        <f t="shared" si="380"/>
        <v/>
      </c>
      <c r="AM580" s="7" t="str">
        <f t="shared" si="381"/>
        <v/>
      </c>
      <c r="AQ580" s="8" t="str">
        <f t="shared" si="382"/>
        <v/>
      </c>
      <c r="AW580" s="25" t="str">
        <f t="shared" si="383"/>
        <v/>
      </c>
      <c r="AZ580" s="12" t="str">
        <f t="shared" si="384"/>
        <v/>
      </c>
      <c r="BI580" s="17" t="str">
        <f t="shared" si="385"/>
        <v/>
      </c>
      <c r="BM580" t="str">
        <f t="shared" si="386"/>
        <v>SPT Relationship</v>
      </c>
      <c r="BN580">
        <f t="shared" si="374"/>
        <v>95</v>
      </c>
      <c r="BO580" t="str">
        <f t="shared" si="387"/>
        <v>Wolff, 1989</v>
      </c>
      <c r="BP580">
        <f t="shared" si="371"/>
        <v>27</v>
      </c>
      <c r="BQ580" t="str">
        <f t="shared" si="388"/>
        <v/>
      </c>
      <c r="BR580" t="str">
        <f t="shared" si="364"/>
        <v/>
      </c>
      <c r="BS580" t="str">
        <f t="shared" si="389"/>
        <v>Stroud 1974 (K=3.5)</v>
      </c>
      <c r="BT580">
        <f t="shared" si="372"/>
        <v>0</v>
      </c>
      <c r="BU580" t="str">
        <f t="shared" si="390"/>
        <v/>
      </c>
      <c r="BV580" t="str">
        <f t="shared" si="365"/>
        <v/>
      </c>
      <c r="BW580" t="str">
        <f t="shared" si="391"/>
        <v/>
      </c>
      <c r="BX580" t="str">
        <f t="shared" si="366"/>
        <v/>
      </c>
      <c r="BY580" t="str">
        <f t="shared" si="392"/>
        <v/>
      </c>
      <c r="BZ580" t="str">
        <f t="shared" si="367"/>
        <v/>
      </c>
      <c r="CA580" t="str">
        <f t="shared" si="393"/>
        <v/>
      </c>
      <c r="CB580" t="str">
        <f t="shared" si="375"/>
        <v/>
      </c>
      <c r="CC580" t="str">
        <f t="shared" si="394"/>
        <v/>
      </c>
      <c r="CD580" t="str">
        <f t="shared" si="376"/>
        <v/>
      </c>
      <c r="CE580" t="str">
        <f t="shared" si="395"/>
        <v/>
      </c>
      <c r="CF580" t="str">
        <f t="shared" si="377"/>
        <v/>
      </c>
      <c r="CG580" t="str">
        <f t="shared" si="396"/>
        <v/>
      </c>
      <c r="CH580" t="str">
        <f t="shared" si="378"/>
        <v/>
      </c>
      <c r="CI580" t="str">
        <f t="shared" si="397"/>
        <v/>
      </c>
      <c r="CJ580" t="str">
        <f t="shared" si="368"/>
        <v/>
      </c>
    </row>
    <row r="581" spans="2:88" x14ac:dyDescent="0.3">
      <c r="B581" t="str">
        <f t="shared" si="360"/>
        <v>36.823325-76.07455</v>
      </c>
      <c r="C581" s="30" t="s">
        <v>145</v>
      </c>
      <c r="D581">
        <v>36.823324999999997</v>
      </c>
      <c r="E581">
        <v>-76.074550000000002</v>
      </c>
      <c r="F581">
        <v>5</v>
      </c>
      <c r="G581" t="str">
        <f t="shared" si="361"/>
        <v>-63-6536.823325-76.07455</v>
      </c>
      <c r="H581">
        <v>-63</v>
      </c>
      <c r="I581">
        <v>-65</v>
      </c>
      <c r="J581" s="30" t="s">
        <v>21</v>
      </c>
      <c r="L581" t="s">
        <v>17</v>
      </c>
      <c r="M581">
        <v>2</v>
      </c>
      <c r="S581" t="str">
        <f t="shared" si="373"/>
        <v>Sand</v>
      </c>
      <c r="T581">
        <f t="shared" si="362"/>
        <v>1</v>
      </c>
      <c r="AA581">
        <v>80</v>
      </c>
      <c r="AB581" s="1">
        <f t="shared" si="369"/>
        <v>3</v>
      </c>
      <c r="AC581">
        <f t="shared" si="370"/>
        <v>1</v>
      </c>
      <c r="AD581" t="str">
        <f t="shared" si="363"/>
        <v/>
      </c>
      <c r="AG581" s="21" t="str">
        <f t="shared" si="379"/>
        <v/>
      </c>
      <c r="AI581" s="6" t="str">
        <f t="shared" si="380"/>
        <v/>
      </c>
      <c r="AM581" s="7" t="str">
        <f t="shared" si="381"/>
        <v/>
      </c>
      <c r="AQ581" s="8" t="str">
        <f t="shared" si="382"/>
        <v/>
      </c>
      <c r="AW581" s="25" t="str">
        <f t="shared" si="383"/>
        <v/>
      </c>
      <c r="AZ581" s="12" t="str">
        <f t="shared" si="384"/>
        <v/>
      </c>
      <c r="BI581" s="17" t="str">
        <f t="shared" si="385"/>
        <v/>
      </c>
      <c r="BM581" t="str">
        <f t="shared" si="386"/>
        <v>SPT Relationship</v>
      </c>
      <c r="BN581">
        <f t="shared" si="374"/>
        <v>101</v>
      </c>
      <c r="BO581" t="str">
        <f t="shared" si="387"/>
        <v>Wolff, 1989</v>
      </c>
      <c r="BP581">
        <f t="shared" si="371"/>
        <v>27</v>
      </c>
      <c r="BQ581" t="str">
        <f t="shared" si="388"/>
        <v/>
      </c>
      <c r="BR581" t="str">
        <f t="shared" si="364"/>
        <v/>
      </c>
      <c r="BS581" t="str">
        <f t="shared" si="389"/>
        <v/>
      </c>
      <c r="BT581" t="str">
        <f t="shared" si="372"/>
        <v/>
      </c>
      <c r="BU581" t="str">
        <f t="shared" si="390"/>
        <v/>
      </c>
      <c r="BV581" t="str">
        <f t="shared" si="365"/>
        <v/>
      </c>
      <c r="BW581" t="str">
        <f t="shared" si="391"/>
        <v/>
      </c>
      <c r="BX581" t="str">
        <f t="shared" si="366"/>
        <v/>
      </c>
      <c r="BY581" t="str">
        <f t="shared" si="392"/>
        <v/>
      </c>
      <c r="BZ581" t="str">
        <f t="shared" si="367"/>
        <v/>
      </c>
      <c r="CA581" t="str">
        <f t="shared" si="393"/>
        <v/>
      </c>
      <c r="CB581" t="str">
        <f t="shared" si="375"/>
        <v/>
      </c>
      <c r="CC581" t="str">
        <f t="shared" si="394"/>
        <v/>
      </c>
      <c r="CD581" t="str">
        <f t="shared" si="376"/>
        <v/>
      </c>
      <c r="CE581" t="str">
        <f t="shared" si="395"/>
        <v>Bowles 5th edition</v>
      </c>
      <c r="CF581">
        <f t="shared" si="377"/>
        <v>115</v>
      </c>
      <c r="CG581" t="str">
        <f t="shared" si="396"/>
        <v/>
      </c>
      <c r="CH581" t="str">
        <f t="shared" si="378"/>
        <v/>
      </c>
      <c r="CI581" t="str">
        <f t="shared" si="397"/>
        <v/>
      </c>
      <c r="CJ581" t="str">
        <f t="shared" si="368"/>
        <v/>
      </c>
    </row>
    <row r="582" spans="2:88" x14ac:dyDescent="0.3">
      <c r="B582" t="str">
        <f t="shared" si="360"/>
        <v>36.823325-76.07455</v>
      </c>
      <c r="C582" s="30" t="s">
        <v>145</v>
      </c>
      <c r="D582">
        <v>36.823324999999997</v>
      </c>
      <c r="E582">
        <v>-76.074550000000002</v>
      </c>
      <c r="F582">
        <v>5</v>
      </c>
      <c r="G582" t="str">
        <f t="shared" si="361"/>
        <v>-68-7036.823325-76.07455</v>
      </c>
      <c r="H582">
        <v>-68</v>
      </c>
      <c r="I582">
        <v>-70</v>
      </c>
      <c r="J582" s="30" t="s">
        <v>21</v>
      </c>
      <c r="L582" t="s">
        <v>17</v>
      </c>
      <c r="M582">
        <v>2</v>
      </c>
      <c r="S582" t="str">
        <f t="shared" si="373"/>
        <v>Sand</v>
      </c>
      <c r="T582">
        <f t="shared" si="362"/>
        <v>1</v>
      </c>
      <c r="AA582">
        <v>80</v>
      </c>
      <c r="AB582" s="1">
        <f t="shared" si="369"/>
        <v>3</v>
      </c>
      <c r="AC582">
        <f t="shared" si="370"/>
        <v>1</v>
      </c>
      <c r="AD582" t="str">
        <f t="shared" si="363"/>
        <v/>
      </c>
      <c r="AG582" s="21" t="str">
        <f t="shared" si="379"/>
        <v/>
      </c>
      <c r="AI582" s="6" t="str">
        <f t="shared" si="380"/>
        <v/>
      </c>
      <c r="AM582" s="7" t="str">
        <f t="shared" si="381"/>
        <v/>
      </c>
      <c r="AQ582" s="8" t="str">
        <f t="shared" si="382"/>
        <v/>
      </c>
      <c r="AW582" s="25" t="str">
        <f t="shared" si="383"/>
        <v/>
      </c>
      <c r="AZ582" s="12" t="str">
        <f t="shared" si="384"/>
        <v/>
      </c>
      <c r="BI582" s="17" t="str">
        <f t="shared" si="385"/>
        <v/>
      </c>
      <c r="BM582" t="str">
        <f t="shared" si="386"/>
        <v>SPT Relationship</v>
      </c>
      <c r="BN582">
        <f t="shared" si="374"/>
        <v>101</v>
      </c>
      <c r="BO582" t="str">
        <f t="shared" si="387"/>
        <v>Wolff, 1989</v>
      </c>
      <c r="BP582">
        <f t="shared" si="371"/>
        <v>27</v>
      </c>
      <c r="BQ582" t="str">
        <f t="shared" si="388"/>
        <v/>
      </c>
      <c r="BR582" t="str">
        <f t="shared" si="364"/>
        <v/>
      </c>
      <c r="BS582" t="str">
        <f t="shared" si="389"/>
        <v/>
      </c>
      <c r="BT582" t="str">
        <f t="shared" si="372"/>
        <v/>
      </c>
      <c r="BU582" t="str">
        <f t="shared" si="390"/>
        <v/>
      </c>
      <c r="BV582" t="str">
        <f t="shared" si="365"/>
        <v/>
      </c>
      <c r="BW582" t="str">
        <f t="shared" si="391"/>
        <v/>
      </c>
      <c r="BX582" t="str">
        <f t="shared" si="366"/>
        <v/>
      </c>
      <c r="BY582" t="str">
        <f t="shared" si="392"/>
        <v/>
      </c>
      <c r="BZ582" t="str">
        <f t="shared" si="367"/>
        <v/>
      </c>
      <c r="CA582" t="str">
        <f t="shared" si="393"/>
        <v/>
      </c>
      <c r="CB582" t="str">
        <f t="shared" si="375"/>
        <v/>
      </c>
      <c r="CC582" t="str">
        <f t="shared" si="394"/>
        <v/>
      </c>
      <c r="CD582" t="str">
        <f t="shared" si="376"/>
        <v/>
      </c>
      <c r="CE582" t="str">
        <f t="shared" si="395"/>
        <v>Bowles 5th edition</v>
      </c>
      <c r="CF582">
        <f t="shared" si="377"/>
        <v>115</v>
      </c>
      <c r="CG582" t="str">
        <f t="shared" si="396"/>
        <v/>
      </c>
      <c r="CH582" t="str">
        <f t="shared" si="378"/>
        <v/>
      </c>
      <c r="CI582" t="str">
        <f t="shared" si="397"/>
        <v/>
      </c>
      <c r="CJ582" t="str">
        <f t="shared" si="368"/>
        <v/>
      </c>
    </row>
    <row r="583" spans="2:88" x14ac:dyDescent="0.3">
      <c r="B583" t="str">
        <f t="shared" si="360"/>
        <v>36.823325-76.07455</v>
      </c>
      <c r="C583" s="30" t="s">
        <v>145</v>
      </c>
      <c r="D583">
        <v>36.823324999999997</v>
      </c>
      <c r="E583">
        <v>-76.074550000000002</v>
      </c>
      <c r="F583">
        <v>5</v>
      </c>
      <c r="G583" t="str">
        <f t="shared" si="361"/>
        <v>-73-7536.823325-76.07455</v>
      </c>
      <c r="H583">
        <v>-73</v>
      </c>
      <c r="I583">
        <v>-75</v>
      </c>
      <c r="J583" s="30" t="s">
        <v>21</v>
      </c>
      <c r="L583" t="s">
        <v>113</v>
      </c>
      <c r="M583">
        <v>0</v>
      </c>
      <c r="S583" t="str">
        <f t="shared" si="373"/>
        <v>Clay</v>
      </c>
      <c r="T583">
        <f t="shared" si="362"/>
        <v>1</v>
      </c>
      <c r="AA583">
        <v>80</v>
      </c>
      <c r="AB583" s="1">
        <f t="shared" si="369"/>
        <v>0</v>
      </c>
      <c r="AC583">
        <f t="shared" si="370"/>
        <v>0</v>
      </c>
      <c r="AD583" t="str">
        <f t="shared" si="363"/>
        <v/>
      </c>
      <c r="AG583" s="21" t="str">
        <f t="shared" si="379"/>
        <v/>
      </c>
      <c r="AI583" s="6" t="str">
        <f t="shared" si="380"/>
        <v/>
      </c>
      <c r="AM583" s="7" t="str">
        <f t="shared" si="381"/>
        <v/>
      </c>
      <c r="AQ583" s="8" t="str">
        <f t="shared" si="382"/>
        <v/>
      </c>
      <c r="AW583" s="25" t="str">
        <f t="shared" si="383"/>
        <v/>
      </c>
      <c r="AZ583" s="12" t="str">
        <f t="shared" si="384"/>
        <v/>
      </c>
      <c r="BI583" s="17" t="str">
        <f t="shared" si="385"/>
        <v/>
      </c>
      <c r="BM583" t="str">
        <f t="shared" si="386"/>
        <v>SPT Relationship</v>
      </c>
      <c r="BN583">
        <f t="shared" si="374"/>
        <v>95</v>
      </c>
      <c r="BO583" t="str">
        <f t="shared" si="387"/>
        <v>Wolff, 1989</v>
      </c>
      <c r="BP583">
        <f t="shared" si="371"/>
        <v>27</v>
      </c>
      <c r="BQ583" t="str">
        <f t="shared" si="388"/>
        <v/>
      </c>
      <c r="BR583" t="str">
        <f t="shared" si="364"/>
        <v/>
      </c>
      <c r="BS583" t="str">
        <f t="shared" si="389"/>
        <v>Stroud 1974 (K=3.5)</v>
      </c>
      <c r="BT583">
        <f t="shared" si="372"/>
        <v>0</v>
      </c>
      <c r="BU583" t="str">
        <f t="shared" si="390"/>
        <v/>
      </c>
      <c r="BV583" t="str">
        <f t="shared" si="365"/>
        <v/>
      </c>
      <c r="BW583" t="str">
        <f t="shared" si="391"/>
        <v/>
      </c>
      <c r="BX583" t="str">
        <f t="shared" si="366"/>
        <v/>
      </c>
      <c r="BY583" t="str">
        <f t="shared" si="392"/>
        <v/>
      </c>
      <c r="BZ583" t="str">
        <f t="shared" si="367"/>
        <v/>
      </c>
      <c r="CA583" t="str">
        <f t="shared" si="393"/>
        <v/>
      </c>
      <c r="CB583" t="str">
        <f t="shared" si="375"/>
        <v/>
      </c>
      <c r="CC583" t="str">
        <f t="shared" si="394"/>
        <v/>
      </c>
      <c r="CD583" t="str">
        <f t="shared" si="376"/>
        <v/>
      </c>
      <c r="CE583" t="str">
        <f t="shared" si="395"/>
        <v/>
      </c>
      <c r="CF583" t="str">
        <f t="shared" si="377"/>
        <v/>
      </c>
      <c r="CG583" t="str">
        <f t="shared" si="396"/>
        <v/>
      </c>
      <c r="CH583" t="str">
        <f t="shared" si="378"/>
        <v/>
      </c>
      <c r="CI583" t="str">
        <f t="shared" si="397"/>
        <v/>
      </c>
      <c r="CJ583" t="str">
        <f t="shared" si="368"/>
        <v/>
      </c>
    </row>
    <row r="584" spans="2:88" x14ac:dyDescent="0.3">
      <c r="B584" t="str">
        <f t="shared" si="360"/>
        <v>36.823325-76.07455</v>
      </c>
      <c r="C584" s="30" t="s">
        <v>145</v>
      </c>
      <c r="D584">
        <v>36.823324999999997</v>
      </c>
      <c r="E584">
        <v>-76.074550000000002</v>
      </c>
      <c r="F584">
        <v>5</v>
      </c>
      <c r="G584" t="str">
        <f t="shared" si="361"/>
        <v>-78-8036.823325-76.07455</v>
      </c>
      <c r="H584">
        <v>-78</v>
      </c>
      <c r="I584">
        <v>-80</v>
      </c>
      <c r="J584" s="30" t="s">
        <v>21</v>
      </c>
      <c r="L584" t="s">
        <v>17</v>
      </c>
      <c r="M584">
        <v>1</v>
      </c>
      <c r="S584" t="str">
        <f t="shared" si="373"/>
        <v>Sand</v>
      </c>
      <c r="T584">
        <f t="shared" si="362"/>
        <v>1</v>
      </c>
      <c r="AA584">
        <v>80</v>
      </c>
      <c r="AB584" s="1">
        <f t="shared" si="369"/>
        <v>1</v>
      </c>
      <c r="AC584">
        <f t="shared" si="370"/>
        <v>0</v>
      </c>
      <c r="AD584" t="str">
        <f t="shared" si="363"/>
        <v/>
      </c>
      <c r="AG584" s="21" t="str">
        <f t="shared" si="379"/>
        <v/>
      </c>
      <c r="AI584" s="6" t="str">
        <f t="shared" si="380"/>
        <v/>
      </c>
      <c r="AM584" s="7" t="str">
        <f t="shared" si="381"/>
        <v/>
      </c>
      <c r="AQ584" s="8" t="str">
        <f t="shared" si="382"/>
        <v/>
      </c>
      <c r="AW584" s="25" t="str">
        <f t="shared" si="383"/>
        <v/>
      </c>
      <c r="AZ584" s="12" t="str">
        <f t="shared" si="384"/>
        <v/>
      </c>
      <c r="BI584" s="17" t="str">
        <f t="shared" si="385"/>
        <v/>
      </c>
      <c r="BM584" t="str">
        <f t="shared" si="386"/>
        <v>SPT Relationship</v>
      </c>
      <c r="BN584">
        <f t="shared" si="374"/>
        <v>95</v>
      </c>
      <c r="BO584" t="str">
        <f t="shared" si="387"/>
        <v>Wolff, 1989</v>
      </c>
      <c r="BP584">
        <f t="shared" si="371"/>
        <v>27</v>
      </c>
      <c r="BQ584" t="str">
        <f t="shared" si="388"/>
        <v/>
      </c>
      <c r="BR584" t="str">
        <f t="shared" si="364"/>
        <v/>
      </c>
      <c r="BS584" t="str">
        <f t="shared" si="389"/>
        <v/>
      </c>
      <c r="BT584" t="str">
        <f t="shared" si="372"/>
        <v/>
      </c>
      <c r="BU584" t="str">
        <f t="shared" si="390"/>
        <v/>
      </c>
      <c r="BV584" t="str">
        <f t="shared" si="365"/>
        <v/>
      </c>
      <c r="BW584" t="str">
        <f t="shared" si="391"/>
        <v/>
      </c>
      <c r="BX584" t="str">
        <f t="shared" si="366"/>
        <v/>
      </c>
      <c r="BY584" t="str">
        <f t="shared" si="392"/>
        <v/>
      </c>
      <c r="BZ584" t="str">
        <f t="shared" si="367"/>
        <v/>
      </c>
      <c r="CA584" t="str">
        <f t="shared" si="393"/>
        <v/>
      </c>
      <c r="CB584" t="str">
        <f t="shared" si="375"/>
        <v/>
      </c>
      <c r="CC584" t="str">
        <f t="shared" si="394"/>
        <v/>
      </c>
      <c r="CD584" t="str">
        <f t="shared" si="376"/>
        <v/>
      </c>
      <c r="CE584" t="str">
        <f t="shared" si="395"/>
        <v>Bowles 5th edition</v>
      </c>
      <c r="CF584">
        <f t="shared" si="377"/>
        <v>102</v>
      </c>
      <c r="CG584" t="str">
        <f t="shared" si="396"/>
        <v/>
      </c>
      <c r="CH584" t="str">
        <f t="shared" si="378"/>
        <v/>
      </c>
      <c r="CI584" t="str">
        <f t="shared" si="397"/>
        <v/>
      </c>
      <c r="CJ584" t="str">
        <f t="shared" si="368"/>
        <v/>
      </c>
    </row>
    <row r="585" spans="2:88" x14ac:dyDescent="0.3">
      <c r="B585" t="str">
        <f t="shared" ref="B585:B648" si="398">""&amp;D585&amp;""&amp;E585</f>
        <v>36.823325-76.07455</v>
      </c>
      <c r="C585" s="30" t="s">
        <v>145</v>
      </c>
      <c r="D585">
        <v>36.823324999999997</v>
      </c>
      <c r="E585">
        <v>-76.074550000000002</v>
      </c>
      <c r="F585">
        <v>5</v>
      </c>
      <c r="G585" t="str">
        <f t="shared" ref="G585:G648" si="399">""&amp;H585&amp;""&amp;I585&amp;""&amp;D585&amp;""&amp;E585</f>
        <v>-83-8536.823325-76.07455</v>
      </c>
      <c r="H585">
        <v>-83</v>
      </c>
      <c r="I585">
        <v>-85</v>
      </c>
      <c r="J585" s="30" t="s">
        <v>21</v>
      </c>
      <c r="L585" t="s">
        <v>17</v>
      </c>
      <c r="M585">
        <v>0</v>
      </c>
      <c r="S585" t="str">
        <f t="shared" si="373"/>
        <v>Sand</v>
      </c>
      <c r="T585">
        <f t="shared" ref="T585:T648" si="400">IF(OR(Q585&lt;&gt;"",R585&lt;&gt;""),2,1)</f>
        <v>1</v>
      </c>
      <c r="AA585">
        <v>80</v>
      </c>
      <c r="AB585" s="1">
        <f t="shared" si="369"/>
        <v>0</v>
      </c>
      <c r="AC585">
        <f t="shared" si="370"/>
        <v>0</v>
      </c>
      <c r="AD585" t="str">
        <f t="shared" ref="AD585:AD648" si="401">IF(OR(N585="",O585=""),"",(N585-O585)/(P585-O585))</f>
        <v/>
      </c>
      <c r="AG585" s="21" t="str">
        <f t="shared" si="379"/>
        <v/>
      </c>
      <c r="AI585" s="6" t="str">
        <f t="shared" si="380"/>
        <v/>
      </c>
      <c r="AM585" s="7" t="str">
        <f t="shared" si="381"/>
        <v/>
      </c>
      <c r="AQ585" s="8" t="str">
        <f t="shared" si="382"/>
        <v/>
      </c>
      <c r="AW585" s="25" t="str">
        <f t="shared" si="383"/>
        <v/>
      </c>
      <c r="AZ585" s="12" t="str">
        <f t="shared" si="384"/>
        <v/>
      </c>
      <c r="BI585" s="17" t="str">
        <f t="shared" si="385"/>
        <v/>
      </c>
      <c r="BM585" t="str">
        <f t="shared" si="386"/>
        <v>SPT Relationship</v>
      </c>
      <c r="BN585">
        <f t="shared" si="374"/>
        <v>95</v>
      </c>
      <c r="BO585" t="str">
        <f t="shared" si="387"/>
        <v>Wolff, 1989</v>
      </c>
      <c r="BP585">
        <f t="shared" si="371"/>
        <v>27</v>
      </c>
      <c r="BQ585" t="str">
        <f t="shared" si="388"/>
        <v/>
      </c>
      <c r="BR585" t="str">
        <f t="shared" ref="BR585:BR648" si="402">IF(P585="","",ROUNDDOWN(28-0.1533*P585+0.000564*P585^2-0.0000008414*P585^3,0))</f>
        <v/>
      </c>
      <c r="BS585" t="str">
        <f t="shared" si="389"/>
        <v/>
      </c>
      <c r="BT585" t="str">
        <f t="shared" si="372"/>
        <v/>
      </c>
      <c r="BU585" t="str">
        <f t="shared" si="390"/>
        <v/>
      </c>
      <c r="BV585" t="str">
        <f t="shared" ref="BV585:BV648" si="403">IF(Q585="","",ROUND(Q585/74,3))</f>
        <v/>
      </c>
      <c r="BW585" t="str">
        <f t="shared" si="391"/>
        <v/>
      </c>
      <c r="BX585" t="str">
        <f t="shared" ref="BX585:BX648" si="404">IF(Q585="","",ROUND(Q585/370,3))</f>
        <v/>
      </c>
      <c r="BY585" t="str">
        <f t="shared" si="392"/>
        <v/>
      </c>
      <c r="BZ585" t="str">
        <f t="shared" ref="BZ585:BZ648" si="405">IF(BV585="","",ROUND(0.03*BV585,4))</f>
        <v/>
      </c>
      <c r="CA585" t="str">
        <f t="shared" si="393"/>
        <v/>
      </c>
      <c r="CB585" t="str">
        <f t="shared" si="375"/>
        <v/>
      </c>
      <c r="CC585" t="str">
        <f t="shared" si="394"/>
        <v/>
      </c>
      <c r="CD585" t="str">
        <f t="shared" si="376"/>
        <v/>
      </c>
      <c r="CE585" t="str">
        <f t="shared" si="395"/>
        <v>Bowles 5th edition</v>
      </c>
      <c r="CF585">
        <f t="shared" si="377"/>
        <v>96</v>
      </c>
      <c r="CG585" t="str">
        <f t="shared" si="396"/>
        <v/>
      </c>
      <c r="CH585" t="str">
        <f t="shared" si="378"/>
        <v/>
      </c>
      <c r="CI585" t="str">
        <f t="shared" si="397"/>
        <v/>
      </c>
      <c r="CJ585" t="str">
        <f t="shared" ref="CJ585:CJ648" si="406">IF(OR(S585="Clay",X585=""),"",1.5*X585^2)</f>
        <v/>
      </c>
    </row>
    <row r="586" spans="2:88" x14ac:dyDescent="0.3">
      <c r="B586" t="str">
        <f t="shared" si="398"/>
        <v>36.823325-76.07455</v>
      </c>
      <c r="C586" s="30" t="s">
        <v>145</v>
      </c>
      <c r="D586">
        <v>36.823324999999997</v>
      </c>
      <c r="E586">
        <v>-76.074550000000002</v>
      </c>
      <c r="F586">
        <v>5</v>
      </c>
      <c r="G586" t="str">
        <f t="shared" si="399"/>
        <v>-88-9036.823325-76.07455</v>
      </c>
      <c r="H586">
        <v>-88</v>
      </c>
      <c r="I586">
        <v>-90</v>
      </c>
      <c r="J586" s="30" t="s">
        <v>21</v>
      </c>
      <c r="L586" t="s">
        <v>113</v>
      </c>
      <c r="M586">
        <v>7</v>
      </c>
      <c r="S586" t="str">
        <f t="shared" si="373"/>
        <v>Clay</v>
      </c>
      <c r="T586">
        <f t="shared" si="400"/>
        <v>1</v>
      </c>
      <c r="AA586">
        <v>80</v>
      </c>
      <c r="AB586" s="1">
        <f t="shared" si="369"/>
        <v>9</v>
      </c>
      <c r="AC586">
        <f t="shared" si="370"/>
        <v>4</v>
      </c>
      <c r="AD586" t="str">
        <f t="shared" si="401"/>
        <v/>
      </c>
      <c r="AG586" s="21" t="str">
        <f t="shared" si="379"/>
        <v/>
      </c>
      <c r="AI586" s="6" t="str">
        <f t="shared" si="380"/>
        <v/>
      </c>
      <c r="AM586" s="7" t="str">
        <f t="shared" si="381"/>
        <v/>
      </c>
      <c r="AQ586" s="8" t="str">
        <f t="shared" si="382"/>
        <v/>
      </c>
      <c r="AW586" s="25" t="str">
        <f t="shared" si="383"/>
        <v/>
      </c>
      <c r="AZ586" s="12" t="str">
        <f t="shared" si="384"/>
        <v/>
      </c>
      <c r="BI586" s="17" t="str">
        <f t="shared" si="385"/>
        <v/>
      </c>
      <c r="BM586" t="str">
        <f t="shared" si="386"/>
        <v>SPT Relationship</v>
      </c>
      <c r="BN586">
        <f t="shared" si="374"/>
        <v>114</v>
      </c>
      <c r="BO586" t="str">
        <f t="shared" si="387"/>
        <v>Wolff, 1989</v>
      </c>
      <c r="BP586">
        <f t="shared" si="371"/>
        <v>28</v>
      </c>
      <c r="BQ586" t="str">
        <f t="shared" si="388"/>
        <v/>
      </c>
      <c r="BR586" t="str">
        <f t="shared" si="402"/>
        <v/>
      </c>
      <c r="BS586" t="str">
        <f t="shared" si="389"/>
        <v>Stroud 1974 (K=3.5)</v>
      </c>
      <c r="BT586">
        <f t="shared" si="372"/>
        <v>658</v>
      </c>
      <c r="BU586" t="str">
        <f t="shared" si="390"/>
        <v/>
      </c>
      <c r="BV586" t="str">
        <f t="shared" si="403"/>
        <v/>
      </c>
      <c r="BW586" t="str">
        <f t="shared" si="391"/>
        <v/>
      </c>
      <c r="BX586" t="str">
        <f t="shared" si="404"/>
        <v/>
      </c>
      <c r="BY586" t="str">
        <f t="shared" si="392"/>
        <v/>
      </c>
      <c r="BZ586" t="str">
        <f t="shared" si="405"/>
        <v/>
      </c>
      <c r="CA586" t="str">
        <f t="shared" si="393"/>
        <v/>
      </c>
      <c r="CB586" t="str">
        <f t="shared" si="375"/>
        <v/>
      </c>
      <c r="CC586" t="str">
        <f t="shared" si="394"/>
        <v/>
      </c>
      <c r="CD586" t="str">
        <f t="shared" si="376"/>
        <v/>
      </c>
      <c r="CE586" t="str">
        <f t="shared" si="395"/>
        <v/>
      </c>
      <c r="CF586" t="str">
        <f t="shared" si="377"/>
        <v/>
      </c>
      <c r="CG586" t="str">
        <f t="shared" si="396"/>
        <v/>
      </c>
      <c r="CH586" t="str">
        <f t="shared" si="378"/>
        <v/>
      </c>
      <c r="CI586" t="str">
        <f t="shared" si="397"/>
        <v/>
      </c>
      <c r="CJ586" t="str">
        <f t="shared" si="406"/>
        <v/>
      </c>
    </row>
    <row r="587" spans="2:88" x14ac:dyDescent="0.3">
      <c r="B587" t="str">
        <f t="shared" si="398"/>
        <v>36.823325-76.07455</v>
      </c>
      <c r="C587" s="30" t="s">
        <v>145</v>
      </c>
      <c r="D587">
        <v>36.823324999999997</v>
      </c>
      <c r="E587">
        <v>-76.074550000000002</v>
      </c>
      <c r="F587">
        <v>5</v>
      </c>
      <c r="G587" t="str">
        <f t="shared" si="399"/>
        <v>-93-9536.823325-76.07455</v>
      </c>
      <c r="H587">
        <v>-93</v>
      </c>
      <c r="I587">
        <v>-95</v>
      </c>
      <c r="J587" s="30" t="s">
        <v>21</v>
      </c>
      <c r="L587" t="s">
        <v>113</v>
      </c>
      <c r="M587">
        <v>6</v>
      </c>
      <c r="S587" t="str">
        <f t="shared" si="373"/>
        <v>Clay</v>
      </c>
      <c r="T587">
        <f t="shared" si="400"/>
        <v>1</v>
      </c>
      <c r="AA587">
        <v>80</v>
      </c>
      <c r="AB587" s="1">
        <f t="shared" si="369"/>
        <v>8</v>
      </c>
      <c r="AC587">
        <f t="shared" si="370"/>
        <v>3</v>
      </c>
      <c r="AD587" t="str">
        <f t="shared" si="401"/>
        <v/>
      </c>
      <c r="AG587" s="21" t="str">
        <f t="shared" si="379"/>
        <v/>
      </c>
      <c r="AI587" s="6" t="str">
        <f t="shared" si="380"/>
        <v/>
      </c>
      <c r="AM587" s="7" t="str">
        <f t="shared" si="381"/>
        <v/>
      </c>
      <c r="AQ587" s="8" t="str">
        <f t="shared" si="382"/>
        <v/>
      </c>
      <c r="AW587" s="25" t="str">
        <f t="shared" si="383"/>
        <v/>
      </c>
      <c r="AZ587" s="12" t="str">
        <f t="shared" si="384"/>
        <v/>
      </c>
      <c r="BI587" s="17" t="str">
        <f t="shared" si="385"/>
        <v/>
      </c>
      <c r="BM587" t="str">
        <f t="shared" si="386"/>
        <v>SPT Relationship</v>
      </c>
      <c r="BN587">
        <f t="shared" si="374"/>
        <v>113</v>
      </c>
      <c r="BO587" t="str">
        <f t="shared" si="387"/>
        <v>Wolff, 1989</v>
      </c>
      <c r="BP587">
        <f t="shared" si="371"/>
        <v>27</v>
      </c>
      <c r="BQ587" t="str">
        <f t="shared" si="388"/>
        <v/>
      </c>
      <c r="BR587" t="str">
        <f t="shared" si="402"/>
        <v/>
      </c>
      <c r="BS587" t="str">
        <f t="shared" si="389"/>
        <v>Stroud 1974 (K=3.5)</v>
      </c>
      <c r="BT587">
        <f t="shared" si="372"/>
        <v>585</v>
      </c>
      <c r="BU587" t="str">
        <f t="shared" si="390"/>
        <v/>
      </c>
      <c r="BV587" t="str">
        <f t="shared" si="403"/>
        <v/>
      </c>
      <c r="BW587" t="str">
        <f t="shared" si="391"/>
        <v/>
      </c>
      <c r="BX587" t="str">
        <f t="shared" si="404"/>
        <v/>
      </c>
      <c r="BY587" t="str">
        <f t="shared" si="392"/>
        <v/>
      </c>
      <c r="BZ587" t="str">
        <f t="shared" si="405"/>
        <v/>
      </c>
      <c r="CA587" t="str">
        <f t="shared" si="393"/>
        <v/>
      </c>
      <c r="CB587" t="str">
        <f t="shared" si="375"/>
        <v/>
      </c>
      <c r="CC587" t="str">
        <f t="shared" si="394"/>
        <v/>
      </c>
      <c r="CD587" t="str">
        <f t="shared" si="376"/>
        <v/>
      </c>
      <c r="CE587" t="str">
        <f t="shared" si="395"/>
        <v/>
      </c>
      <c r="CF587" t="str">
        <f t="shared" si="377"/>
        <v/>
      </c>
      <c r="CG587" t="str">
        <f t="shared" si="396"/>
        <v/>
      </c>
      <c r="CH587" t="str">
        <f t="shared" si="378"/>
        <v/>
      </c>
      <c r="CI587" t="str">
        <f t="shared" si="397"/>
        <v/>
      </c>
      <c r="CJ587" t="str">
        <f t="shared" si="406"/>
        <v/>
      </c>
    </row>
    <row r="588" spans="2:88" x14ac:dyDescent="0.3">
      <c r="B588" t="str">
        <f t="shared" si="398"/>
        <v>36.823325-76.07455</v>
      </c>
      <c r="C588" s="30" t="s">
        <v>145</v>
      </c>
      <c r="D588">
        <v>36.823324999999997</v>
      </c>
      <c r="E588">
        <v>-76.074550000000002</v>
      </c>
      <c r="F588">
        <v>5</v>
      </c>
      <c r="G588" t="str">
        <f t="shared" si="399"/>
        <v>-98-10036.823325-76.07455</v>
      </c>
      <c r="H588">
        <v>-98</v>
      </c>
      <c r="I588">
        <v>-100</v>
      </c>
      <c r="J588" s="30" t="s">
        <v>21</v>
      </c>
      <c r="L588" t="s">
        <v>16</v>
      </c>
      <c r="M588">
        <v>25</v>
      </c>
      <c r="S588" t="str">
        <f t="shared" si="373"/>
        <v>Sand</v>
      </c>
      <c r="T588">
        <f t="shared" si="400"/>
        <v>1</v>
      </c>
      <c r="AA588">
        <v>80</v>
      </c>
      <c r="AB588" s="1">
        <f t="shared" si="369"/>
        <v>33</v>
      </c>
      <c r="AC588">
        <f t="shared" si="370"/>
        <v>14</v>
      </c>
      <c r="AD588" t="str">
        <f t="shared" si="401"/>
        <v/>
      </c>
      <c r="AG588" s="21" t="str">
        <f t="shared" si="379"/>
        <v/>
      </c>
      <c r="AI588" s="6" t="str">
        <f t="shared" si="380"/>
        <v/>
      </c>
      <c r="AM588" s="7" t="str">
        <f t="shared" si="381"/>
        <v/>
      </c>
      <c r="AQ588" s="8" t="str">
        <f t="shared" si="382"/>
        <v/>
      </c>
      <c r="AW588" s="25" t="str">
        <f t="shared" si="383"/>
        <v/>
      </c>
      <c r="AZ588" s="12" t="str">
        <f t="shared" si="384"/>
        <v/>
      </c>
      <c r="BI588" s="17" t="str">
        <f t="shared" si="385"/>
        <v/>
      </c>
      <c r="BM588" t="str">
        <f t="shared" si="386"/>
        <v>SPT Relationship</v>
      </c>
      <c r="BN588">
        <f t="shared" si="374"/>
        <v>129</v>
      </c>
      <c r="BO588" t="str">
        <f t="shared" si="387"/>
        <v>Wolff, 1989</v>
      </c>
      <c r="BP588">
        <f t="shared" si="371"/>
        <v>31</v>
      </c>
      <c r="BQ588" t="str">
        <f t="shared" si="388"/>
        <v/>
      </c>
      <c r="BR588" t="str">
        <f t="shared" si="402"/>
        <v/>
      </c>
      <c r="BS588" t="str">
        <f t="shared" si="389"/>
        <v/>
      </c>
      <c r="BT588" t="str">
        <f t="shared" si="372"/>
        <v/>
      </c>
      <c r="BU588" t="str">
        <f t="shared" si="390"/>
        <v/>
      </c>
      <c r="BV588" t="str">
        <f t="shared" si="403"/>
        <v/>
      </c>
      <c r="BW588" t="str">
        <f t="shared" si="391"/>
        <v/>
      </c>
      <c r="BX588" t="str">
        <f t="shared" si="404"/>
        <v/>
      </c>
      <c r="BY588" t="str">
        <f t="shared" si="392"/>
        <v/>
      </c>
      <c r="BZ588" t="str">
        <f t="shared" si="405"/>
        <v/>
      </c>
      <c r="CA588" t="str">
        <f t="shared" si="393"/>
        <v/>
      </c>
      <c r="CB588" t="str">
        <f t="shared" si="375"/>
        <v/>
      </c>
      <c r="CC588" t="str">
        <f t="shared" si="394"/>
        <v/>
      </c>
      <c r="CD588" t="str">
        <f t="shared" si="376"/>
        <v/>
      </c>
      <c r="CE588" t="str">
        <f t="shared" si="395"/>
        <v>Bowles 5th edition</v>
      </c>
      <c r="CF588">
        <f t="shared" si="377"/>
        <v>307</v>
      </c>
      <c r="CG588" t="str">
        <f t="shared" si="396"/>
        <v/>
      </c>
      <c r="CH588" t="str">
        <f t="shared" si="378"/>
        <v/>
      </c>
      <c r="CI588" t="str">
        <f t="shared" si="397"/>
        <v/>
      </c>
      <c r="CJ588" t="str">
        <f t="shared" si="406"/>
        <v/>
      </c>
    </row>
    <row r="589" spans="2:88" x14ac:dyDescent="0.3">
      <c r="B589" t="str">
        <f t="shared" si="398"/>
        <v>36.823325-76.07455</v>
      </c>
      <c r="C589" s="30" t="s">
        <v>145</v>
      </c>
      <c r="D589">
        <v>36.823324999999997</v>
      </c>
      <c r="E589">
        <v>-76.074550000000002</v>
      </c>
      <c r="F589">
        <v>5</v>
      </c>
      <c r="G589" t="str">
        <f t="shared" si="399"/>
        <v>-103-10536.823325-76.07455</v>
      </c>
      <c r="H589">
        <v>-103</v>
      </c>
      <c r="I589">
        <v>-105</v>
      </c>
      <c r="J589" s="30" t="s">
        <v>21</v>
      </c>
      <c r="L589" t="s">
        <v>16</v>
      </c>
      <c r="M589">
        <v>11</v>
      </c>
      <c r="S589" t="str">
        <f t="shared" si="373"/>
        <v>Sand</v>
      </c>
      <c r="T589">
        <f t="shared" si="400"/>
        <v>1</v>
      </c>
      <c r="AA589">
        <v>80</v>
      </c>
      <c r="AB589" s="1">
        <f t="shared" si="369"/>
        <v>15</v>
      </c>
      <c r="AC589">
        <f t="shared" si="370"/>
        <v>6</v>
      </c>
      <c r="AD589" t="str">
        <f t="shared" si="401"/>
        <v/>
      </c>
      <c r="AG589" s="21" t="str">
        <f t="shared" si="379"/>
        <v/>
      </c>
      <c r="AI589" s="6" t="str">
        <f t="shared" si="380"/>
        <v/>
      </c>
      <c r="AM589" s="7" t="str">
        <f t="shared" si="381"/>
        <v/>
      </c>
      <c r="AQ589" s="8" t="str">
        <f t="shared" si="382"/>
        <v/>
      </c>
      <c r="AW589" s="25" t="str">
        <f t="shared" si="383"/>
        <v/>
      </c>
      <c r="AZ589" s="12" t="str">
        <f t="shared" si="384"/>
        <v/>
      </c>
      <c r="BI589" s="17" t="str">
        <f t="shared" si="385"/>
        <v/>
      </c>
      <c r="BM589" t="str">
        <f t="shared" si="386"/>
        <v>SPT Relationship</v>
      </c>
      <c r="BN589">
        <f t="shared" si="374"/>
        <v>119</v>
      </c>
      <c r="BO589" t="str">
        <f t="shared" si="387"/>
        <v>Wolff, 1989</v>
      </c>
      <c r="BP589">
        <f t="shared" si="371"/>
        <v>28</v>
      </c>
      <c r="BQ589" t="str">
        <f t="shared" si="388"/>
        <v/>
      </c>
      <c r="BR589" t="str">
        <f t="shared" si="402"/>
        <v/>
      </c>
      <c r="BS589" t="str">
        <f t="shared" si="389"/>
        <v/>
      </c>
      <c r="BT589" t="str">
        <f t="shared" si="372"/>
        <v/>
      </c>
      <c r="BU589" t="str">
        <f t="shared" si="390"/>
        <v/>
      </c>
      <c r="BV589" t="str">
        <f t="shared" si="403"/>
        <v/>
      </c>
      <c r="BW589" t="str">
        <f t="shared" si="391"/>
        <v/>
      </c>
      <c r="BX589" t="str">
        <f t="shared" si="404"/>
        <v/>
      </c>
      <c r="BY589" t="str">
        <f t="shared" si="392"/>
        <v/>
      </c>
      <c r="BZ589" t="str">
        <f t="shared" si="405"/>
        <v/>
      </c>
      <c r="CA589" t="str">
        <f t="shared" si="393"/>
        <v/>
      </c>
      <c r="CB589" t="str">
        <f t="shared" si="375"/>
        <v/>
      </c>
      <c r="CC589" t="str">
        <f t="shared" si="394"/>
        <v/>
      </c>
      <c r="CD589" t="str">
        <f t="shared" si="376"/>
        <v/>
      </c>
      <c r="CE589" t="str">
        <f t="shared" si="395"/>
        <v>Bowles 5th edition</v>
      </c>
      <c r="CF589">
        <f t="shared" si="377"/>
        <v>192</v>
      </c>
      <c r="CG589" t="str">
        <f t="shared" si="396"/>
        <v/>
      </c>
      <c r="CH589" t="str">
        <f t="shared" si="378"/>
        <v/>
      </c>
      <c r="CI589" t="str">
        <f t="shared" si="397"/>
        <v/>
      </c>
      <c r="CJ589" t="str">
        <f t="shared" si="406"/>
        <v/>
      </c>
    </row>
    <row r="590" spans="2:88" x14ac:dyDescent="0.3">
      <c r="B590" t="str">
        <f t="shared" si="398"/>
        <v>36.823963-76.076282</v>
      </c>
      <c r="C590" s="30" t="s">
        <v>146</v>
      </c>
      <c r="D590">
        <v>36.823962999999999</v>
      </c>
      <c r="E590">
        <v>-76.076282000000006</v>
      </c>
      <c r="F590">
        <v>5</v>
      </c>
      <c r="G590" t="str">
        <f t="shared" si="399"/>
        <v>5336.823963-76.076282</v>
      </c>
      <c r="H590">
        <v>5</v>
      </c>
      <c r="I590">
        <v>3</v>
      </c>
      <c r="J590" s="30" t="s">
        <v>21</v>
      </c>
      <c r="L590" t="s">
        <v>17</v>
      </c>
      <c r="M590">
        <v>11</v>
      </c>
      <c r="S590" t="str">
        <f t="shared" si="373"/>
        <v>Sand</v>
      </c>
      <c r="T590">
        <f t="shared" si="400"/>
        <v>1</v>
      </c>
      <c r="AA590">
        <v>80</v>
      </c>
      <c r="AB590" s="1">
        <f t="shared" si="369"/>
        <v>15</v>
      </c>
      <c r="AC590">
        <f t="shared" si="370"/>
        <v>46</v>
      </c>
      <c r="AD590" t="str">
        <f t="shared" si="401"/>
        <v/>
      </c>
      <c r="AG590" s="21" t="str">
        <f t="shared" si="379"/>
        <v/>
      </c>
      <c r="AI590" s="6" t="str">
        <f t="shared" si="380"/>
        <v/>
      </c>
      <c r="AM590" s="7" t="str">
        <f t="shared" si="381"/>
        <v/>
      </c>
      <c r="AQ590" s="8" t="str">
        <f t="shared" si="382"/>
        <v/>
      </c>
      <c r="AW590" s="25" t="str">
        <f t="shared" si="383"/>
        <v/>
      </c>
      <c r="AZ590" s="12" t="str">
        <f t="shared" si="384"/>
        <v/>
      </c>
      <c r="BI590" s="17" t="str">
        <f t="shared" si="385"/>
        <v/>
      </c>
      <c r="BM590" t="str">
        <f t="shared" si="386"/>
        <v>SPT Relationship</v>
      </c>
      <c r="BN590">
        <f t="shared" si="374"/>
        <v>119</v>
      </c>
      <c r="BO590" t="str">
        <f t="shared" si="387"/>
        <v>Wolff, 1989</v>
      </c>
      <c r="BP590">
        <f t="shared" si="371"/>
        <v>39</v>
      </c>
      <c r="BQ590" t="str">
        <f t="shared" si="388"/>
        <v/>
      </c>
      <c r="BR590" t="str">
        <f t="shared" si="402"/>
        <v/>
      </c>
      <c r="BS590" t="str">
        <f t="shared" si="389"/>
        <v/>
      </c>
      <c r="BT590" t="str">
        <f t="shared" si="372"/>
        <v/>
      </c>
      <c r="BU590" t="str">
        <f t="shared" si="390"/>
        <v/>
      </c>
      <c r="BV590" t="str">
        <f t="shared" si="403"/>
        <v/>
      </c>
      <c r="BW590" t="str">
        <f t="shared" si="391"/>
        <v/>
      </c>
      <c r="BX590" t="str">
        <f t="shared" si="404"/>
        <v/>
      </c>
      <c r="BY590" t="str">
        <f t="shared" si="392"/>
        <v/>
      </c>
      <c r="BZ590" t="str">
        <f t="shared" si="405"/>
        <v/>
      </c>
      <c r="CA590" t="str">
        <f t="shared" si="393"/>
        <v/>
      </c>
      <c r="CB590" t="str">
        <f t="shared" si="375"/>
        <v/>
      </c>
      <c r="CC590" t="str">
        <f t="shared" si="394"/>
        <v/>
      </c>
      <c r="CD590" t="str">
        <f t="shared" si="376"/>
        <v/>
      </c>
      <c r="CE590" t="str">
        <f t="shared" si="395"/>
        <v>Bowles 5th edition</v>
      </c>
      <c r="CF590">
        <f t="shared" si="377"/>
        <v>192</v>
      </c>
      <c r="CG590" t="str">
        <f t="shared" si="396"/>
        <v/>
      </c>
      <c r="CH590" t="str">
        <f t="shared" si="378"/>
        <v/>
      </c>
      <c r="CI590" t="str">
        <f t="shared" si="397"/>
        <v/>
      </c>
      <c r="CJ590" t="str">
        <f t="shared" si="406"/>
        <v/>
      </c>
    </row>
    <row r="591" spans="2:88" x14ac:dyDescent="0.3">
      <c r="B591" t="str">
        <f t="shared" si="398"/>
        <v>36.823963-76.076282</v>
      </c>
      <c r="C591" s="30" t="s">
        <v>146</v>
      </c>
      <c r="D591">
        <v>36.823962999999999</v>
      </c>
      <c r="E591">
        <v>-76.076282000000006</v>
      </c>
      <c r="F591">
        <v>5</v>
      </c>
      <c r="G591" t="str">
        <f t="shared" si="399"/>
        <v>3136.823963-76.076282</v>
      </c>
      <c r="H591">
        <v>3</v>
      </c>
      <c r="I591">
        <v>1</v>
      </c>
      <c r="J591" s="30" t="s">
        <v>21</v>
      </c>
      <c r="L591" t="s">
        <v>17</v>
      </c>
      <c r="M591">
        <v>4</v>
      </c>
      <c r="S591" t="str">
        <f t="shared" si="373"/>
        <v>Sand</v>
      </c>
      <c r="T591">
        <f t="shared" si="400"/>
        <v>1</v>
      </c>
      <c r="AA591">
        <v>80</v>
      </c>
      <c r="AB591" s="1">
        <f t="shared" si="369"/>
        <v>5</v>
      </c>
      <c r="AC591">
        <f t="shared" si="370"/>
        <v>10</v>
      </c>
      <c r="AD591" t="str">
        <f t="shared" si="401"/>
        <v/>
      </c>
      <c r="AG591" s="21" t="str">
        <f t="shared" si="379"/>
        <v/>
      </c>
      <c r="AI591" s="6" t="str">
        <f t="shared" si="380"/>
        <v/>
      </c>
      <c r="AM591" s="7" t="str">
        <f t="shared" si="381"/>
        <v/>
      </c>
      <c r="AQ591" s="8" t="str">
        <f t="shared" si="382"/>
        <v/>
      </c>
      <c r="AW591" s="25" t="str">
        <f t="shared" si="383"/>
        <v/>
      </c>
      <c r="AZ591" s="12" t="str">
        <f t="shared" si="384"/>
        <v/>
      </c>
      <c r="BI591" s="17" t="str">
        <f t="shared" si="385"/>
        <v/>
      </c>
      <c r="BM591" t="str">
        <f t="shared" si="386"/>
        <v>SPT Relationship</v>
      </c>
      <c r="BN591">
        <f t="shared" si="374"/>
        <v>108</v>
      </c>
      <c r="BO591" t="str">
        <f t="shared" si="387"/>
        <v>Wolff, 1989</v>
      </c>
      <c r="BP591">
        <f t="shared" si="371"/>
        <v>30</v>
      </c>
      <c r="BQ591" t="str">
        <f t="shared" si="388"/>
        <v/>
      </c>
      <c r="BR591" t="str">
        <f t="shared" si="402"/>
        <v/>
      </c>
      <c r="BS591" t="str">
        <f t="shared" si="389"/>
        <v/>
      </c>
      <c r="BT591" t="str">
        <f t="shared" si="372"/>
        <v/>
      </c>
      <c r="BU591" t="str">
        <f t="shared" si="390"/>
        <v/>
      </c>
      <c r="BV591" t="str">
        <f t="shared" si="403"/>
        <v/>
      </c>
      <c r="BW591" t="str">
        <f t="shared" si="391"/>
        <v/>
      </c>
      <c r="BX591" t="str">
        <f t="shared" si="404"/>
        <v/>
      </c>
      <c r="BY591" t="str">
        <f t="shared" si="392"/>
        <v/>
      </c>
      <c r="BZ591" t="str">
        <f t="shared" si="405"/>
        <v/>
      </c>
      <c r="CA591" t="str">
        <f t="shared" si="393"/>
        <v/>
      </c>
      <c r="CB591" t="str">
        <f t="shared" si="375"/>
        <v/>
      </c>
      <c r="CC591" t="str">
        <f t="shared" si="394"/>
        <v/>
      </c>
      <c r="CD591" t="str">
        <f t="shared" si="376"/>
        <v/>
      </c>
      <c r="CE591" t="str">
        <f t="shared" si="395"/>
        <v>Bowles 5th edition</v>
      </c>
      <c r="CF591">
        <f t="shared" si="377"/>
        <v>128</v>
      </c>
      <c r="CG591" t="str">
        <f t="shared" si="396"/>
        <v/>
      </c>
      <c r="CH591" t="str">
        <f t="shared" si="378"/>
        <v/>
      </c>
      <c r="CI591" t="str">
        <f t="shared" si="397"/>
        <v/>
      </c>
      <c r="CJ591" t="str">
        <f t="shared" si="406"/>
        <v/>
      </c>
    </row>
    <row r="592" spans="2:88" x14ac:dyDescent="0.3">
      <c r="B592" t="str">
        <f t="shared" si="398"/>
        <v>36.823963-76.076282</v>
      </c>
      <c r="C592" s="30" t="s">
        <v>146</v>
      </c>
      <c r="D592">
        <v>36.823962999999999</v>
      </c>
      <c r="E592">
        <v>-76.076282000000006</v>
      </c>
      <c r="F592">
        <v>5</v>
      </c>
      <c r="G592" t="str">
        <f t="shared" si="399"/>
        <v>1-136.823963-76.076282</v>
      </c>
      <c r="H592">
        <v>1</v>
      </c>
      <c r="I592">
        <v>-1</v>
      </c>
      <c r="J592" s="30" t="s">
        <v>21</v>
      </c>
      <c r="L592" t="s">
        <v>11</v>
      </c>
      <c r="M592">
        <v>4</v>
      </c>
      <c r="S592" t="str">
        <f t="shared" si="373"/>
        <v>Clay</v>
      </c>
      <c r="T592">
        <f t="shared" si="400"/>
        <v>1</v>
      </c>
      <c r="AA592">
        <v>80</v>
      </c>
      <c r="AB592" s="1">
        <f t="shared" si="369"/>
        <v>5</v>
      </c>
      <c r="AC592">
        <f t="shared" si="370"/>
        <v>8</v>
      </c>
      <c r="AD592" t="str">
        <f t="shared" si="401"/>
        <v/>
      </c>
      <c r="AG592" s="21" t="str">
        <f t="shared" si="379"/>
        <v/>
      </c>
      <c r="AI592" s="6" t="str">
        <f t="shared" si="380"/>
        <v/>
      </c>
      <c r="AM592" s="7" t="str">
        <f t="shared" si="381"/>
        <v/>
      </c>
      <c r="AQ592" s="8" t="str">
        <f t="shared" si="382"/>
        <v/>
      </c>
      <c r="AW592" s="25" t="str">
        <f t="shared" si="383"/>
        <v/>
      </c>
      <c r="AZ592" s="12" t="str">
        <f t="shared" si="384"/>
        <v/>
      </c>
      <c r="BI592" s="17" t="str">
        <f t="shared" si="385"/>
        <v/>
      </c>
      <c r="BM592" t="str">
        <f t="shared" si="386"/>
        <v>SPT Relationship</v>
      </c>
      <c r="BN592">
        <f t="shared" si="374"/>
        <v>108</v>
      </c>
      <c r="BO592" t="str">
        <f t="shared" si="387"/>
        <v>Wolff, 1989</v>
      </c>
      <c r="BP592">
        <f t="shared" si="371"/>
        <v>29</v>
      </c>
      <c r="BQ592" t="str">
        <f t="shared" si="388"/>
        <v/>
      </c>
      <c r="BR592" t="str">
        <f t="shared" si="402"/>
        <v/>
      </c>
      <c r="BS592" t="str">
        <f t="shared" si="389"/>
        <v>Stroud 1974 (K=3.5)</v>
      </c>
      <c r="BT592">
        <f t="shared" si="372"/>
        <v>365</v>
      </c>
      <c r="BU592" t="str">
        <f t="shared" si="390"/>
        <v/>
      </c>
      <c r="BV592" t="str">
        <f t="shared" si="403"/>
        <v/>
      </c>
      <c r="BW592" t="str">
        <f t="shared" si="391"/>
        <v/>
      </c>
      <c r="BX592" t="str">
        <f t="shared" si="404"/>
        <v/>
      </c>
      <c r="BY592" t="str">
        <f t="shared" si="392"/>
        <v/>
      </c>
      <c r="BZ592" t="str">
        <f t="shared" si="405"/>
        <v/>
      </c>
      <c r="CA592" t="str">
        <f t="shared" si="393"/>
        <v/>
      </c>
      <c r="CB592" t="str">
        <f t="shared" si="375"/>
        <v/>
      </c>
      <c r="CC592" t="str">
        <f t="shared" si="394"/>
        <v/>
      </c>
      <c r="CD592" t="str">
        <f t="shared" si="376"/>
        <v/>
      </c>
      <c r="CE592" t="str">
        <f t="shared" si="395"/>
        <v/>
      </c>
      <c r="CF592" t="str">
        <f t="shared" si="377"/>
        <v/>
      </c>
      <c r="CG592" t="str">
        <f t="shared" si="396"/>
        <v/>
      </c>
      <c r="CH592" t="str">
        <f t="shared" si="378"/>
        <v/>
      </c>
      <c r="CI592" t="str">
        <f t="shared" si="397"/>
        <v/>
      </c>
      <c r="CJ592" t="str">
        <f t="shared" si="406"/>
        <v/>
      </c>
    </row>
    <row r="593" spans="2:88" x14ac:dyDescent="0.3">
      <c r="B593" t="str">
        <f t="shared" si="398"/>
        <v>36.823963-76.076282</v>
      </c>
      <c r="C593" s="30" t="s">
        <v>146</v>
      </c>
      <c r="D593">
        <v>36.823962999999999</v>
      </c>
      <c r="E593">
        <v>-76.076282000000006</v>
      </c>
      <c r="F593">
        <v>5</v>
      </c>
      <c r="G593" t="str">
        <f t="shared" si="399"/>
        <v>-1-336.823963-76.076282</v>
      </c>
      <c r="H593">
        <v>-1</v>
      </c>
      <c r="I593">
        <v>-3</v>
      </c>
      <c r="J593" s="30" t="s">
        <v>21</v>
      </c>
      <c r="L593" t="s">
        <v>11</v>
      </c>
      <c r="M593">
        <v>5</v>
      </c>
      <c r="S593" t="str">
        <f t="shared" si="373"/>
        <v>Clay</v>
      </c>
      <c r="T593">
        <f t="shared" si="400"/>
        <v>1</v>
      </c>
      <c r="AA593">
        <v>80</v>
      </c>
      <c r="AB593" s="1">
        <f t="shared" si="369"/>
        <v>7</v>
      </c>
      <c r="AC593">
        <f t="shared" si="370"/>
        <v>10</v>
      </c>
      <c r="AD593" t="str">
        <f t="shared" si="401"/>
        <v/>
      </c>
      <c r="AG593" s="21" t="str">
        <f t="shared" si="379"/>
        <v/>
      </c>
      <c r="AI593" s="6" t="str">
        <f t="shared" si="380"/>
        <v/>
      </c>
      <c r="AM593" s="7" t="str">
        <f t="shared" si="381"/>
        <v/>
      </c>
      <c r="AQ593" s="8" t="str">
        <f t="shared" si="382"/>
        <v/>
      </c>
      <c r="AW593" s="25" t="str">
        <f t="shared" si="383"/>
        <v/>
      </c>
      <c r="AZ593" s="12" t="str">
        <f t="shared" si="384"/>
        <v/>
      </c>
      <c r="BI593" s="17" t="str">
        <f t="shared" si="385"/>
        <v/>
      </c>
      <c r="BM593" t="str">
        <f t="shared" si="386"/>
        <v>SPT Relationship</v>
      </c>
      <c r="BN593">
        <f t="shared" si="374"/>
        <v>111</v>
      </c>
      <c r="BO593" t="str">
        <f t="shared" si="387"/>
        <v>Wolff, 1989</v>
      </c>
      <c r="BP593">
        <f t="shared" si="371"/>
        <v>30</v>
      </c>
      <c r="BQ593" t="str">
        <f t="shared" si="388"/>
        <v/>
      </c>
      <c r="BR593" t="str">
        <f t="shared" si="402"/>
        <v/>
      </c>
      <c r="BS593" t="str">
        <f t="shared" si="389"/>
        <v>Stroud 1974 (K=3.5)</v>
      </c>
      <c r="BT593">
        <f t="shared" si="372"/>
        <v>512</v>
      </c>
      <c r="BU593" t="str">
        <f t="shared" si="390"/>
        <v/>
      </c>
      <c r="BV593" t="str">
        <f t="shared" si="403"/>
        <v/>
      </c>
      <c r="BW593" t="str">
        <f t="shared" si="391"/>
        <v/>
      </c>
      <c r="BX593" t="str">
        <f t="shared" si="404"/>
        <v/>
      </c>
      <c r="BY593" t="str">
        <f t="shared" si="392"/>
        <v/>
      </c>
      <c r="BZ593" t="str">
        <f t="shared" si="405"/>
        <v/>
      </c>
      <c r="CA593" t="str">
        <f t="shared" si="393"/>
        <v/>
      </c>
      <c r="CB593" t="str">
        <f t="shared" si="375"/>
        <v/>
      </c>
      <c r="CC593" t="str">
        <f t="shared" si="394"/>
        <v/>
      </c>
      <c r="CD593" t="str">
        <f t="shared" si="376"/>
        <v/>
      </c>
      <c r="CE593" t="str">
        <f t="shared" si="395"/>
        <v/>
      </c>
      <c r="CF593" t="str">
        <f t="shared" si="377"/>
        <v/>
      </c>
      <c r="CG593" t="str">
        <f t="shared" si="396"/>
        <v/>
      </c>
      <c r="CH593" t="str">
        <f t="shared" si="378"/>
        <v/>
      </c>
      <c r="CI593" t="str">
        <f t="shared" si="397"/>
        <v/>
      </c>
      <c r="CJ593" t="str">
        <f t="shared" si="406"/>
        <v/>
      </c>
    </row>
    <row r="594" spans="2:88" x14ac:dyDescent="0.3">
      <c r="B594" t="str">
        <f t="shared" si="398"/>
        <v>36.823963-76.076282</v>
      </c>
      <c r="C594" s="30" t="s">
        <v>146</v>
      </c>
      <c r="D594">
        <v>36.823962999999999</v>
      </c>
      <c r="E594">
        <v>-76.076282000000006</v>
      </c>
      <c r="F594">
        <v>5</v>
      </c>
      <c r="G594" t="str">
        <f t="shared" si="399"/>
        <v>-3-536.823963-76.076282</v>
      </c>
      <c r="H594">
        <v>-3</v>
      </c>
      <c r="I594">
        <v>-5</v>
      </c>
      <c r="J594" s="30" t="s">
        <v>21</v>
      </c>
      <c r="L594" t="s">
        <v>17</v>
      </c>
      <c r="M594">
        <v>6</v>
      </c>
      <c r="S594" t="str">
        <f t="shared" si="373"/>
        <v>Sand</v>
      </c>
      <c r="T594">
        <f t="shared" si="400"/>
        <v>1</v>
      </c>
      <c r="AA594">
        <v>80</v>
      </c>
      <c r="AB594" s="1">
        <f t="shared" si="369"/>
        <v>8</v>
      </c>
      <c r="AC594">
        <f t="shared" si="370"/>
        <v>11</v>
      </c>
      <c r="AD594" t="str">
        <f t="shared" si="401"/>
        <v/>
      </c>
      <c r="AG594" s="21" t="str">
        <f t="shared" si="379"/>
        <v/>
      </c>
      <c r="AI594" s="6" t="str">
        <f t="shared" si="380"/>
        <v/>
      </c>
      <c r="AM594" s="7" t="str">
        <f t="shared" si="381"/>
        <v/>
      </c>
      <c r="AQ594" s="8" t="str">
        <f t="shared" si="382"/>
        <v/>
      </c>
      <c r="AW594" s="25" t="str">
        <f t="shared" si="383"/>
        <v/>
      </c>
      <c r="AZ594" s="12" t="str">
        <f t="shared" si="384"/>
        <v/>
      </c>
      <c r="BI594" s="17" t="str">
        <f t="shared" si="385"/>
        <v/>
      </c>
      <c r="BM594" t="str">
        <f t="shared" si="386"/>
        <v>SPT Relationship</v>
      </c>
      <c r="BN594">
        <f t="shared" si="374"/>
        <v>113</v>
      </c>
      <c r="BO594" t="str">
        <f t="shared" si="387"/>
        <v>Wolff, 1989</v>
      </c>
      <c r="BP594">
        <f t="shared" si="371"/>
        <v>30</v>
      </c>
      <c r="BQ594" t="str">
        <f t="shared" si="388"/>
        <v/>
      </c>
      <c r="BR594" t="str">
        <f t="shared" si="402"/>
        <v/>
      </c>
      <c r="BS594" t="str">
        <f t="shared" si="389"/>
        <v/>
      </c>
      <c r="BT594" t="str">
        <f t="shared" si="372"/>
        <v/>
      </c>
      <c r="BU594" t="str">
        <f t="shared" si="390"/>
        <v/>
      </c>
      <c r="BV594" t="str">
        <f t="shared" si="403"/>
        <v/>
      </c>
      <c r="BW594" t="str">
        <f t="shared" si="391"/>
        <v/>
      </c>
      <c r="BX594" t="str">
        <f t="shared" si="404"/>
        <v/>
      </c>
      <c r="BY594" t="str">
        <f t="shared" si="392"/>
        <v/>
      </c>
      <c r="BZ594" t="str">
        <f t="shared" si="405"/>
        <v/>
      </c>
      <c r="CA594" t="str">
        <f t="shared" si="393"/>
        <v/>
      </c>
      <c r="CB594" t="str">
        <f t="shared" si="375"/>
        <v/>
      </c>
      <c r="CC594" t="str">
        <f t="shared" si="394"/>
        <v/>
      </c>
      <c r="CD594" t="str">
        <f t="shared" si="376"/>
        <v/>
      </c>
      <c r="CE594" t="str">
        <f t="shared" si="395"/>
        <v>Bowles 5th edition</v>
      </c>
      <c r="CF594">
        <f t="shared" si="377"/>
        <v>147</v>
      </c>
      <c r="CG594" t="str">
        <f t="shared" si="396"/>
        <v/>
      </c>
      <c r="CH594" t="str">
        <f t="shared" si="378"/>
        <v/>
      </c>
      <c r="CI594" t="str">
        <f t="shared" si="397"/>
        <v/>
      </c>
      <c r="CJ594" t="str">
        <f t="shared" si="406"/>
        <v/>
      </c>
    </row>
    <row r="595" spans="2:88" x14ac:dyDescent="0.3">
      <c r="B595" t="str">
        <f t="shared" si="398"/>
        <v>36.823963-76.076282</v>
      </c>
      <c r="C595" s="30" t="s">
        <v>146</v>
      </c>
      <c r="D595">
        <v>36.823962999999999</v>
      </c>
      <c r="E595">
        <v>-76.076282000000006</v>
      </c>
      <c r="F595">
        <v>5</v>
      </c>
      <c r="G595" t="str">
        <f t="shared" si="399"/>
        <v>-5-736.823963-76.076282</v>
      </c>
      <c r="H595">
        <v>-5</v>
      </c>
      <c r="I595">
        <v>-7</v>
      </c>
      <c r="J595" s="30" t="s">
        <v>21</v>
      </c>
      <c r="L595" t="s">
        <v>17</v>
      </c>
      <c r="M595">
        <v>6</v>
      </c>
      <c r="S595" t="str">
        <f t="shared" si="373"/>
        <v>Sand</v>
      </c>
      <c r="T595">
        <f t="shared" si="400"/>
        <v>1</v>
      </c>
      <c r="AA595">
        <v>80</v>
      </c>
      <c r="AB595" s="1">
        <f t="shared" ref="AB595:AB658" si="407">IFERROR(ROUND(M595*AA595/60,0),"")</f>
        <v>8</v>
      </c>
      <c r="AC595">
        <f t="shared" ref="AC595:AC658" si="408">IFERROR(ROUNDDOWN(((1/((((F595-I595)*110)*0.047880258888889)/100))^(0.5))*AB595,0),"")</f>
        <v>10</v>
      </c>
      <c r="AD595" t="str">
        <f t="shared" si="401"/>
        <v/>
      </c>
      <c r="AG595" s="21" t="str">
        <f t="shared" si="379"/>
        <v/>
      </c>
      <c r="AI595" s="6" t="str">
        <f t="shared" si="380"/>
        <v/>
      </c>
      <c r="AM595" s="7" t="str">
        <f t="shared" si="381"/>
        <v/>
      </c>
      <c r="AQ595" s="8" t="str">
        <f t="shared" si="382"/>
        <v/>
      </c>
      <c r="AW595" s="25" t="str">
        <f t="shared" si="383"/>
        <v/>
      </c>
      <c r="AZ595" s="12" t="str">
        <f t="shared" si="384"/>
        <v/>
      </c>
      <c r="BI595" s="17" t="str">
        <f t="shared" si="385"/>
        <v/>
      </c>
      <c r="BM595" t="str">
        <f t="shared" si="386"/>
        <v>SPT Relationship</v>
      </c>
      <c r="BN595">
        <f t="shared" si="374"/>
        <v>113</v>
      </c>
      <c r="BO595" t="str">
        <f t="shared" si="387"/>
        <v>Wolff, 1989</v>
      </c>
      <c r="BP595">
        <f t="shared" si="371"/>
        <v>30</v>
      </c>
      <c r="BQ595" t="str">
        <f t="shared" si="388"/>
        <v/>
      </c>
      <c r="BR595" t="str">
        <f t="shared" si="402"/>
        <v/>
      </c>
      <c r="BS595" t="str">
        <f t="shared" si="389"/>
        <v/>
      </c>
      <c r="BT595" t="str">
        <f t="shared" si="372"/>
        <v/>
      </c>
      <c r="BU595" t="str">
        <f t="shared" si="390"/>
        <v/>
      </c>
      <c r="BV595" t="str">
        <f t="shared" si="403"/>
        <v/>
      </c>
      <c r="BW595" t="str">
        <f t="shared" si="391"/>
        <v/>
      </c>
      <c r="BX595" t="str">
        <f t="shared" si="404"/>
        <v/>
      </c>
      <c r="BY595" t="str">
        <f t="shared" si="392"/>
        <v/>
      </c>
      <c r="BZ595" t="str">
        <f t="shared" si="405"/>
        <v/>
      </c>
      <c r="CA595" t="str">
        <f t="shared" si="393"/>
        <v/>
      </c>
      <c r="CB595" t="str">
        <f t="shared" si="375"/>
        <v/>
      </c>
      <c r="CC595" t="str">
        <f t="shared" si="394"/>
        <v/>
      </c>
      <c r="CD595" t="str">
        <f t="shared" si="376"/>
        <v/>
      </c>
      <c r="CE595" t="str">
        <f t="shared" si="395"/>
        <v>Bowles 5th edition</v>
      </c>
      <c r="CF595">
        <f t="shared" si="377"/>
        <v>147</v>
      </c>
      <c r="CG595" t="str">
        <f t="shared" si="396"/>
        <v/>
      </c>
      <c r="CH595" t="str">
        <f t="shared" si="378"/>
        <v/>
      </c>
      <c r="CI595" t="str">
        <f t="shared" si="397"/>
        <v/>
      </c>
      <c r="CJ595" t="str">
        <f t="shared" si="406"/>
        <v/>
      </c>
    </row>
    <row r="596" spans="2:88" x14ac:dyDescent="0.3">
      <c r="B596" t="str">
        <f t="shared" si="398"/>
        <v>36.823963-76.076282</v>
      </c>
      <c r="C596" s="30" t="s">
        <v>146</v>
      </c>
      <c r="D596">
        <v>36.823962999999999</v>
      </c>
      <c r="E596">
        <v>-76.076282000000006</v>
      </c>
      <c r="F596">
        <v>5</v>
      </c>
      <c r="G596" t="str">
        <f t="shared" si="399"/>
        <v>-8-1036.823963-76.076282</v>
      </c>
      <c r="H596">
        <v>-8</v>
      </c>
      <c r="I596">
        <v>-10</v>
      </c>
      <c r="J596" s="30" t="s">
        <v>21</v>
      </c>
      <c r="L596" t="s">
        <v>17</v>
      </c>
      <c r="M596">
        <v>3</v>
      </c>
      <c r="S596" t="str">
        <f t="shared" si="373"/>
        <v>Sand</v>
      </c>
      <c r="T596">
        <f t="shared" si="400"/>
        <v>1</v>
      </c>
      <c r="AA596">
        <v>80</v>
      </c>
      <c r="AB596" s="1">
        <f t="shared" si="407"/>
        <v>4</v>
      </c>
      <c r="AC596">
        <f t="shared" si="408"/>
        <v>4</v>
      </c>
      <c r="AD596" t="str">
        <f t="shared" si="401"/>
        <v/>
      </c>
      <c r="AG596" s="21" t="str">
        <f t="shared" si="379"/>
        <v/>
      </c>
      <c r="AI596" s="6" t="str">
        <f t="shared" si="380"/>
        <v/>
      </c>
      <c r="AM596" s="7" t="str">
        <f t="shared" si="381"/>
        <v/>
      </c>
      <c r="AQ596" s="8" t="str">
        <f t="shared" si="382"/>
        <v/>
      </c>
      <c r="AW596" s="25" t="str">
        <f t="shared" si="383"/>
        <v/>
      </c>
      <c r="AZ596" s="12" t="str">
        <f t="shared" si="384"/>
        <v/>
      </c>
      <c r="BI596" s="17" t="str">
        <f t="shared" si="385"/>
        <v/>
      </c>
      <c r="BM596" t="str">
        <f t="shared" si="386"/>
        <v>SPT Relationship</v>
      </c>
      <c r="BN596">
        <f t="shared" si="374"/>
        <v>105</v>
      </c>
      <c r="BO596" t="str">
        <f t="shared" si="387"/>
        <v>Wolff, 1989</v>
      </c>
      <c r="BP596">
        <f t="shared" si="371"/>
        <v>28</v>
      </c>
      <c r="BQ596" t="str">
        <f t="shared" si="388"/>
        <v/>
      </c>
      <c r="BR596" t="str">
        <f t="shared" si="402"/>
        <v/>
      </c>
      <c r="BS596" t="str">
        <f t="shared" si="389"/>
        <v/>
      </c>
      <c r="BT596" t="str">
        <f t="shared" si="372"/>
        <v/>
      </c>
      <c r="BU596" t="str">
        <f t="shared" si="390"/>
        <v/>
      </c>
      <c r="BV596" t="str">
        <f t="shared" si="403"/>
        <v/>
      </c>
      <c r="BW596" t="str">
        <f t="shared" si="391"/>
        <v/>
      </c>
      <c r="BX596" t="str">
        <f t="shared" si="404"/>
        <v/>
      </c>
      <c r="BY596" t="str">
        <f t="shared" si="392"/>
        <v/>
      </c>
      <c r="BZ596" t="str">
        <f t="shared" si="405"/>
        <v/>
      </c>
      <c r="CA596" t="str">
        <f t="shared" si="393"/>
        <v/>
      </c>
      <c r="CB596" t="str">
        <f t="shared" si="375"/>
        <v/>
      </c>
      <c r="CC596" t="str">
        <f t="shared" si="394"/>
        <v/>
      </c>
      <c r="CD596" t="str">
        <f t="shared" si="376"/>
        <v/>
      </c>
      <c r="CE596" t="str">
        <f t="shared" si="395"/>
        <v>Bowles 5th edition</v>
      </c>
      <c r="CF596">
        <f t="shared" si="377"/>
        <v>122</v>
      </c>
      <c r="CG596" t="str">
        <f t="shared" si="396"/>
        <v/>
      </c>
      <c r="CH596" t="str">
        <f t="shared" si="378"/>
        <v/>
      </c>
      <c r="CI596" t="str">
        <f t="shared" si="397"/>
        <v/>
      </c>
      <c r="CJ596" t="str">
        <f t="shared" si="406"/>
        <v/>
      </c>
    </row>
    <row r="597" spans="2:88" x14ac:dyDescent="0.3">
      <c r="B597" t="str">
        <f t="shared" si="398"/>
        <v>36.823963-76.076282</v>
      </c>
      <c r="C597" s="30" t="s">
        <v>146</v>
      </c>
      <c r="D597">
        <v>36.823962999999999</v>
      </c>
      <c r="E597">
        <v>-76.076282000000006</v>
      </c>
      <c r="F597">
        <v>5</v>
      </c>
      <c r="G597" t="str">
        <f t="shared" si="399"/>
        <v>-13-1536.823963-76.076282</v>
      </c>
      <c r="H597">
        <v>-13</v>
      </c>
      <c r="I597">
        <v>-15</v>
      </c>
      <c r="J597" s="30" t="s">
        <v>21</v>
      </c>
      <c r="L597" t="s">
        <v>8</v>
      </c>
      <c r="M597">
        <v>7</v>
      </c>
      <c r="S597" t="str">
        <f t="shared" si="373"/>
        <v>Sand</v>
      </c>
      <c r="T597">
        <f t="shared" si="400"/>
        <v>1</v>
      </c>
      <c r="AA597">
        <v>80</v>
      </c>
      <c r="AB597" s="1">
        <f t="shared" si="407"/>
        <v>9</v>
      </c>
      <c r="AC597">
        <f t="shared" si="408"/>
        <v>8</v>
      </c>
      <c r="AD597" t="str">
        <f t="shared" si="401"/>
        <v/>
      </c>
      <c r="AG597" s="21" t="str">
        <f t="shared" si="379"/>
        <v/>
      </c>
      <c r="AI597" s="6" t="str">
        <f t="shared" si="380"/>
        <v/>
      </c>
      <c r="AM597" s="7" t="str">
        <f t="shared" si="381"/>
        <v/>
      </c>
      <c r="AQ597" s="8" t="str">
        <f t="shared" si="382"/>
        <v/>
      </c>
      <c r="AW597" s="25" t="str">
        <f t="shared" si="383"/>
        <v/>
      </c>
      <c r="AZ597" s="12" t="str">
        <f t="shared" si="384"/>
        <v/>
      </c>
      <c r="BI597" s="17" t="str">
        <f t="shared" si="385"/>
        <v/>
      </c>
      <c r="BM597" t="str">
        <f t="shared" si="386"/>
        <v>SPT Relationship</v>
      </c>
      <c r="BN597">
        <f t="shared" si="374"/>
        <v>114</v>
      </c>
      <c r="BO597" t="str">
        <f t="shared" si="387"/>
        <v>Wolff, 1989</v>
      </c>
      <c r="BP597">
        <f t="shared" si="371"/>
        <v>29</v>
      </c>
      <c r="BQ597" t="str">
        <f t="shared" si="388"/>
        <v/>
      </c>
      <c r="BR597" t="str">
        <f t="shared" si="402"/>
        <v/>
      </c>
      <c r="BS597" t="str">
        <f t="shared" si="389"/>
        <v/>
      </c>
      <c r="BT597" t="str">
        <f t="shared" si="372"/>
        <v/>
      </c>
      <c r="BU597" t="str">
        <f t="shared" si="390"/>
        <v/>
      </c>
      <c r="BV597" t="str">
        <f t="shared" si="403"/>
        <v/>
      </c>
      <c r="BW597" t="str">
        <f t="shared" si="391"/>
        <v/>
      </c>
      <c r="BX597" t="str">
        <f t="shared" si="404"/>
        <v/>
      </c>
      <c r="BY597" t="str">
        <f t="shared" si="392"/>
        <v/>
      </c>
      <c r="BZ597" t="str">
        <f t="shared" si="405"/>
        <v/>
      </c>
      <c r="CA597" t="str">
        <f t="shared" si="393"/>
        <v/>
      </c>
      <c r="CB597" t="str">
        <f t="shared" si="375"/>
        <v/>
      </c>
      <c r="CC597" t="str">
        <f t="shared" si="394"/>
        <v/>
      </c>
      <c r="CD597" t="str">
        <f t="shared" si="376"/>
        <v/>
      </c>
      <c r="CE597" t="str">
        <f t="shared" si="395"/>
        <v>Bowles 5th edition</v>
      </c>
      <c r="CF597">
        <f t="shared" si="377"/>
        <v>154</v>
      </c>
      <c r="CG597" t="str">
        <f t="shared" si="396"/>
        <v/>
      </c>
      <c r="CH597" t="str">
        <f t="shared" si="378"/>
        <v/>
      </c>
      <c r="CI597" t="str">
        <f t="shared" si="397"/>
        <v/>
      </c>
      <c r="CJ597" t="str">
        <f t="shared" si="406"/>
        <v/>
      </c>
    </row>
    <row r="598" spans="2:88" x14ac:dyDescent="0.3">
      <c r="B598" t="str">
        <f t="shared" si="398"/>
        <v>36.823963-76.076282</v>
      </c>
      <c r="C598" s="30" t="s">
        <v>146</v>
      </c>
      <c r="D598">
        <v>36.823962999999999</v>
      </c>
      <c r="E598">
        <v>-76.076282000000006</v>
      </c>
      <c r="F598">
        <v>5</v>
      </c>
      <c r="G598" t="str">
        <f t="shared" si="399"/>
        <v>-18-2036.823963-76.076282</v>
      </c>
      <c r="H598">
        <v>-18</v>
      </c>
      <c r="I598">
        <v>-20</v>
      </c>
      <c r="J598" s="30" t="s">
        <v>21</v>
      </c>
      <c r="L598" t="s">
        <v>8</v>
      </c>
      <c r="M598">
        <v>2</v>
      </c>
      <c r="S598" t="str">
        <f t="shared" si="373"/>
        <v>Sand</v>
      </c>
      <c r="T598">
        <f t="shared" si="400"/>
        <v>1</v>
      </c>
      <c r="AA598">
        <v>80</v>
      </c>
      <c r="AB598" s="1">
        <f t="shared" si="407"/>
        <v>3</v>
      </c>
      <c r="AC598">
        <f t="shared" si="408"/>
        <v>2</v>
      </c>
      <c r="AD598" t="str">
        <f t="shared" si="401"/>
        <v/>
      </c>
      <c r="AG598" s="21" t="str">
        <f t="shared" si="379"/>
        <v/>
      </c>
      <c r="AI598" s="6" t="str">
        <f t="shared" si="380"/>
        <v/>
      </c>
      <c r="AM598" s="7" t="str">
        <f t="shared" si="381"/>
        <v/>
      </c>
      <c r="AQ598" s="8" t="str">
        <f t="shared" si="382"/>
        <v/>
      </c>
      <c r="AW598" s="25" t="str">
        <f t="shared" si="383"/>
        <v/>
      </c>
      <c r="AZ598" s="12" t="str">
        <f t="shared" si="384"/>
        <v/>
      </c>
      <c r="BI598" s="17" t="str">
        <f t="shared" si="385"/>
        <v/>
      </c>
      <c r="BM598" t="str">
        <f t="shared" si="386"/>
        <v>SPT Relationship</v>
      </c>
      <c r="BN598">
        <f t="shared" si="374"/>
        <v>101</v>
      </c>
      <c r="BO598" t="str">
        <f t="shared" si="387"/>
        <v>Wolff, 1989</v>
      </c>
      <c r="BP598">
        <f t="shared" si="371"/>
        <v>27</v>
      </c>
      <c r="BQ598" t="str">
        <f t="shared" si="388"/>
        <v/>
      </c>
      <c r="BR598" t="str">
        <f t="shared" si="402"/>
        <v/>
      </c>
      <c r="BS598" t="str">
        <f t="shared" si="389"/>
        <v/>
      </c>
      <c r="BT598" t="str">
        <f t="shared" si="372"/>
        <v/>
      </c>
      <c r="BU598" t="str">
        <f t="shared" si="390"/>
        <v/>
      </c>
      <c r="BV598" t="str">
        <f t="shared" si="403"/>
        <v/>
      </c>
      <c r="BW598" t="str">
        <f t="shared" si="391"/>
        <v/>
      </c>
      <c r="BX598" t="str">
        <f t="shared" si="404"/>
        <v/>
      </c>
      <c r="BY598" t="str">
        <f t="shared" si="392"/>
        <v/>
      </c>
      <c r="BZ598" t="str">
        <f t="shared" si="405"/>
        <v/>
      </c>
      <c r="CA598" t="str">
        <f t="shared" si="393"/>
        <v/>
      </c>
      <c r="CB598" t="str">
        <f t="shared" si="375"/>
        <v/>
      </c>
      <c r="CC598" t="str">
        <f t="shared" si="394"/>
        <v/>
      </c>
      <c r="CD598" t="str">
        <f t="shared" si="376"/>
        <v/>
      </c>
      <c r="CE598" t="str">
        <f t="shared" si="395"/>
        <v>Bowles 5th edition</v>
      </c>
      <c r="CF598">
        <f t="shared" si="377"/>
        <v>115</v>
      </c>
      <c r="CG598" t="str">
        <f t="shared" si="396"/>
        <v/>
      </c>
      <c r="CH598" t="str">
        <f t="shared" si="378"/>
        <v/>
      </c>
      <c r="CI598" t="str">
        <f t="shared" si="397"/>
        <v/>
      </c>
      <c r="CJ598" t="str">
        <f t="shared" si="406"/>
        <v/>
      </c>
    </row>
    <row r="599" spans="2:88" x14ac:dyDescent="0.3">
      <c r="B599" t="str">
        <f t="shared" si="398"/>
        <v>36.823963-76.076282</v>
      </c>
      <c r="C599" s="30" t="s">
        <v>146</v>
      </c>
      <c r="D599">
        <v>36.823962999999999</v>
      </c>
      <c r="E599">
        <v>-76.076282000000006</v>
      </c>
      <c r="F599">
        <v>5</v>
      </c>
      <c r="G599" t="str">
        <f t="shared" si="399"/>
        <v>-23-2536.823963-76.076282</v>
      </c>
      <c r="H599">
        <v>-23</v>
      </c>
      <c r="I599">
        <v>-25</v>
      </c>
      <c r="J599" s="30" t="s">
        <v>21</v>
      </c>
      <c r="L599" t="s">
        <v>17</v>
      </c>
      <c r="M599">
        <v>2</v>
      </c>
      <c r="S599" t="str">
        <f t="shared" si="373"/>
        <v>Sand</v>
      </c>
      <c r="T599">
        <f t="shared" si="400"/>
        <v>1</v>
      </c>
      <c r="AA599">
        <v>80</v>
      </c>
      <c r="AB599" s="1">
        <f t="shared" si="407"/>
        <v>3</v>
      </c>
      <c r="AC599">
        <f t="shared" si="408"/>
        <v>2</v>
      </c>
      <c r="AD599" t="str">
        <f t="shared" si="401"/>
        <v/>
      </c>
      <c r="AG599" s="21" t="str">
        <f t="shared" si="379"/>
        <v/>
      </c>
      <c r="AI599" s="6" t="str">
        <f t="shared" si="380"/>
        <v/>
      </c>
      <c r="AM599" s="7" t="str">
        <f t="shared" si="381"/>
        <v/>
      </c>
      <c r="AQ599" s="8" t="str">
        <f t="shared" si="382"/>
        <v/>
      </c>
      <c r="AW599" s="25" t="str">
        <f t="shared" si="383"/>
        <v/>
      </c>
      <c r="AZ599" s="12" t="str">
        <f t="shared" si="384"/>
        <v/>
      </c>
      <c r="BI599" s="17" t="str">
        <f t="shared" si="385"/>
        <v/>
      </c>
      <c r="BM599" t="str">
        <f t="shared" si="386"/>
        <v>SPT Relationship</v>
      </c>
      <c r="BN599">
        <f t="shared" si="374"/>
        <v>101</v>
      </c>
      <c r="BO599" t="str">
        <f t="shared" si="387"/>
        <v>Wolff, 1989</v>
      </c>
      <c r="BP599">
        <f t="shared" si="371"/>
        <v>27</v>
      </c>
      <c r="BQ599" t="str">
        <f t="shared" si="388"/>
        <v/>
      </c>
      <c r="BR599" t="str">
        <f t="shared" si="402"/>
        <v/>
      </c>
      <c r="BS599" t="str">
        <f t="shared" si="389"/>
        <v/>
      </c>
      <c r="BT599" t="str">
        <f t="shared" si="372"/>
        <v/>
      </c>
      <c r="BU599" t="str">
        <f t="shared" si="390"/>
        <v/>
      </c>
      <c r="BV599" t="str">
        <f t="shared" si="403"/>
        <v/>
      </c>
      <c r="BW599" t="str">
        <f t="shared" si="391"/>
        <v/>
      </c>
      <c r="BX599" t="str">
        <f t="shared" si="404"/>
        <v/>
      </c>
      <c r="BY599" t="str">
        <f t="shared" si="392"/>
        <v/>
      </c>
      <c r="BZ599" t="str">
        <f t="shared" si="405"/>
        <v/>
      </c>
      <c r="CA599" t="str">
        <f t="shared" si="393"/>
        <v/>
      </c>
      <c r="CB599" t="str">
        <f t="shared" si="375"/>
        <v/>
      </c>
      <c r="CC599" t="str">
        <f t="shared" si="394"/>
        <v/>
      </c>
      <c r="CD599" t="str">
        <f t="shared" si="376"/>
        <v/>
      </c>
      <c r="CE599" t="str">
        <f t="shared" si="395"/>
        <v>Bowles 5th edition</v>
      </c>
      <c r="CF599">
        <f t="shared" si="377"/>
        <v>115</v>
      </c>
      <c r="CG599" t="str">
        <f t="shared" si="396"/>
        <v/>
      </c>
      <c r="CH599" t="str">
        <f t="shared" si="378"/>
        <v/>
      </c>
      <c r="CI599" t="str">
        <f t="shared" si="397"/>
        <v/>
      </c>
      <c r="CJ599" t="str">
        <f t="shared" si="406"/>
        <v/>
      </c>
    </row>
    <row r="600" spans="2:88" x14ac:dyDescent="0.3">
      <c r="B600" t="str">
        <f t="shared" si="398"/>
        <v>36.823963-76.076282</v>
      </c>
      <c r="C600" s="30" t="s">
        <v>146</v>
      </c>
      <c r="D600">
        <v>36.823962999999999</v>
      </c>
      <c r="E600">
        <v>-76.076282000000006</v>
      </c>
      <c r="F600">
        <v>5</v>
      </c>
      <c r="G600" t="str">
        <f t="shared" si="399"/>
        <v>-28-3036.823963-76.076282</v>
      </c>
      <c r="H600">
        <v>-28</v>
      </c>
      <c r="I600">
        <v>-30</v>
      </c>
      <c r="J600" s="30" t="s">
        <v>21</v>
      </c>
      <c r="L600" t="s">
        <v>17</v>
      </c>
      <c r="M600">
        <v>2</v>
      </c>
      <c r="S600" t="str">
        <f t="shared" si="373"/>
        <v>Sand</v>
      </c>
      <c r="T600">
        <f t="shared" si="400"/>
        <v>1</v>
      </c>
      <c r="AA600">
        <v>80</v>
      </c>
      <c r="AB600" s="1">
        <f t="shared" si="407"/>
        <v>3</v>
      </c>
      <c r="AC600">
        <f t="shared" si="408"/>
        <v>2</v>
      </c>
      <c r="AD600" t="str">
        <f t="shared" si="401"/>
        <v/>
      </c>
      <c r="AG600" s="21" t="str">
        <f t="shared" si="379"/>
        <v/>
      </c>
      <c r="AI600" s="6" t="str">
        <f t="shared" si="380"/>
        <v/>
      </c>
      <c r="AM600" s="7" t="str">
        <f t="shared" si="381"/>
        <v/>
      </c>
      <c r="AQ600" s="8" t="str">
        <f t="shared" si="382"/>
        <v/>
      </c>
      <c r="AW600" s="25" t="str">
        <f t="shared" si="383"/>
        <v/>
      </c>
      <c r="AZ600" s="12" t="str">
        <f t="shared" si="384"/>
        <v/>
      </c>
      <c r="BI600" s="17" t="str">
        <f t="shared" si="385"/>
        <v/>
      </c>
      <c r="BM600" t="str">
        <f t="shared" si="386"/>
        <v>SPT Relationship</v>
      </c>
      <c r="BN600">
        <f t="shared" si="374"/>
        <v>101</v>
      </c>
      <c r="BO600" t="str">
        <f t="shared" si="387"/>
        <v>Wolff, 1989</v>
      </c>
      <c r="BP600">
        <f t="shared" si="371"/>
        <v>27</v>
      </c>
      <c r="BQ600" t="str">
        <f t="shared" si="388"/>
        <v/>
      </c>
      <c r="BR600" t="str">
        <f t="shared" si="402"/>
        <v/>
      </c>
      <c r="BS600" t="str">
        <f t="shared" si="389"/>
        <v/>
      </c>
      <c r="BT600" t="str">
        <f t="shared" si="372"/>
        <v/>
      </c>
      <c r="BU600" t="str">
        <f t="shared" si="390"/>
        <v/>
      </c>
      <c r="BV600" t="str">
        <f t="shared" si="403"/>
        <v/>
      </c>
      <c r="BW600" t="str">
        <f t="shared" si="391"/>
        <v/>
      </c>
      <c r="BX600" t="str">
        <f t="shared" si="404"/>
        <v/>
      </c>
      <c r="BY600" t="str">
        <f t="shared" si="392"/>
        <v/>
      </c>
      <c r="BZ600" t="str">
        <f t="shared" si="405"/>
        <v/>
      </c>
      <c r="CA600" t="str">
        <f t="shared" si="393"/>
        <v/>
      </c>
      <c r="CB600" t="str">
        <f t="shared" si="375"/>
        <v/>
      </c>
      <c r="CC600" t="str">
        <f t="shared" si="394"/>
        <v/>
      </c>
      <c r="CD600" t="str">
        <f t="shared" si="376"/>
        <v/>
      </c>
      <c r="CE600" t="str">
        <f t="shared" si="395"/>
        <v>Bowles 5th edition</v>
      </c>
      <c r="CF600">
        <f t="shared" si="377"/>
        <v>115</v>
      </c>
      <c r="CG600" t="str">
        <f t="shared" si="396"/>
        <v/>
      </c>
      <c r="CH600" t="str">
        <f t="shared" si="378"/>
        <v/>
      </c>
      <c r="CI600" t="str">
        <f t="shared" si="397"/>
        <v/>
      </c>
      <c r="CJ600" t="str">
        <f t="shared" si="406"/>
        <v/>
      </c>
    </row>
    <row r="601" spans="2:88" x14ac:dyDescent="0.3">
      <c r="B601" t="str">
        <f t="shared" si="398"/>
        <v>36.823963-76.076282</v>
      </c>
      <c r="C601" s="30" t="s">
        <v>146</v>
      </c>
      <c r="D601">
        <v>36.823962999999999</v>
      </c>
      <c r="E601">
        <v>-76.076282000000006</v>
      </c>
      <c r="F601">
        <v>5</v>
      </c>
      <c r="G601" t="str">
        <f t="shared" si="399"/>
        <v>-33-3536.823963-76.076282</v>
      </c>
      <c r="H601">
        <v>-33</v>
      </c>
      <c r="I601">
        <v>-35</v>
      </c>
      <c r="J601" s="30" t="s">
        <v>21</v>
      </c>
      <c r="L601" t="s">
        <v>17</v>
      </c>
      <c r="M601">
        <v>2</v>
      </c>
      <c r="S601" t="str">
        <f t="shared" si="373"/>
        <v>Sand</v>
      </c>
      <c r="T601">
        <f t="shared" si="400"/>
        <v>1</v>
      </c>
      <c r="AA601">
        <v>80</v>
      </c>
      <c r="AB601" s="1">
        <f t="shared" si="407"/>
        <v>3</v>
      </c>
      <c r="AC601">
        <f t="shared" si="408"/>
        <v>2</v>
      </c>
      <c r="AD601" t="str">
        <f t="shared" si="401"/>
        <v/>
      </c>
      <c r="AG601" s="21" t="str">
        <f t="shared" si="379"/>
        <v/>
      </c>
      <c r="AI601" s="6" t="str">
        <f t="shared" si="380"/>
        <v/>
      </c>
      <c r="AM601" s="7" t="str">
        <f t="shared" si="381"/>
        <v/>
      </c>
      <c r="AQ601" s="8" t="str">
        <f t="shared" si="382"/>
        <v/>
      </c>
      <c r="AW601" s="25" t="str">
        <f t="shared" si="383"/>
        <v/>
      </c>
      <c r="AZ601" s="12" t="str">
        <f t="shared" si="384"/>
        <v/>
      </c>
      <c r="BI601" s="17" t="str">
        <f t="shared" si="385"/>
        <v/>
      </c>
      <c r="BM601" t="str">
        <f t="shared" si="386"/>
        <v>SPT Relationship</v>
      </c>
      <c r="BN601">
        <f t="shared" si="374"/>
        <v>101</v>
      </c>
      <c r="BO601" t="str">
        <f t="shared" si="387"/>
        <v>Wolff, 1989</v>
      </c>
      <c r="BP601">
        <f t="shared" si="371"/>
        <v>27</v>
      </c>
      <c r="BQ601" t="str">
        <f t="shared" si="388"/>
        <v/>
      </c>
      <c r="BR601" t="str">
        <f t="shared" si="402"/>
        <v/>
      </c>
      <c r="BS601" t="str">
        <f t="shared" si="389"/>
        <v/>
      </c>
      <c r="BT601" t="str">
        <f t="shared" si="372"/>
        <v/>
      </c>
      <c r="BU601" t="str">
        <f t="shared" si="390"/>
        <v/>
      </c>
      <c r="BV601" t="str">
        <f t="shared" si="403"/>
        <v/>
      </c>
      <c r="BW601" t="str">
        <f t="shared" si="391"/>
        <v/>
      </c>
      <c r="BX601" t="str">
        <f t="shared" si="404"/>
        <v/>
      </c>
      <c r="BY601" t="str">
        <f t="shared" si="392"/>
        <v/>
      </c>
      <c r="BZ601" t="str">
        <f t="shared" si="405"/>
        <v/>
      </c>
      <c r="CA601" t="str">
        <f t="shared" si="393"/>
        <v/>
      </c>
      <c r="CB601" t="str">
        <f t="shared" si="375"/>
        <v/>
      </c>
      <c r="CC601" t="str">
        <f t="shared" si="394"/>
        <v/>
      </c>
      <c r="CD601" t="str">
        <f t="shared" si="376"/>
        <v/>
      </c>
      <c r="CE601" t="str">
        <f t="shared" si="395"/>
        <v>Bowles 5th edition</v>
      </c>
      <c r="CF601">
        <f t="shared" si="377"/>
        <v>115</v>
      </c>
      <c r="CG601" t="str">
        <f t="shared" si="396"/>
        <v/>
      </c>
      <c r="CH601" t="str">
        <f t="shared" si="378"/>
        <v/>
      </c>
      <c r="CI601" t="str">
        <f t="shared" si="397"/>
        <v/>
      </c>
      <c r="CJ601" t="str">
        <f t="shared" si="406"/>
        <v/>
      </c>
    </row>
    <row r="602" spans="2:88" x14ac:dyDescent="0.3">
      <c r="B602" t="str">
        <f t="shared" si="398"/>
        <v>36.823963-76.076282</v>
      </c>
      <c r="C602" s="30" t="s">
        <v>146</v>
      </c>
      <c r="D602">
        <v>36.823962999999999</v>
      </c>
      <c r="E602">
        <v>-76.076282000000006</v>
      </c>
      <c r="F602">
        <v>5</v>
      </c>
      <c r="G602" t="str">
        <f t="shared" si="399"/>
        <v>-38-4036.823963-76.076282</v>
      </c>
      <c r="H602">
        <v>-38</v>
      </c>
      <c r="I602">
        <v>-40</v>
      </c>
      <c r="J602" s="30" t="s">
        <v>21</v>
      </c>
      <c r="L602" t="s">
        <v>17</v>
      </c>
      <c r="M602">
        <v>2</v>
      </c>
      <c r="S602" t="str">
        <f t="shared" si="373"/>
        <v>Sand</v>
      </c>
      <c r="T602">
        <f t="shared" si="400"/>
        <v>1</v>
      </c>
      <c r="AA602">
        <v>80</v>
      </c>
      <c r="AB602" s="1">
        <f t="shared" si="407"/>
        <v>3</v>
      </c>
      <c r="AC602">
        <f t="shared" si="408"/>
        <v>1</v>
      </c>
      <c r="AD602" t="str">
        <f t="shared" si="401"/>
        <v/>
      </c>
      <c r="AG602" s="21" t="str">
        <f t="shared" si="379"/>
        <v/>
      </c>
      <c r="AI602" s="6" t="str">
        <f t="shared" si="380"/>
        <v/>
      </c>
      <c r="AM602" s="7" t="str">
        <f t="shared" si="381"/>
        <v/>
      </c>
      <c r="AQ602" s="8" t="str">
        <f t="shared" si="382"/>
        <v/>
      </c>
      <c r="AW602" s="25" t="str">
        <f t="shared" si="383"/>
        <v/>
      </c>
      <c r="AZ602" s="12" t="str">
        <f t="shared" si="384"/>
        <v/>
      </c>
      <c r="BI602" s="17" t="str">
        <f t="shared" si="385"/>
        <v/>
      </c>
      <c r="BM602" t="str">
        <f t="shared" si="386"/>
        <v>SPT Relationship</v>
      </c>
      <c r="BN602">
        <f t="shared" si="374"/>
        <v>101</v>
      </c>
      <c r="BO602" t="str">
        <f t="shared" si="387"/>
        <v>Wolff, 1989</v>
      </c>
      <c r="BP602">
        <f t="shared" si="371"/>
        <v>27</v>
      </c>
      <c r="BQ602" t="str">
        <f t="shared" si="388"/>
        <v/>
      </c>
      <c r="BR602" t="str">
        <f t="shared" si="402"/>
        <v/>
      </c>
      <c r="BS602" t="str">
        <f t="shared" si="389"/>
        <v/>
      </c>
      <c r="BT602" t="str">
        <f t="shared" si="372"/>
        <v/>
      </c>
      <c r="BU602" t="str">
        <f t="shared" si="390"/>
        <v/>
      </c>
      <c r="BV602" t="str">
        <f t="shared" si="403"/>
        <v/>
      </c>
      <c r="BW602" t="str">
        <f t="shared" si="391"/>
        <v/>
      </c>
      <c r="BX602" t="str">
        <f t="shared" si="404"/>
        <v/>
      </c>
      <c r="BY602" t="str">
        <f t="shared" si="392"/>
        <v/>
      </c>
      <c r="BZ602" t="str">
        <f t="shared" si="405"/>
        <v/>
      </c>
      <c r="CA602" t="str">
        <f t="shared" si="393"/>
        <v/>
      </c>
      <c r="CB602" t="str">
        <f t="shared" si="375"/>
        <v/>
      </c>
      <c r="CC602" t="str">
        <f t="shared" si="394"/>
        <v/>
      </c>
      <c r="CD602" t="str">
        <f t="shared" si="376"/>
        <v/>
      </c>
      <c r="CE602" t="str">
        <f t="shared" si="395"/>
        <v>Bowles 5th edition</v>
      </c>
      <c r="CF602">
        <f t="shared" si="377"/>
        <v>115</v>
      </c>
      <c r="CG602" t="str">
        <f t="shared" si="396"/>
        <v/>
      </c>
      <c r="CH602" t="str">
        <f t="shared" si="378"/>
        <v/>
      </c>
      <c r="CI602" t="str">
        <f t="shared" si="397"/>
        <v/>
      </c>
      <c r="CJ602" t="str">
        <f t="shared" si="406"/>
        <v/>
      </c>
    </row>
    <row r="603" spans="2:88" x14ac:dyDescent="0.3">
      <c r="B603" t="str">
        <f t="shared" si="398"/>
        <v>36.823963-76.076282</v>
      </c>
      <c r="C603" s="30" t="s">
        <v>146</v>
      </c>
      <c r="D603">
        <v>36.823962999999999</v>
      </c>
      <c r="E603">
        <v>-76.076282000000006</v>
      </c>
      <c r="F603">
        <v>5</v>
      </c>
      <c r="G603" t="str">
        <f t="shared" si="399"/>
        <v>-43-4536.823963-76.076282</v>
      </c>
      <c r="H603">
        <v>-43</v>
      </c>
      <c r="I603">
        <v>-45</v>
      </c>
      <c r="J603" s="30" t="s">
        <v>21</v>
      </c>
      <c r="L603" t="s">
        <v>113</v>
      </c>
      <c r="M603">
        <v>2</v>
      </c>
      <c r="S603" t="str">
        <f t="shared" si="373"/>
        <v>Clay</v>
      </c>
      <c r="T603">
        <f t="shared" si="400"/>
        <v>1</v>
      </c>
      <c r="AA603">
        <v>80</v>
      </c>
      <c r="AB603" s="1">
        <f t="shared" si="407"/>
        <v>3</v>
      </c>
      <c r="AC603">
        <f t="shared" si="408"/>
        <v>1</v>
      </c>
      <c r="AD603" t="str">
        <f t="shared" si="401"/>
        <v/>
      </c>
      <c r="AG603" s="21" t="str">
        <f t="shared" si="379"/>
        <v/>
      </c>
      <c r="AI603" s="6" t="str">
        <f t="shared" si="380"/>
        <v/>
      </c>
      <c r="AM603" s="7" t="str">
        <f t="shared" si="381"/>
        <v/>
      </c>
      <c r="AQ603" s="8" t="str">
        <f t="shared" si="382"/>
        <v/>
      </c>
      <c r="AW603" s="25" t="str">
        <f t="shared" si="383"/>
        <v/>
      </c>
      <c r="AZ603" s="12" t="str">
        <f t="shared" si="384"/>
        <v/>
      </c>
      <c r="BI603" s="17" t="str">
        <f t="shared" si="385"/>
        <v/>
      </c>
      <c r="BM603" t="str">
        <f t="shared" si="386"/>
        <v>SPT Relationship</v>
      </c>
      <c r="BN603">
        <f t="shared" si="374"/>
        <v>101</v>
      </c>
      <c r="BO603" t="str">
        <f t="shared" si="387"/>
        <v>Wolff, 1989</v>
      </c>
      <c r="BP603">
        <f t="shared" si="371"/>
        <v>27</v>
      </c>
      <c r="BQ603" t="str">
        <f t="shared" si="388"/>
        <v/>
      </c>
      <c r="BR603" t="str">
        <f t="shared" si="402"/>
        <v/>
      </c>
      <c r="BS603" t="str">
        <f t="shared" si="389"/>
        <v>Stroud 1974 (K=3.5)</v>
      </c>
      <c r="BT603">
        <f t="shared" si="372"/>
        <v>219</v>
      </c>
      <c r="BU603" t="str">
        <f t="shared" si="390"/>
        <v/>
      </c>
      <c r="BV603" t="str">
        <f t="shared" si="403"/>
        <v/>
      </c>
      <c r="BW603" t="str">
        <f t="shared" si="391"/>
        <v/>
      </c>
      <c r="BX603" t="str">
        <f t="shared" si="404"/>
        <v/>
      </c>
      <c r="BY603" t="str">
        <f t="shared" si="392"/>
        <v/>
      </c>
      <c r="BZ603" t="str">
        <f t="shared" si="405"/>
        <v/>
      </c>
      <c r="CA603" t="str">
        <f t="shared" si="393"/>
        <v/>
      </c>
      <c r="CB603" t="str">
        <f t="shared" si="375"/>
        <v/>
      </c>
      <c r="CC603" t="str">
        <f t="shared" si="394"/>
        <v/>
      </c>
      <c r="CD603" t="str">
        <f t="shared" si="376"/>
        <v/>
      </c>
      <c r="CE603" t="str">
        <f t="shared" si="395"/>
        <v/>
      </c>
      <c r="CF603" t="str">
        <f t="shared" si="377"/>
        <v/>
      </c>
      <c r="CG603" t="str">
        <f t="shared" si="396"/>
        <v/>
      </c>
      <c r="CH603" t="str">
        <f t="shared" si="378"/>
        <v/>
      </c>
      <c r="CI603" t="str">
        <f t="shared" si="397"/>
        <v/>
      </c>
      <c r="CJ603" t="str">
        <f t="shared" si="406"/>
        <v/>
      </c>
    </row>
    <row r="604" spans="2:88" x14ac:dyDescent="0.3">
      <c r="B604" t="str">
        <f t="shared" si="398"/>
        <v>36.823963-76.076282</v>
      </c>
      <c r="C604" s="30" t="s">
        <v>146</v>
      </c>
      <c r="D604">
        <v>36.823962999999999</v>
      </c>
      <c r="E604">
        <v>-76.076282000000006</v>
      </c>
      <c r="F604">
        <v>5</v>
      </c>
      <c r="G604" t="str">
        <f t="shared" si="399"/>
        <v>-48-5036.823963-76.076282</v>
      </c>
      <c r="H604">
        <v>-48</v>
      </c>
      <c r="I604">
        <v>-50</v>
      </c>
      <c r="J604" s="30" t="s">
        <v>21</v>
      </c>
      <c r="L604" t="s">
        <v>113</v>
      </c>
      <c r="M604">
        <v>3</v>
      </c>
      <c r="S604" t="str">
        <f t="shared" si="373"/>
        <v>Clay</v>
      </c>
      <c r="T604">
        <f t="shared" si="400"/>
        <v>1</v>
      </c>
      <c r="AA604">
        <v>80</v>
      </c>
      <c r="AB604" s="1">
        <f t="shared" si="407"/>
        <v>4</v>
      </c>
      <c r="AC604">
        <f t="shared" si="408"/>
        <v>2</v>
      </c>
      <c r="AD604" t="str">
        <f t="shared" si="401"/>
        <v/>
      </c>
      <c r="AG604" s="21" t="str">
        <f t="shared" si="379"/>
        <v/>
      </c>
      <c r="AI604" s="6" t="str">
        <f t="shared" si="380"/>
        <v/>
      </c>
      <c r="AM604" s="7" t="str">
        <f t="shared" si="381"/>
        <v/>
      </c>
      <c r="AQ604" s="8" t="str">
        <f t="shared" si="382"/>
        <v/>
      </c>
      <c r="AW604" s="25" t="str">
        <f t="shared" si="383"/>
        <v/>
      </c>
      <c r="AZ604" s="12" t="str">
        <f t="shared" si="384"/>
        <v/>
      </c>
      <c r="BI604" s="17" t="str">
        <f t="shared" si="385"/>
        <v/>
      </c>
      <c r="BM604" t="str">
        <f t="shared" si="386"/>
        <v>SPT Relationship</v>
      </c>
      <c r="BN604">
        <f t="shared" si="374"/>
        <v>105</v>
      </c>
      <c r="BO604" t="str">
        <f t="shared" si="387"/>
        <v>Wolff, 1989</v>
      </c>
      <c r="BP604">
        <f t="shared" si="371"/>
        <v>27</v>
      </c>
      <c r="BQ604" t="str">
        <f t="shared" si="388"/>
        <v/>
      </c>
      <c r="BR604" t="str">
        <f t="shared" si="402"/>
        <v/>
      </c>
      <c r="BS604" t="str">
        <f t="shared" si="389"/>
        <v>Stroud 1974 (K=3.5)</v>
      </c>
      <c r="BT604">
        <f t="shared" si="372"/>
        <v>292</v>
      </c>
      <c r="BU604" t="str">
        <f t="shared" si="390"/>
        <v/>
      </c>
      <c r="BV604" t="str">
        <f t="shared" si="403"/>
        <v/>
      </c>
      <c r="BW604" t="str">
        <f t="shared" si="391"/>
        <v/>
      </c>
      <c r="BX604" t="str">
        <f t="shared" si="404"/>
        <v/>
      </c>
      <c r="BY604" t="str">
        <f t="shared" si="392"/>
        <v/>
      </c>
      <c r="BZ604" t="str">
        <f t="shared" si="405"/>
        <v/>
      </c>
      <c r="CA604" t="str">
        <f t="shared" si="393"/>
        <v/>
      </c>
      <c r="CB604" t="str">
        <f t="shared" si="375"/>
        <v/>
      </c>
      <c r="CC604" t="str">
        <f t="shared" si="394"/>
        <v/>
      </c>
      <c r="CD604" t="str">
        <f t="shared" si="376"/>
        <v/>
      </c>
      <c r="CE604" t="str">
        <f t="shared" si="395"/>
        <v/>
      </c>
      <c r="CF604" t="str">
        <f t="shared" si="377"/>
        <v/>
      </c>
      <c r="CG604" t="str">
        <f t="shared" si="396"/>
        <v/>
      </c>
      <c r="CH604" t="str">
        <f t="shared" si="378"/>
        <v/>
      </c>
      <c r="CI604" t="str">
        <f t="shared" si="397"/>
        <v/>
      </c>
      <c r="CJ604" t="str">
        <f t="shared" si="406"/>
        <v/>
      </c>
    </row>
    <row r="605" spans="2:88" x14ac:dyDescent="0.3">
      <c r="B605" t="str">
        <f t="shared" si="398"/>
        <v>36.823963-76.076282</v>
      </c>
      <c r="C605" s="30" t="s">
        <v>146</v>
      </c>
      <c r="D605">
        <v>36.823962999999999</v>
      </c>
      <c r="E605">
        <v>-76.076282000000006</v>
      </c>
      <c r="F605">
        <v>5</v>
      </c>
      <c r="G605" t="str">
        <f t="shared" si="399"/>
        <v>-53-5536.823963-76.076282</v>
      </c>
      <c r="H605">
        <v>-53</v>
      </c>
      <c r="I605">
        <v>-55</v>
      </c>
      <c r="J605" s="30" t="s">
        <v>21</v>
      </c>
      <c r="L605" t="s">
        <v>113</v>
      </c>
      <c r="M605">
        <v>2</v>
      </c>
      <c r="S605" t="str">
        <f t="shared" si="373"/>
        <v>Clay</v>
      </c>
      <c r="T605">
        <f t="shared" si="400"/>
        <v>1</v>
      </c>
      <c r="AA605">
        <v>80</v>
      </c>
      <c r="AB605" s="1">
        <f t="shared" si="407"/>
        <v>3</v>
      </c>
      <c r="AC605">
        <f t="shared" si="408"/>
        <v>1</v>
      </c>
      <c r="AD605" t="str">
        <f t="shared" si="401"/>
        <v/>
      </c>
      <c r="AG605" s="21" t="str">
        <f t="shared" si="379"/>
        <v/>
      </c>
      <c r="AI605" s="6" t="str">
        <f t="shared" si="380"/>
        <v/>
      </c>
      <c r="AM605" s="7" t="str">
        <f t="shared" si="381"/>
        <v/>
      </c>
      <c r="AQ605" s="8" t="str">
        <f t="shared" si="382"/>
        <v/>
      </c>
      <c r="AW605" s="25" t="str">
        <f t="shared" si="383"/>
        <v/>
      </c>
      <c r="AZ605" s="12" t="str">
        <f t="shared" si="384"/>
        <v/>
      </c>
      <c r="BI605" s="17" t="str">
        <f t="shared" si="385"/>
        <v/>
      </c>
      <c r="BM605" t="str">
        <f t="shared" si="386"/>
        <v>SPT Relationship</v>
      </c>
      <c r="BN605">
        <f t="shared" si="374"/>
        <v>101</v>
      </c>
      <c r="BO605" t="str">
        <f t="shared" si="387"/>
        <v>Wolff, 1989</v>
      </c>
      <c r="BP605">
        <f t="shared" si="371"/>
        <v>27</v>
      </c>
      <c r="BQ605" t="str">
        <f t="shared" si="388"/>
        <v/>
      </c>
      <c r="BR605" t="str">
        <f t="shared" si="402"/>
        <v/>
      </c>
      <c r="BS605" t="str">
        <f t="shared" si="389"/>
        <v>Stroud 1974 (K=3.5)</v>
      </c>
      <c r="BT605">
        <f t="shared" si="372"/>
        <v>219</v>
      </c>
      <c r="BU605" t="str">
        <f t="shared" si="390"/>
        <v/>
      </c>
      <c r="BV605" t="str">
        <f t="shared" si="403"/>
        <v/>
      </c>
      <c r="BW605" t="str">
        <f t="shared" si="391"/>
        <v/>
      </c>
      <c r="BX605" t="str">
        <f t="shared" si="404"/>
        <v/>
      </c>
      <c r="BY605" t="str">
        <f t="shared" si="392"/>
        <v/>
      </c>
      <c r="BZ605" t="str">
        <f t="shared" si="405"/>
        <v/>
      </c>
      <c r="CA605" t="str">
        <f t="shared" si="393"/>
        <v/>
      </c>
      <c r="CB605" t="str">
        <f t="shared" si="375"/>
        <v/>
      </c>
      <c r="CC605" t="str">
        <f t="shared" si="394"/>
        <v/>
      </c>
      <c r="CD605" t="str">
        <f t="shared" si="376"/>
        <v/>
      </c>
      <c r="CE605" t="str">
        <f t="shared" si="395"/>
        <v/>
      </c>
      <c r="CF605" t="str">
        <f t="shared" si="377"/>
        <v/>
      </c>
      <c r="CG605" t="str">
        <f t="shared" si="396"/>
        <v/>
      </c>
      <c r="CH605" t="str">
        <f t="shared" si="378"/>
        <v/>
      </c>
      <c r="CI605" t="str">
        <f t="shared" si="397"/>
        <v/>
      </c>
      <c r="CJ605" t="str">
        <f t="shared" si="406"/>
        <v/>
      </c>
    </row>
    <row r="606" spans="2:88" x14ac:dyDescent="0.3">
      <c r="B606" t="str">
        <f t="shared" si="398"/>
        <v>36.823963-76.076282</v>
      </c>
      <c r="C606" s="30" t="s">
        <v>146</v>
      </c>
      <c r="D606">
        <v>36.823962999999999</v>
      </c>
      <c r="E606">
        <v>-76.076282000000006</v>
      </c>
      <c r="F606">
        <v>5</v>
      </c>
      <c r="G606" t="str">
        <f t="shared" si="399"/>
        <v>-55-5736.823963-76.076282</v>
      </c>
      <c r="H606">
        <v>-55</v>
      </c>
      <c r="I606">
        <v>-57</v>
      </c>
      <c r="J606" s="30" t="s">
        <v>49</v>
      </c>
      <c r="L606" t="s">
        <v>113</v>
      </c>
      <c r="M606" t="s">
        <v>148</v>
      </c>
      <c r="S606" t="str">
        <f t="shared" si="373"/>
        <v>Clay</v>
      </c>
      <c r="T606">
        <f t="shared" si="400"/>
        <v>1</v>
      </c>
      <c r="AA606">
        <v>80</v>
      </c>
      <c r="AB606" s="1" t="str">
        <f t="shared" si="407"/>
        <v/>
      </c>
      <c r="AC606" t="str">
        <f t="shared" si="408"/>
        <v/>
      </c>
      <c r="AD606" t="str">
        <f t="shared" si="401"/>
        <v/>
      </c>
      <c r="AG606" s="21" t="str">
        <f t="shared" si="379"/>
        <v/>
      </c>
      <c r="AI606" s="6" t="str">
        <f t="shared" si="380"/>
        <v/>
      </c>
      <c r="AM606" s="7" t="str">
        <f t="shared" si="381"/>
        <v/>
      </c>
      <c r="AQ606" s="8" t="str">
        <f t="shared" si="382"/>
        <v/>
      </c>
      <c r="AW606" s="25" t="str">
        <f t="shared" si="383"/>
        <v/>
      </c>
      <c r="AZ606" s="12" t="str">
        <f t="shared" si="384"/>
        <v/>
      </c>
      <c r="BI606" s="17" t="str">
        <f t="shared" si="385"/>
        <v/>
      </c>
      <c r="BM606" t="str">
        <f t="shared" si="386"/>
        <v/>
      </c>
      <c r="BN606" t="str">
        <f t="shared" si="374"/>
        <v/>
      </c>
      <c r="BO606" t="str">
        <f t="shared" si="387"/>
        <v/>
      </c>
      <c r="BP606" t="str">
        <f t="shared" si="371"/>
        <v/>
      </c>
      <c r="BQ606" t="str">
        <f t="shared" si="388"/>
        <v/>
      </c>
      <c r="BR606" t="str">
        <f t="shared" si="402"/>
        <v/>
      </c>
      <c r="BS606" t="str">
        <f t="shared" si="389"/>
        <v/>
      </c>
      <c r="BT606" t="str">
        <f t="shared" si="372"/>
        <v/>
      </c>
      <c r="BU606" t="str">
        <f t="shared" si="390"/>
        <v/>
      </c>
      <c r="BV606" t="str">
        <f t="shared" si="403"/>
        <v/>
      </c>
      <c r="BW606" t="str">
        <f t="shared" si="391"/>
        <v/>
      </c>
      <c r="BX606" t="str">
        <f t="shared" si="404"/>
        <v/>
      </c>
      <c r="BY606" t="str">
        <f t="shared" si="392"/>
        <v/>
      </c>
      <c r="BZ606" t="str">
        <f t="shared" si="405"/>
        <v/>
      </c>
      <c r="CA606" t="str">
        <f t="shared" si="393"/>
        <v/>
      </c>
      <c r="CB606" t="str">
        <f t="shared" si="375"/>
        <v/>
      </c>
      <c r="CC606" t="str">
        <f t="shared" si="394"/>
        <v/>
      </c>
      <c r="CD606" t="str">
        <f t="shared" si="376"/>
        <v/>
      </c>
      <c r="CE606" t="str">
        <f t="shared" si="395"/>
        <v/>
      </c>
      <c r="CF606" t="str">
        <f t="shared" si="377"/>
        <v/>
      </c>
      <c r="CG606" t="str">
        <f t="shared" si="396"/>
        <v/>
      </c>
      <c r="CH606" t="str">
        <f t="shared" si="378"/>
        <v/>
      </c>
      <c r="CI606" t="str">
        <f t="shared" si="397"/>
        <v/>
      </c>
      <c r="CJ606" t="str">
        <f t="shared" si="406"/>
        <v/>
      </c>
    </row>
    <row r="607" spans="2:88" x14ac:dyDescent="0.3">
      <c r="B607" t="str">
        <f t="shared" si="398"/>
        <v>36.823963-76.076282</v>
      </c>
      <c r="C607" s="30" t="s">
        <v>146</v>
      </c>
      <c r="D607">
        <v>36.823962999999999</v>
      </c>
      <c r="E607">
        <v>-76.076282000000006</v>
      </c>
      <c r="F607">
        <v>5</v>
      </c>
      <c r="G607" t="str">
        <f t="shared" si="399"/>
        <v>-57-5936.823963-76.076282</v>
      </c>
      <c r="H607">
        <v>-57</v>
      </c>
      <c r="I607">
        <v>-59</v>
      </c>
      <c r="J607" s="30" t="s">
        <v>21</v>
      </c>
      <c r="L607" t="s">
        <v>113</v>
      </c>
      <c r="M607">
        <v>1</v>
      </c>
      <c r="S607" t="str">
        <f t="shared" si="373"/>
        <v>Clay</v>
      </c>
      <c r="T607">
        <f t="shared" si="400"/>
        <v>1</v>
      </c>
      <c r="AA607">
        <v>80</v>
      </c>
      <c r="AB607" s="1">
        <f t="shared" si="407"/>
        <v>1</v>
      </c>
      <c r="AC607">
        <f t="shared" si="408"/>
        <v>0</v>
      </c>
      <c r="AD607" t="str">
        <f t="shared" si="401"/>
        <v/>
      </c>
      <c r="AG607" s="21" t="str">
        <f t="shared" si="379"/>
        <v/>
      </c>
      <c r="AI607" s="6" t="str">
        <f t="shared" si="380"/>
        <v/>
      </c>
      <c r="AM607" s="7" t="str">
        <f t="shared" si="381"/>
        <v/>
      </c>
      <c r="AQ607" s="8" t="str">
        <f t="shared" si="382"/>
        <v/>
      </c>
      <c r="AW607" s="25" t="str">
        <f t="shared" si="383"/>
        <v/>
      </c>
      <c r="AZ607" s="12" t="str">
        <f t="shared" si="384"/>
        <v/>
      </c>
      <c r="BI607" s="17" t="str">
        <f t="shared" si="385"/>
        <v/>
      </c>
      <c r="BM607" t="str">
        <f t="shared" si="386"/>
        <v>SPT Relationship</v>
      </c>
      <c r="BN607">
        <f t="shared" si="374"/>
        <v>95</v>
      </c>
      <c r="BO607" t="str">
        <f t="shared" si="387"/>
        <v>Wolff, 1989</v>
      </c>
      <c r="BP607">
        <f t="shared" si="371"/>
        <v>27</v>
      </c>
      <c r="BQ607" t="str">
        <f t="shared" si="388"/>
        <v/>
      </c>
      <c r="BR607" t="str">
        <f t="shared" si="402"/>
        <v/>
      </c>
      <c r="BS607" t="str">
        <f t="shared" si="389"/>
        <v>Stroud 1974 (K=3.5)</v>
      </c>
      <c r="BT607">
        <f t="shared" si="372"/>
        <v>73</v>
      </c>
      <c r="BU607" t="str">
        <f t="shared" si="390"/>
        <v/>
      </c>
      <c r="BV607" t="str">
        <f t="shared" si="403"/>
        <v/>
      </c>
      <c r="BW607" t="str">
        <f t="shared" si="391"/>
        <v/>
      </c>
      <c r="BX607" t="str">
        <f t="shared" si="404"/>
        <v/>
      </c>
      <c r="BY607" t="str">
        <f t="shared" si="392"/>
        <v/>
      </c>
      <c r="BZ607" t="str">
        <f t="shared" si="405"/>
        <v/>
      </c>
      <c r="CA607" t="str">
        <f t="shared" si="393"/>
        <v/>
      </c>
      <c r="CB607" t="str">
        <f t="shared" si="375"/>
        <v/>
      </c>
      <c r="CC607" t="str">
        <f t="shared" si="394"/>
        <v/>
      </c>
      <c r="CD607" t="str">
        <f t="shared" si="376"/>
        <v/>
      </c>
      <c r="CE607" t="str">
        <f t="shared" si="395"/>
        <v/>
      </c>
      <c r="CF607" t="str">
        <f t="shared" si="377"/>
        <v/>
      </c>
      <c r="CG607" t="str">
        <f t="shared" si="396"/>
        <v/>
      </c>
      <c r="CH607" t="str">
        <f t="shared" si="378"/>
        <v/>
      </c>
      <c r="CI607" t="str">
        <f t="shared" si="397"/>
        <v/>
      </c>
      <c r="CJ607" t="str">
        <f t="shared" si="406"/>
        <v/>
      </c>
    </row>
    <row r="608" spans="2:88" x14ac:dyDescent="0.3">
      <c r="B608" t="str">
        <f t="shared" si="398"/>
        <v>36.823963-76.076282</v>
      </c>
      <c r="C608" s="30" t="s">
        <v>146</v>
      </c>
      <c r="D608">
        <v>36.823962999999999</v>
      </c>
      <c r="E608">
        <v>-76.076282000000006</v>
      </c>
      <c r="F608">
        <v>5</v>
      </c>
      <c r="G608" t="str">
        <f t="shared" si="399"/>
        <v>-63-6536.823963-76.076282</v>
      </c>
      <c r="H608">
        <v>-63</v>
      </c>
      <c r="I608">
        <v>-65</v>
      </c>
      <c r="J608" s="30" t="s">
        <v>21</v>
      </c>
      <c r="L608" t="s">
        <v>17</v>
      </c>
      <c r="M608">
        <v>4</v>
      </c>
      <c r="S608" t="str">
        <f t="shared" si="373"/>
        <v>Sand</v>
      </c>
      <c r="T608">
        <f t="shared" si="400"/>
        <v>1</v>
      </c>
      <c r="AA608">
        <v>80</v>
      </c>
      <c r="AB608" s="1">
        <f t="shared" si="407"/>
        <v>5</v>
      </c>
      <c r="AC608">
        <f t="shared" si="408"/>
        <v>2</v>
      </c>
      <c r="AD608" t="str">
        <f t="shared" si="401"/>
        <v/>
      </c>
      <c r="AG608" s="21" t="str">
        <f t="shared" si="379"/>
        <v/>
      </c>
      <c r="AI608" s="6" t="str">
        <f t="shared" si="380"/>
        <v/>
      </c>
      <c r="AM608" s="7" t="str">
        <f t="shared" si="381"/>
        <v/>
      </c>
      <c r="AQ608" s="8" t="str">
        <f t="shared" si="382"/>
        <v/>
      </c>
      <c r="AW608" s="25" t="str">
        <f t="shared" si="383"/>
        <v/>
      </c>
      <c r="AZ608" s="12" t="str">
        <f t="shared" si="384"/>
        <v/>
      </c>
      <c r="BI608" s="17" t="str">
        <f t="shared" si="385"/>
        <v/>
      </c>
      <c r="BM608" t="str">
        <f t="shared" si="386"/>
        <v>SPT Relationship</v>
      </c>
      <c r="BN608">
        <f t="shared" si="374"/>
        <v>108</v>
      </c>
      <c r="BO608" t="str">
        <f t="shared" si="387"/>
        <v>Wolff, 1989</v>
      </c>
      <c r="BP608">
        <f t="shared" si="371"/>
        <v>27</v>
      </c>
      <c r="BQ608" t="str">
        <f t="shared" si="388"/>
        <v/>
      </c>
      <c r="BR608" t="str">
        <f t="shared" si="402"/>
        <v/>
      </c>
      <c r="BS608" t="str">
        <f t="shared" si="389"/>
        <v/>
      </c>
      <c r="BT608" t="str">
        <f t="shared" si="372"/>
        <v/>
      </c>
      <c r="BU608" t="str">
        <f t="shared" si="390"/>
        <v/>
      </c>
      <c r="BV608" t="str">
        <f t="shared" si="403"/>
        <v/>
      </c>
      <c r="BW608" t="str">
        <f t="shared" si="391"/>
        <v/>
      </c>
      <c r="BX608" t="str">
        <f t="shared" si="404"/>
        <v/>
      </c>
      <c r="BY608" t="str">
        <f t="shared" si="392"/>
        <v/>
      </c>
      <c r="BZ608" t="str">
        <f t="shared" si="405"/>
        <v/>
      </c>
      <c r="CA608" t="str">
        <f t="shared" si="393"/>
        <v/>
      </c>
      <c r="CB608" t="str">
        <f t="shared" si="375"/>
        <v/>
      </c>
      <c r="CC608" t="str">
        <f t="shared" si="394"/>
        <v/>
      </c>
      <c r="CD608" t="str">
        <f t="shared" si="376"/>
        <v/>
      </c>
      <c r="CE608" t="str">
        <f t="shared" si="395"/>
        <v>Bowles 5th edition</v>
      </c>
      <c r="CF608">
        <f t="shared" si="377"/>
        <v>128</v>
      </c>
      <c r="CG608" t="str">
        <f t="shared" si="396"/>
        <v/>
      </c>
      <c r="CH608" t="str">
        <f t="shared" si="378"/>
        <v/>
      </c>
      <c r="CI608" t="str">
        <f t="shared" si="397"/>
        <v/>
      </c>
      <c r="CJ608" t="str">
        <f t="shared" si="406"/>
        <v/>
      </c>
    </row>
    <row r="609" spans="2:88" x14ac:dyDescent="0.3">
      <c r="B609" t="str">
        <f t="shared" si="398"/>
        <v>36.823963-76.076282</v>
      </c>
      <c r="C609" s="30" t="s">
        <v>146</v>
      </c>
      <c r="D609">
        <v>36.823962999999999</v>
      </c>
      <c r="E609">
        <v>-76.076282000000006</v>
      </c>
      <c r="F609">
        <v>5</v>
      </c>
      <c r="G609" t="str">
        <f t="shared" si="399"/>
        <v>-68-7036.823963-76.076282</v>
      </c>
      <c r="H609">
        <v>-68</v>
      </c>
      <c r="I609">
        <v>-70</v>
      </c>
      <c r="J609" s="30" t="s">
        <v>21</v>
      </c>
      <c r="L609" t="s">
        <v>17</v>
      </c>
      <c r="M609">
        <v>3</v>
      </c>
      <c r="S609" t="str">
        <f t="shared" si="373"/>
        <v>Sand</v>
      </c>
      <c r="T609">
        <f t="shared" si="400"/>
        <v>1</v>
      </c>
      <c r="AA609">
        <v>80</v>
      </c>
      <c r="AB609" s="1">
        <f t="shared" si="407"/>
        <v>4</v>
      </c>
      <c r="AC609">
        <f t="shared" si="408"/>
        <v>2</v>
      </c>
      <c r="AD609" t="str">
        <f t="shared" si="401"/>
        <v/>
      </c>
      <c r="AG609" s="21" t="str">
        <f t="shared" si="379"/>
        <v/>
      </c>
      <c r="AI609" s="6" t="str">
        <f t="shared" si="380"/>
        <v/>
      </c>
      <c r="AM609" s="7" t="str">
        <f t="shared" si="381"/>
        <v/>
      </c>
      <c r="AQ609" s="8" t="str">
        <f t="shared" si="382"/>
        <v/>
      </c>
      <c r="AW609" s="25" t="str">
        <f t="shared" si="383"/>
        <v/>
      </c>
      <c r="AZ609" s="12" t="str">
        <f t="shared" si="384"/>
        <v/>
      </c>
      <c r="BI609" s="17" t="str">
        <f t="shared" si="385"/>
        <v/>
      </c>
      <c r="BM609" t="str">
        <f t="shared" si="386"/>
        <v>SPT Relationship</v>
      </c>
      <c r="BN609">
        <f t="shared" si="374"/>
        <v>105</v>
      </c>
      <c r="BO609" t="str">
        <f t="shared" si="387"/>
        <v>Wolff, 1989</v>
      </c>
      <c r="BP609">
        <f t="shared" si="371"/>
        <v>27</v>
      </c>
      <c r="BQ609" t="str">
        <f t="shared" si="388"/>
        <v/>
      </c>
      <c r="BR609" t="str">
        <f t="shared" si="402"/>
        <v/>
      </c>
      <c r="BS609" t="str">
        <f t="shared" si="389"/>
        <v/>
      </c>
      <c r="BT609" t="str">
        <f t="shared" si="372"/>
        <v/>
      </c>
      <c r="BU609" t="str">
        <f t="shared" si="390"/>
        <v/>
      </c>
      <c r="BV609" t="str">
        <f t="shared" si="403"/>
        <v/>
      </c>
      <c r="BW609" t="str">
        <f t="shared" si="391"/>
        <v/>
      </c>
      <c r="BX609" t="str">
        <f t="shared" si="404"/>
        <v/>
      </c>
      <c r="BY609" t="str">
        <f t="shared" si="392"/>
        <v/>
      </c>
      <c r="BZ609" t="str">
        <f t="shared" si="405"/>
        <v/>
      </c>
      <c r="CA609" t="str">
        <f t="shared" si="393"/>
        <v/>
      </c>
      <c r="CB609" t="str">
        <f t="shared" si="375"/>
        <v/>
      </c>
      <c r="CC609" t="str">
        <f t="shared" si="394"/>
        <v/>
      </c>
      <c r="CD609" t="str">
        <f t="shared" si="376"/>
        <v/>
      </c>
      <c r="CE609" t="str">
        <f t="shared" si="395"/>
        <v>Bowles 5th edition</v>
      </c>
      <c r="CF609">
        <f t="shared" si="377"/>
        <v>122</v>
      </c>
      <c r="CG609" t="str">
        <f t="shared" si="396"/>
        <v/>
      </c>
      <c r="CH609" t="str">
        <f t="shared" si="378"/>
        <v/>
      </c>
      <c r="CI609" t="str">
        <f t="shared" si="397"/>
        <v/>
      </c>
      <c r="CJ609" t="str">
        <f t="shared" si="406"/>
        <v/>
      </c>
    </row>
    <row r="610" spans="2:88" x14ac:dyDescent="0.3">
      <c r="B610" t="str">
        <f t="shared" si="398"/>
        <v>36.823963-76.076282</v>
      </c>
      <c r="C610" s="30" t="s">
        <v>146</v>
      </c>
      <c r="D610">
        <v>36.823962999999999</v>
      </c>
      <c r="E610">
        <v>-76.076282000000006</v>
      </c>
      <c r="F610">
        <v>5</v>
      </c>
      <c r="G610" t="str">
        <f t="shared" si="399"/>
        <v>-73-7536.823963-76.076282</v>
      </c>
      <c r="H610">
        <v>-73</v>
      </c>
      <c r="I610">
        <v>-75</v>
      </c>
      <c r="J610" s="30" t="s">
        <v>21</v>
      </c>
      <c r="L610" t="s">
        <v>113</v>
      </c>
      <c r="M610">
        <v>0</v>
      </c>
      <c r="S610" t="str">
        <f t="shared" si="373"/>
        <v>Clay</v>
      </c>
      <c r="T610">
        <f t="shared" si="400"/>
        <v>1</v>
      </c>
      <c r="AA610">
        <v>80</v>
      </c>
      <c r="AB610" s="1">
        <f t="shared" si="407"/>
        <v>0</v>
      </c>
      <c r="AC610">
        <f t="shared" si="408"/>
        <v>0</v>
      </c>
      <c r="AD610" t="str">
        <f t="shared" si="401"/>
        <v/>
      </c>
      <c r="AG610" s="21" t="str">
        <f t="shared" si="379"/>
        <v/>
      </c>
      <c r="AI610" s="6" t="str">
        <f t="shared" si="380"/>
        <v/>
      </c>
      <c r="AM610" s="7" t="str">
        <f t="shared" si="381"/>
        <v/>
      </c>
      <c r="AQ610" s="8" t="str">
        <f t="shared" si="382"/>
        <v/>
      </c>
      <c r="AW610" s="25" t="str">
        <f t="shared" si="383"/>
        <v/>
      </c>
      <c r="AZ610" s="12" t="str">
        <f t="shared" si="384"/>
        <v/>
      </c>
      <c r="BI610" s="17" t="str">
        <f t="shared" si="385"/>
        <v/>
      </c>
      <c r="BM610" t="str">
        <f t="shared" si="386"/>
        <v>SPT Relationship</v>
      </c>
      <c r="BN610">
        <f t="shared" si="374"/>
        <v>95</v>
      </c>
      <c r="BO610" t="str">
        <f t="shared" si="387"/>
        <v>Wolff, 1989</v>
      </c>
      <c r="BP610">
        <f t="shared" si="371"/>
        <v>27</v>
      </c>
      <c r="BQ610" t="str">
        <f t="shared" si="388"/>
        <v/>
      </c>
      <c r="BR610" t="str">
        <f t="shared" si="402"/>
        <v/>
      </c>
      <c r="BS610" t="str">
        <f t="shared" si="389"/>
        <v>Stroud 1974 (K=3.5)</v>
      </c>
      <c r="BT610">
        <f t="shared" si="372"/>
        <v>0</v>
      </c>
      <c r="BU610" t="str">
        <f t="shared" si="390"/>
        <v/>
      </c>
      <c r="BV610" t="str">
        <f t="shared" si="403"/>
        <v/>
      </c>
      <c r="BW610" t="str">
        <f t="shared" si="391"/>
        <v/>
      </c>
      <c r="BX610" t="str">
        <f t="shared" si="404"/>
        <v/>
      </c>
      <c r="BY610" t="str">
        <f t="shared" si="392"/>
        <v/>
      </c>
      <c r="BZ610" t="str">
        <f t="shared" si="405"/>
        <v/>
      </c>
      <c r="CA610" t="str">
        <f t="shared" si="393"/>
        <v/>
      </c>
      <c r="CB610" t="str">
        <f t="shared" si="375"/>
        <v/>
      </c>
      <c r="CC610" t="str">
        <f t="shared" si="394"/>
        <v/>
      </c>
      <c r="CD610" t="str">
        <f t="shared" si="376"/>
        <v/>
      </c>
      <c r="CE610" t="str">
        <f t="shared" si="395"/>
        <v/>
      </c>
      <c r="CF610" t="str">
        <f t="shared" si="377"/>
        <v/>
      </c>
      <c r="CG610" t="str">
        <f t="shared" si="396"/>
        <v/>
      </c>
      <c r="CH610" t="str">
        <f t="shared" si="378"/>
        <v/>
      </c>
      <c r="CI610" t="str">
        <f t="shared" si="397"/>
        <v/>
      </c>
      <c r="CJ610" t="str">
        <f t="shared" si="406"/>
        <v/>
      </c>
    </row>
    <row r="611" spans="2:88" x14ac:dyDescent="0.3">
      <c r="B611" t="str">
        <f t="shared" si="398"/>
        <v>36.823963-76.076282</v>
      </c>
      <c r="C611" s="30" t="s">
        <v>146</v>
      </c>
      <c r="D611">
        <v>36.823962999999999</v>
      </c>
      <c r="E611">
        <v>-76.076282000000006</v>
      </c>
      <c r="F611">
        <v>5</v>
      </c>
      <c r="G611" t="str">
        <f t="shared" si="399"/>
        <v>-78-8036.823963-76.076282</v>
      </c>
      <c r="H611">
        <v>-78</v>
      </c>
      <c r="I611">
        <v>-80</v>
      </c>
      <c r="J611" s="30" t="s">
        <v>21</v>
      </c>
      <c r="L611" t="s">
        <v>113</v>
      </c>
      <c r="M611">
        <v>1</v>
      </c>
      <c r="S611" t="str">
        <f t="shared" si="373"/>
        <v>Clay</v>
      </c>
      <c r="T611">
        <f t="shared" si="400"/>
        <v>1</v>
      </c>
      <c r="AA611">
        <v>80</v>
      </c>
      <c r="AB611" s="1">
        <f t="shared" si="407"/>
        <v>1</v>
      </c>
      <c r="AC611">
        <f t="shared" si="408"/>
        <v>0</v>
      </c>
      <c r="AD611" t="str">
        <f t="shared" si="401"/>
        <v/>
      </c>
      <c r="AG611" s="21" t="str">
        <f t="shared" si="379"/>
        <v/>
      </c>
      <c r="AI611" s="6" t="str">
        <f t="shared" si="380"/>
        <v/>
      </c>
      <c r="AM611" s="7" t="str">
        <f t="shared" si="381"/>
        <v/>
      </c>
      <c r="AQ611" s="8" t="str">
        <f t="shared" si="382"/>
        <v/>
      </c>
      <c r="AW611" s="25" t="str">
        <f t="shared" si="383"/>
        <v/>
      </c>
      <c r="AZ611" s="12" t="str">
        <f t="shared" si="384"/>
        <v/>
      </c>
      <c r="BI611" s="17" t="str">
        <f t="shared" si="385"/>
        <v/>
      </c>
      <c r="BM611" t="str">
        <f t="shared" si="386"/>
        <v>SPT Relationship</v>
      </c>
      <c r="BN611">
        <f t="shared" si="374"/>
        <v>95</v>
      </c>
      <c r="BO611" t="str">
        <f t="shared" si="387"/>
        <v>Wolff, 1989</v>
      </c>
      <c r="BP611">
        <f t="shared" si="371"/>
        <v>27</v>
      </c>
      <c r="BQ611" t="str">
        <f t="shared" si="388"/>
        <v/>
      </c>
      <c r="BR611" t="str">
        <f t="shared" si="402"/>
        <v/>
      </c>
      <c r="BS611" t="str">
        <f t="shared" si="389"/>
        <v>Stroud 1974 (K=3.5)</v>
      </c>
      <c r="BT611">
        <f t="shared" si="372"/>
        <v>73</v>
      </c>
      <c r="BU611" t="str">
        <f t="shared" si="390"/>
        <v/>
      </c>
      <c r="BV611" t="str">
        <f t="shared" si="403"/>
        <v/>
      </c>
      <c r="BW611" t="str">
        <f t="shared" si="391"/>
        <v/>
      </c>
      <c r="BX611" t="str">
        <f t="shared" si="404"/>
        <v/>
      </c>
      <c r="BY611" t="str">
        <f t="shared" si="392"/>
        <v/>
      </c>
      <c r="BZ611" t="str">
        <f t="shared" si="405"/>
        <v/>
      </c>
      <c r="CA611" t="str">
        <f t="shared" si="393"/>
        <v/>
      </c>
      <c r="CB611" t="str">
        <f t="shared" si="375"/>
        <v/>
      </c>
      <c r="CC611" t="str">
        <f t="shared" si="394"/>
        <v/>
      </c>
      <c r="CD611" t="str">
        <f t="shared" si="376"/>
        <v/>
      </c>
      <c r="CE611" t="str">
        <f t="shared" si="395"/>
        <v/>
      </c>
      <c r="CF611" t="str">
        <f t="shared" si="377"/>
        <v/>
      </c>
      <c r="CG611" t="str">
        <f t="shared" si="396"/>
        <v/>
      </c>
      <c r="CH611" t="str">
        <f t="shared" si="378"/>
        <v/>
      </c>
      <c r="CI611" t="str">
        <f t="shared" si="397"/>
        <v/>
      </c>
      <c r="CJ611" t="str">
        <f t="shared" si="406"/>
        <v/>
      </c>
    </row>
    <row r="612" spans="2:88" x14ac:dyDescent="0.3">
      <c r="B612" t="str">
        <f t="shared" si="398"/>
        <v>36.823963-76.076282</v>
      </c>
      <c r="C612" s="30" t="s">
        <v>146</v>
      </c>
      <c r="D612">
        <v>36.823962999999999</v>
      </c>
      <c r="E612">
        <v>-76.076282000000006</v>
      </c>
      <c r="F612">
        <v>5</v>
      </c>
      <c r="G612" t="str">
        <f t="shared" si="399"/>
        <v>-83-8536.823963-76.076282</v>
      </c>
      <c r="H612">
        <v>-83</v>
      </c>
      <c r="I612">
        <v>-85</v>
      </c>
      <c r="J612" s="30" t="s">
        <v>21</v>
      </c>
      <c r="L612" t="s">
        <v>17</v>
      </c>
      <c r="M612">
        <v>4</v>
      </c>
      <c r="S612" t="str">
        <f t="shared" si="373"/>
        <v>Sand</v>
      </c>
      <c r="T612">
        <f t="shared" si="400"/>
        <v>1</v>
      </c>
      <c r="AA612">
        <v>80</v>
      </c>
      <c r="AB612" s="1">
        <f t="shared" si="407"/>
        <v>5</v>
      </c>
      <c r="AC612">
        <f t="shared" si="408"/>
        <v>2</v>
      </c>
      <c r="AD612" t="str">
        <f t="shared" si="401"/>
        <v/>
      </c>
      <c r="AG612" s="21" t="str">
        <f t="shared" si="379"/>
        <v/>
      </c>
      <c r="AI612" s="6" t="str">
        <f t="shared" si="380"/>
        <v/>
      </c>
      <c r="AM612" s="7" t="str">
        <f t="shared" si="381"/>
        <v/>
      </c>
      <c r="AQ612" s="8" t="str">
        <f t="shared" si="382"/>
        <v/>
      </c>
      <c r="AW612" s="25" t="str">
        <f t="shared" si="383"/>
        <v/>
      </c>
      <c r="AZ612" s="12" t="str">
        <f t="shared" si="384"/>
        <v/>
      </c>
      <c r="BI612" s="17" t="str">
        <f t="shared" si="385"/>
        <v/>
      </c>
      <c r="BM612" t="str">
        <f t="shared" si="386"/>
        <v>SPT Relationship</v>
      </c>
      <c r="BN612">
        <f t="shared" si="374"/>
        <v>108</v>
      </c>
      <c r="BO612" t="str">
        <f t="shared" si="387"/>
        <v>Wolff, 1989</v>
      </c>
      <c r="BP612">
        <f t="shared" ref="BP612:BP675" si="409">IFERROR(ROUNDDOWN(27.1+0.3*AC612-0.00054*AC612^2,0),"")</f>
        <v>27</v>
      </c>
      <c r="BQ612" t="str">
        <f t="shared" si="388"/>
        <v/>
      </c>
      <c r="BR612" t="str">
        <f t="shared" si="402"/>
        <v/>
      </c>
      <c r="BS612" t="str">
        <f t="shared" si="389"/>
        <v/>
      </c>
      <c r="BT612" t="str">
        <f t="shared" ref="BT612:BT675" si="410">IFERROR(IF(S612="Clay",ROUND((3.5*AB612)*20.885434273039,0),""),"")</f>
        <v/>
      </c>
      <c r="BU612" t="str">
        <f t="shared" si="390"/>
        <v/>
      </c>
      <c r="BV612" t="str">
        <f t="shared" si="403"/>
        <v/>
      </c>
      <c r="BW612" t="str">
        <f t="shared" si="391"/>
        <v/>
      </c>
      <c r="BX612" t="str">
        <f t="shared" si="404"/>
        <v/>
      </c>
      <c r="BY612" t="str">
        <f t="shared" si="392"/>
        <v/>
      </c>
      <c r="BZ612" t="str">
        <f t="shared" si="405"/>
        <v/>
      </c>
      <c r="CA612" t="str">
        <f t="shared" si="393"/>
        <v/>
      </c>
      <c r="CB612" t="str">
        <f t="shared" si="375"/>
        <v/>
      </c>
      <c r="CC612" t="str">
        <f t="shared" si="394"/>
        <v/>
      </c>
      <c r="CD612" t="str">
        <f t="shared" si="376"/>
        <v/>
      </c>
      <c r="CE612" t="str">
        <f t="shared" si="395"/>
        <v>Bowles 5th edition</v>
      </c>
      <c r="CF612">
        <f t="shared" si="377"/>
        <v>128</v>
      </c>
      <c r="CG612" t="str">
        <f t="shared" si="396"/>
        <v/>
      </c>
      <c r="CH612" t="str">
        <f t="shared" si="378"/>
        <v/>
      </c>
      <c r="CI612" t="str">
        <f t="shared" si="397"/>
        <v/>
      </c>
      <c r="CJ612" t="str">
        <f t="shared" si="406"/>
        <v/>
      </c>
    </row>
    <row r="613" spans="2:88" x14ac:dyDescent="0.3">
      <c r="B613" t="str">
        <f t="shared" si="398"/>
        <v>36.823963-76.076282</v>
      </c>
      <c r="C613" s="30" t="s">
        <v>146</v>
      </c>
      <c r="D613">
        <v>36.823962999999999</v>
      </c>
      <c r="E613">
        <v>-76.076282000000006</v>
      </c>
      <c r="F613">
        <v>5</v>
      </c>
      <c r="G613" t="str">
        <f t="shared" si="399"/>
        <v>-88-9036.823963-76.076282</v>
      </c>
      <c r="H613">
        <v>-88</v>
      </c>
      <c r="I613">
        <v>-90</v>
      </c>
      <c r="J613" s="30" t="s">
        <v>21</v>
      </c>
      <c r="L613" t="s">
        <v>113</v>
      </c>
      <c r="M613">
        <v>15</v>
      </c>
      <c r="S613" t="str">
        <f t="shared" si="373"/>
        <v>Clay</v>
      </c>
      <c r="T613">
        <f t="shared" si="400"/>
        <v>1</v>
      </c>
      <c r="AA613">
        <v>80</v>
      </c>
      <c r="AB613" s="1">
        <f t="shared" si="407"/>
        <v>20</v>
      </c>
      <c r="AC613">
        <f t="shared" si="408"/>
        <v>8</v>
      </c>
      <c r="AD613" t="str">
        <f t="shared" si="401"/>
        <v/>
      </c>
      <c r="AG613" s="21" t="str">
        <f t="shared" si="379"/>
        <v/>
      </c>
      <c r="AI613" s="6" t="str">
        <f t="shared" si="380"/>
        <v/>
      </c>
      <c r="AM613" s="7" t="str">
        <f t="shared" si="381"/>
        <v/>
      </c>
      <c r="AQ613" s="8" t="str">
        <f t="shared" si="382"/>
        <v/>
      </c>
      <c r="AW613" s="25" t="str">
        <f t="shared" si="383"/>
        <v/>
      </c>
      <c r="AZ613" s="12" t="str">
        <f t="shared" si="384"/>
        <v/>
      </c>
      <c r="BI613" s="17" t="str">
        <f t="shared" si="385"/>
        <v/>
      </c>
      <c r="BM613" t="str">
        <f t="shared" si="386"/>
        <v>SPT Relationship</v>
      </c>
      <c r="BN613">
        <f t="shared" si="374"/>
        <v>123</v>
      </c>
      <c r="BO613" t="str">
        <f t="shared" si="387"/>
        <v>Wolff, 1989</v>
      </c>
      <c r="BP613">
        <f t="shared" si="409"/>
        <v>29</v>
      </c>
      <c r="BQ613" t="str">
        <f t="shared" si="388"/>
        <v/>
      </c>
      <c r="BR613" t="str">
        <f t="shared" si="402"/>
        <v/>
      </c>
      <c r="BS613" t="str">
        <f t="shared" si="389"/>
        <v>Stroud 1974 (K=3.5)</v>
      </c>
      <c r="BT613">
        <f t="shared" si="410"/>
        <v>1462</v>
      </c>
      <c r="BU613" t="str">
        <f t="shared" si="390"/>
        <v/>
      </c>
      <c r="BV613" t="str">
        <f t="shared" si="403"/>
        <v/>
      </c>
      <c r="BW613" t="str">
        <f t="shared" si="391"/>
        <v/>
      </c>
      <c r="BX613" t="str">
        <f t="shared" si="404"/>
        <v/>
      </c>
      <c r="BY613" t="str">
        <f t="shared" si="392"/>
        <v/>
      </c>
      <c r="BZ613" t="str">
        <f t="shared" si="405"/>
        <v/>
      </c>
      <c r="CA613" t="str">
        <f t="shared" si="393"/>
        <v/>
      </c>
      <c r="CB613" t="str">
        <f t="shared" si="375"/>
        <v/>
      </c>
      <c r="CC613" t="str">
        <f t="shared" si="394"/>
        <v/>
      </c>
      <c r="CD613" t="str">
        <f t="shared" si="376"/>
        <v/>
      </c>
      <c r="CE613" t="str">
        <f t="shared" si="395"/>
        <v/>
      </c>
      <c r="CF613" t="str">
        <f t="shared" si="377"/>
        <v/>
      </c>
      <c r="CG613" t="str">
        <f t="shared" si="396"/>
        <v/>
      </c>
      <c r="CH613" t="str">
        <f t="shared" si="378"/>
        <v/>
      </c>
      <c r="CI613" t="str">
        <f t="shared" si="397"/>
        <v/>
      </c>
      <c r="CJ613" t="str">
        <f t="shared" si="406"/>
        <v/>
      </c>
    </row>
    <row r="614" spans="2:88" x14ac:dyDescent="0.3">
      <c r="B614" t="str">
        <f t="shared" si="398"/>
        <v>36.823963-76.076282</v>
      </c>
      <c r="C614" s="30" t="s">
        <v>146</v>
      </c>
      <c r="D614">
        <v>36.823962999999999</v>
      </c>
      <c r="E614">
        <v>-76.076282000000006</v>
      </c>
      <c r="F614">
        <v>5</v>
      </c>
      <c r="G614" t="str">
        <f t="shared" si="399"/>
        <v>-93-9536.823963-76.076282</v>
      </c>
      <c r="H614">
        <v>-93</v>
      </c>
      <c r="I614">
        <v>-95</v>
      </c>
      <c r="J614" s="30" t="s">
        <v>21</v>
      </c>
      <c r="L614" t="s">
        <v>113</v>
      </c>
      <c r="M614">
        <v>5</v>
      </c>
      <c r="S614" t="str">
        <f t="shared" si="373"/>
        <v>Clay</v>
      </c>
      <c r="T614">
        <f t="shared" si="400"/>
        <v>1</v>
      </c>
      <c r="AA614">
        <v>80</v>
      </c>
      <c r="AB614" s="1">
        <f t="shared" si="407"/>
        <v>7</v>
      </c>
      <c r="AC614">
        <f t="shared" si="408"/>
        <v>3</v>
      </c>
      <c r="AD614" t="str">
        <f t="shared" si="401"/>
        <v/>
      </c>
      <c r="AG614" s="21" t="str">
        <f t="shared" si="379"/>
        <v/>
      </c>
      <c r="AI614" s="6" t="str">
        <f t="shared" si="380"/>
        <v/>
      </c>
      <c r="AM614" s="7" t="str">
        <f t="shared" si="381"/>
        <v/>
      </c>
      <c r="AQ614" s="8" t="str">
        <f t="shared" si="382"/>
        <v/>
      </c>
      <c r="AW614" s="25" t="str">
        <f t="shared" si="383"/>
        <v/>
      </c>
      <c r="AZ614" s="12" t="str">
        <f t="shared" si="384"/>
        <v/>
      </c>
      <c r="BI614" s="17" t="str">
        <f t="shared" si="385"/>
        <v/>
      </c>
      <c r="BM614" t="str">
        <f t="shared" si="386"/>
        <v>SPT Relationship</v>
      </c>
      <c r="BN614">
        <f t="shared" si="374"/>
        <v>111</v>
      </c>
      <c r="BO614" t="str">
        <f t="shared" si="387"/>
        <v>Wolff, 1989</v>
      </c>
      <c r="BP614">
        <f t="shared" si="409"/>
        <v>27</v>
      </c>
      <c r="BQ614" t="str">
        <f t="shared" si="388"/>
        <v/>
      </c>
      <c r="BR614" t="str">
        <f t="shared" si="402"/>
        <v/>
      </c>
      <c r="BS614" t="str">
        <f t="shared" si="389"/>
        <v>Stroud 1974 (K=3.5)</v>
      </c>
      <c r="BT614">
        <f t="shared" si="410"/>
        <v>512</v>
      </c>
      <c r="BU614" t="str">
        <f t="shared" si="390"/>
        <v/>
      </c>
      <c r="BV614" t="str">
        <f t="shared" si="403"/>
        <v/>
      </c>
      <c r="BW614" t="str">
        <f t="shared" si="391"/>
        <v/>
      </c>
      <c r="BX614" t="str">
        <f t="shared" si="404"/>
        <v/>
      </c>
      <c r="BY614" t="str">
        <f t="shared" si="392"/>
        <v/>
      </c>
      <c r="BZ614" t="str">
        <f t="shared" si="405"/>
        <v/>
      </c>
      <c r="CA614" t="str">
        <f t="shared" si="393"/>
        <v/>
      </c>
      <c r="CB614" t="str">
        <f t="shared" si="375"/>
        <v/>
      </c>
      <c r="CC614" t="str">
        <f t="shared" si="394"/>
        <v/>
      </c>
      <c r="CD614" t="str">
        <f t="shared" si="376"/>
        <v/>
      </c>
      <c r="CE614" t="str">
        <f t="shared" si="395"/>
        <v/>
      </c>
      <c r="CF614" t="str">
        <f t="shared" si="377"/>
        <v/>
      </c>
      <c r="CG614" t="str">
        <f t="shared" si="396"/>
        <v/>
      </c>
      <c r="CH614" t="str">
        <f t="shared" si="378"/>
        <v/>
      </c>
      <c r="CI614" t="str">
        <f t="shared" si="397"/>
        <v/>
      </c>
      <c r="CJ614" t="str">
        <f t="shared" si="406"/>
        <v/>
      </c>
    </row>
    <row r="615" spans="2:88" x14ac:dyDescent="0.3">
      <c r="B615" t="str">
        <f t="shared" si="398"/>
        <v>36.823963-76.076282</v>
      </c>
      <c r="C615" s="30" t="s">
        <v>146</v>
      </c>
      <c r="D615">
        <v>36.823962999999999</v>
      </c>
      <c r="E615">
        <v>-76.076282000000006</v>
      </c>
      <c r="F615">
        <v>5</v>
      </c>
      <c r="G615" t="str">
        <f t="shared" si="399"/>
        <v>-98-10036.823963-76.076282</v>
      </c>
      <c r="H615">
        <v>-98</v>
      </c>
      <c r="I615">
        <v>-100</v>
      </c>
      <c r="J615" s="30" t="s">
        <v>21</v>
      </c>
      <c r="L615" t="s">
        <v>16</v>
      </c>
      <c r="M615">
        <v>20</v>
      </c>
      <c r="S615" t="str">
        <f t="shared" si="373"/>
        <v>Sand</v>
      </c>
      <c r="T615">
        <f t="shared" si="400"/>
        <v>1</v>
      </c>
      <c r="AA615">
        <v>80</v>
      </c>
      <c r="AB615" s="1">
        <f t="shared" si="407"/>
        <v>27</v>
      </c>
      <c r="AC615">
        <f t="shared" si="408"/>
        <v>11</v>
      </c>
      <c r="AD615" t="str">
        <f t="shared" si="401"/>
        <v/>
      </c>
      <c r="AG615" s="21" t="str">
        <f t="shared" si="379"/>
        <v/>
      </c>
      <c r="AI615" s="6" t="str">
        <f t="shared" si="380"/>
        <v/>
      </c>
      <c r="AM615" s="7" t="str">
        <f t="shared" si="381"/>
        <v/>
      </c>
      <c r="AQ615" s="8" t="str">
        <f t="shared" si="382"/>
        <v/>
      </c>
      <c r="AW615" s="25" t="str">
        <f t="shared" si="383"/>
        <v/>
      </c>
      <c r="AZ615" s="12" t="str">
        <f t="shared" si="384"/>
        <v/>
      </c>
      <c r="BI615" s="17" t="str">
        <f t="shared" si="385"/>
        <v/>
      </c>
      <c r="BM615" t="str">
        <f t="shared" si="386"/>
        <v>SPT Relationship</v>
      </c>
      <c r="BN615">
        <f t="shared" si="374"/>
        <v>126</v>
      </c>
      <c r="BO615" t="str">
        <f t="shared" si="387"/>
        <v>Wolff, 1989</v>
      </c>
      <c r="BP615">
        <f t="shared" si="409"/>
        <v>30</v>
      </c>
      <c r="BQ615" t="str">
        <f t="shared" si="388"/>
        <v/>
      </c>
      <c r="BR615" t="str">
        <f t="shared" si="402"/>
        <v/>
      </c>
      <c r="BS615" t="str">
        <f t="shared" si="389"/>
        <v/>
      </c>
      <c r="BT615" t="str">
        <f t="shared" si="410"/>
        <v/>
      </c>
      <c r="BU615" t="str">
        <f t="shared" si="390"/>
        <v/>
      </c>
      <c r="BV615" t="str">
        <f t="shared" si="403"/>
        <v/>
      </c>
      <c r="BW615" t="str">
        <f t="shared" si="391"/>
        <v/>
      </c>
      <c r="BX615" t="str">
        <f t="shared" si="404"/>
        <v/>
      </c>
      <c r="BY615" t="str">
        <f t="shared" si="392"/>
        <v/>
      </c>
      <c r="BZ615" t="str">
        <f t="shared" si="405"/>
        <v/>
      </c>
      <c r="CA615" t="str">
        <f t="shared" si="393"/>
        <v/>
      </c>
      <c r="CB615" t="str">
        <f t="shared" si="375"/>
        <v/>
      </c>
      <c r="CC615" t="str">
        <f t="shared" si="394"/>
        <v/>
      </c>
      <c r="CD615" t="str">
        <f t="shared" si="376"/>
        <v/>
      </c>
      <c r="CE615" t="str">
        <f t="shared" si="395"/>
        <v>Bowles 5th edition</v>
      </c>
      <c r="CF615">
        <f t="shared" si="377"/>
        <v>269</v>
      </c>
      <c r="CG615" t="str">
        <f t="shared" si="396"/>
        <v/>
      </c>
      <c r="CH615" t="str">
        <f t="shared" si="378"/>
        <v/>
      </c>
      <c r="CI615" t="str">
        <f t="shared" si="397"/>
        <v/>
      </c>
      <c r="CJ615" t="str">
        <f t="shared" si="406"/>
        <v/>
      </c>
    </row>
    <row r="616" spans="2:88" x14ac:dyDescent="0.3">
      <c r="B616" t="str">
        <f t="shared" si="398"/>
        <v>36.823963-76.076282</v>
      </c>
      <c r="C616" s="30" t="s">
        <v>146</v>
      </c>
      <c r="D616">
        <v>36.823962999999999</v>
      </c>
      <c r="E616">
        <v>-76.076282000000006</v>
      </c>
      <c r="F616">
        <v>5</v>
      </c>
      <c r="G616" t="str">
        <f t="shared" si="399"/>
        <v>-103-10536.823963-76.076282</v>
      </c>
      <c r="H616">
        <v>-103</v>
      </c>
      <c r="I616">
        <v>-105</v>
      </c>
      <c r="J616" s="30" t="s">
        <v>21</v>
      </c>
      <c r="L616" t="s">
        <v>17</v>
      </c>
      <c r="M616">
        <v>11</v>
      </c>
      <c r="S616" t="str">
        <f t="shared" ref="S616:S662" si="411">IF(OR(L616="CL",L616="CH",L616="CL_ML"),"Clay",IF(OR(L616="SM",L616="SC",L616="SP",L616="SP-SM",L616="SP-SC",L616="SC-SM",L616="SW",L616="SW-SM"),"Sand",IF(OR(L616="GP", L616="GM",L616="GC", L616="GP-GM",L616="GW"),"Gravel",IF(OR(L616="ML",L616="MH"),"Silt",IF(OR(L616="OL",L616="OH",L616="PT"),"Organic")))))</f>
        <v>Sand</v>
      </c>
      <c r="T616">
        <f t="shared" si="400"/>
        <v>1</v>
      </c>
      <c r="AA616">
        <v>80</v>
      </c>
      <c r="AB616" s="1">
        <f t="shared" si="407"/>
        <v>15</v>
      </c>
      <c r="AC616">
        <f t="shared" si="408"/>
        <v>6</v>
      </c>
      <c r="AD616" t="str">
        <f t="shared" si="401"/>
        <v/>
      </c>
      <c r="AG616" s="21" t="str">
        <f t="shared" si="379"/>
        <v/>
      </c>
      <c r="AI616" s="6" t="str">
        <f t="shared" si="380"/>
        <v/>
      </c>
      <c r="AM616" s="7" t="str">
        <f t="shared" si="381"/>
        <v/>
      </c>
      <c r="AQ616" s="8" t="str">
        <f t="shared" si="382"/>
        <v/>
      </c>
      <c r="AW616" s="25" t="str">
        <f t="shared" si="383"/>
        <v/>
      </c>
      <c r="AZ616" s="12" t="str">
        <f t="shared" si="384"/>
        <v/>
      </c>
      <c r="BI616" s="17" t="str">
        <f t="shared" si="385"/>
        <v/>
      </c>
      <c r="BM616" t="str">
        <f t="shared" si="386"/>
        <v>SPT Relationship</v>
      </c>
      <c r="BN616">
        <f t="shared" si="374"/>
        <v>119</v>
      </c>
      <c r="BO616" t="str">
        <f t="shared" si="387"/>
        <v>Wolff, 1989</v>
      </c>
      <c r="BP616">
        <f t="shared" si="409"/>
        <v>28</v>
      </c>
      <c r="BQ616" t="str">
        <f t="shared" si="388"/>
        <v/>
      </c>
      <c r="BR616" t="str">
        <f t="shared" si="402"/>
        <v/>
      </c>
      <c r="BS616" t="str">
        <f t="shared" si="389"/>
        <v/>
      </c>
      <c r="BT616" t="str">
        <f t="shared" si="410"/>
        <v/>
      </c>
      <c r="BU616" t="str">
        <f t="shared" si="390"/>
        <v/>
      </c>
      <c r="BV616" t="str">
        <f t="shared" si="403"/>
        <v/>
      </c>
      <c r="BW616" t="str">
        <f t="shared" si="391"/>
        <v/>
      </c>
      <c r="BX616" t="str">
        <f t="shared" si="404"/>
        <v/>
      </c>
      <c r="BY616" t="str">
        <f t="shared" si="392"/>
        <v/>
      </c>
      <c r="BZ616" t="str">
        <f t="shared" si="405"/>
        <v/>
      </c>
      <c r="CA616" t="str">
        <f t="shared" si="393"/>
        <v/>
      </c>
      <c r="CB616" t="str">
        <f t="shared" si="375"/>
        <v/>
      </c>
      <c r="CC616" t="str">
        <f t="shared" si="394"/>
        <v/>
      </c>
      <c r="CD616" t="str">
        <f t="shared" si="376"/>
        <v/>
      </c>
      <c r="CE616" t="str">
        <f t="shared" si="395"/>
        <v>Bowles 5th edition</v>
      </c>
      <c r="CF616">
        <f t="shared" si="377"/>
        <v>192</v>
      </c>
      <c r="CG616" t="str">
        <f t="shared" si="396"/>
        <v/>
      </c>
      <c r="CH616" t="str">
        <f t="shared" si="378"/>
        <v/>
      </c>
      <c r="CI616" t="str">
        <f t="shared" si="397"/>
        <v/>
      </c>
      <c r="CJ616" t="str">
        <f t="shared" si="406"/>
        <v/>
      </c>
    </row>
    <row r="617" spans="2:88" x14ac:dyDescent="0.3">
      <c r="B617" t="str">
        <f t="shared" si="398"/>
        <v>36.823963-76.076282</v>
      </c>
      <c r="C617" s="30" t="s">
        <v>146</v>
      </c>
      <c r="D617">
        <v>36.823962999999999</v>
      </c>
      <c r="E617">
        <v>-76.076282000000006</v>
      </c>
      <c r="F617">
        <v>5</v>
      </c>
      <c r="G617" t="str">
        <f t="shared" si="399"/>
        <v>-108-11036.823963-76.076282</v>
      </c>
      <c r="H617">
        <v>-108</v>
      </c>
      <c r="I617">
        <v>-110</v>
      </c>
      <c r="J617" s="30" t="s">
        <v>21</v>
      </c>
      <c r="L617" t="s">
        <v>8</v>
      </c>
      <c r="M617">
        <v>12</v>
      </c>
      <c r="S617" t="str">
        <f t="shared" si="411"/>
        <v>Sand</v>
      </c>
      <c r="T617">
        <f t="shared" si="400"/>
        <v>1</v>
      </c>
      <c r="AA617">
        <v>80</v>
      </c>
      <c r="AB617" s="1">
        <f t="shared" si="407"/>
        <v>16</v>
      </c>
      <c r="AC617">
        <f t="shared" si="408"/>
        <v>6</v>
      </c>
      <c r="AD617" t="str">
        <f t="shared" si="401"/>
        <v/>
      </c>
      <c r="AG617" s="21" t="str">
        <f t="shared" si="379"/>
        <v/>
      </c>
      <c r="AI617" s="6" t="str">
        <f t="shared" si="380"/>
        <v/>
      </c>
      <c r="AM617" s="7" t="str">
        <f t="shared" si="381"/>
        <v/>
      </c>
      <c r="AQ617" s="8" t="str">
        <f t="shared" si="382"/>
        <v/>
      </c>
      <c r="AW617" s="25" t="str">
        <f t="shared" si="383"/>
        <v/>
      </c>
      <c r="AZ617" s="12" t="str">
        <f t="shared" si="384"/>
        <v/>
      </c>
      <c r="BI617" s="17" t="str">
        <f t="shared" si="385"/>
        <v/>
      </c>
      <c r="BM617" t="str">
        <f t="shared" si="386"/>
        <v>SPT Relationship</v>
      </c>
      <c r="BN617">
        <f t="shared" si="374"/>
        <v>120</v>
      </c>
      <c r="BO617" t="str">
        <f t="shared" si="387"/>
        <v>Wolff, 1989</v>
      </c>
      <c r="BP617">
        <f t="shared" si="409"/>
        <v>28</v>
      </c>
      <c r="BQ617" t="str">
        <f t="shared" si="388"/>
        <v/>
      </c>
      <c r="BR617" t="str">
        <f t="shared" si="402"/>
        <v/>
      </c>
      <c r="BS617" t="str">
        <f t="shared" si="389"/>
        <v/>
      </c>
      <c r="BT617" t="str">
        <f t="shared" si="410"/>
        <v/>
      </c>
      <c r="BU617" t="str">
        <f t="shared" si="390"/>
        <v/>
      </c>
      <c r="BV617" t="str">
        <f t="shared" si="403"/>
        <v/>
      </c>
      <c r="BW617" t="str">
        <f t="shared" si="391"/>
        <v/>
      </c>
      <c r="BX617" t="str">
        <f t="shared" si="404"/>
        <v/>
      </c>
      <c r="BY617" t="str">
        <f t="shared" si="392"/>
        <v/>
      </c>
      <c r="BZ617" t="str">
        <f t="shared" si="405"/>
        <v/>
      </c>
      <c r="CA617" t="str">
        <f t="shared" si="393"/>
        <v/>
      </c>
      <c r="CB617" t="str">
        <f t="shared" si="375"/>
        <v/>
      </c>
      <c r="CC617" t="str">
        <f t="shared" si="394"/>
        <v/>
      </c>
      <c r="CD617" t="str">
        <f t="shared" si="376"/>
        <v/>
      </c>
      <c r="CE617" t="str">
        <f t="shared" si="395"/>
        <v>Bowles 5th edition</v>
      </c>
      <c r="CF617">
        <f t="shared" si="377"/>
        <v>198</v>
      </c>
      <c r="CG617" t="str">
        <f t="shared" si="396"/>
        <v/>
      </c>
      <c r="CH617" t="str">
        <f t="shared" si="378"/>
        <v/>
      </c>
      <c r="CI617" t="str">
        <f t="shared" si="397"/>
        <v/>
      </c>
      <c r="CJ617" t="str">
        <f t="shared" si="406"/>
        <v/>
      </c>
    </row>
    <row r="618" spans="2:88" x14ac:dyDescent="0.3">
      <c r="B618" t="str">
        <f t="shared" si="398"/>
        <v>36.823963-76.076282</v>
      </c>
      <c r="C618" s="30" t="s">
        <v>146</v>
      </c>
      <c r="D618">
        <v>36.823962999999999</v>
      </c>
      <c r="E618">
        <v>-76.076282000000006</v>
      </c>
      <c r="F618">
        <v>5</v>
      </c>
      <c r="G618" t="str">
        <f t="shared" si="399"/>
        <v>-113-11536.823963-76.076282</v>
      </c>
      <c r="H618">
        <v>-113</v>
      </c>
      <c r="I618">
        <v>-115</v>
      </c>
      <c r="J618" s="30" t="s">
        <v>21</v>
      </c>
      <c r="L618" t="s">
        <v>8</v>
      </c>
      <c r="M618">
        <v>24</v>
      </c>
      <c r="S618" t="str">
        <f t="shared" si="411"/>
        <v>Sand</v>
      </c>
      <c r="T618">
        <f t="shared" si="400"/>
        <v>1</v>
      </c>
      <c r="AA618">
        <v>80</v>
      </c>
      <c r="AB618" s="1">
        <f t="shared" si="407"/>
        <v>32</v>
      </c>
      <c r="AC618">
        <f t="shared" si="408"/>
        <v>12</v>
      </c>
      <c r="AD618" t="str">
        <f t="shared" si="401"/>
        <v/>
      </c>
      <c r="AG618" s="21" t="str">
        <f t="shared" si="379"/>
        <v/>
      </c>
      <c r="AI618" s="6" t="str">
        <f t="shared" si="380"/>
        <v/>
      </c>
      <c r="AM618" s="7" t="str">
        <f t="shared" si="381"/>
        <v/>
      </c>
      <c r="AQ618" s="8" t="str">
        <f t="shared" si="382"/>
        <v/>
      </c>
      <c r="AW618" s="25" t="str">
        <f t="shared" si="383"/>
        <v/>
      </c>
      <c r="AZ618" s="12" t="str">
        <f t="shared" si="384"/>
        <v/>
      </c>
      <c r="BI618" s="17" t="str">
        <f t="shared" si="385"/>
        <v/>
      </c>
      <c r="BM618" t="str">
        <f t="shared" si="386"/>
        <v>SPT Relationship</v>
      </c>
      <c r="BN618">
        <f t="shared" si="374"/>
        <v>128</v>
      </c>
      <c r="BO618" t="str">
        <f t="shared" si="387"/>
        <v>Wolff, 1989</v>
      </c>
      <c r="BP618">
        <f t="shared" si="409"/>
        <v>30</v>
      </c>
      <c r="BQ618" t="str">
        <f t="shared" si="388"/>
        <v/>
      </c>
      <c r="BR618" t="str">
        <f t="shared" si="402"/>
        <v/>
      </c>
      <c r="BS618" t="str">
        <f t="shared" si="389"/>
        <v/>
      </c>
      <c r="BT618" t="str">
        <f t="shared" si="410"/>
        <v/>
      </c>
      <c r="BU618" t="str">
        <f t="shared" si="390"/>
        <v/>
      </c>
      <c r="BV618" t="str">
        <f t="shared" si="403"/>
        <v/>
      </c>
      <c r="BW618" t="str">
        <f t="shared" si="391"/>
        <v/>
      </c>
      <c r="BX618" t="str">
        <f t="shared" si="404"/>
        <v/>
      </c>
      <c r="BY618" t="str">
        <f t="shared" si="392"/>
        <v/>
      </c>
      <c r="BZ618" t="str">
        <f t="shared" si="405"/>
        <v/>
      </c>
      <c r="CA618" t="str">
        <f t="shared" si="393"/>
        <v/>
      </c>
      <c r="CB618" t="str">
        <f t="shared" si="375"/>
        <v/>
      </c>
      <c r="CC618" t="str">
        <f t="shared" si="394"/>
        <v/>
      </c>
      <c r="CD618" t="str">
        <f t="shared" si="376"/>
        <v/>
      </c>
      <c r="CE618" t="str">
        <f t="shared" si="395"/>
        <v>Bowles 5th edition</v>
      </c>
      <c r="CF618">
        <f t="shared" si="377"/>
        <v>301</v>
      </c>
      <c r="CG618" t="str">
        <f t="shared" si="396"/>
        <v/>
      </c>
      <c r="CH618" t="str">
        <f t="shared" si="378"/>
        <v/>
      </c>
      <c r="CI618" t="str">
        <f t="shared" si="397"/>
        <v/>
      </c>
      <c r="CJ618" t="str">
        <f t="shared" si="406"/>
        <v/>
      </c>
    </row>
    <row r="619" spans="2:88" x14ac:dyDescent="0.3">
      <c r="B619" t="str">
        <f t="shared" si="398"/>
        <v>36.823963-76.076282</v>
      </c>
      <c r="C619" s="30" t="s">
        <v>146</v>
      </c>
      <c r="D619">
        <v>36.823962999999999</v>
      </c>
      <c r="E619">
        <v>-76.076282000000006</v>
      </c>
      <c r="F619">
        <v>5</v>
      </c>
      <c r="G619" t="str">
        <f t="shared" si="399"/>
        <v>-118-12036.823963-76.076282</v>
      </c>
      <c r="H619">
        <v>-118</v>
      </c>
      <c r="I619">
        <v>-120</v>
      </c>
      <c r="J619" s="30" t="s">
        <v>21</v>
      </c>
      <c r="L619" t="s">
        <v>16</v>
      </c>
      <c r="M619">
        <v>20</v>
      </c>
      <c r="S619" t="str">
        <f t="shared" si="411"/>
        <v>Sand</v>
      </c>
      <c r="T619">
        <f t="shared" si="400"/>
        <v>1</v>
      </c>
      <c r="AA619">
        <v>80</v>
      </c>
      <c r="AB619" s="1">
        <f t="shared" si="407"/>
        <v>27</v>
      </c>
      <c r="AC619">
        <f t="shared" si="408"/>
        <v>10</v>
      </c>
      <c r="AD619" t="str">
        <f t="shared" si="401"/>
        <v/>
      </c>
      <c r="AG619" s="21" t="str">
        <f t="shared" si="379"/>
        <v/>
      </c>
      <c r="AI619" s="6" t="str">
        <f t="shared" si="380"/>
        <v/>
      </c>
      <c r="AM619" s="7" t="str">
        <f t="shared" si="381"/>
        <v/>
      </c>
      <c r="AQ619" s="8" t="str">
        <f t="shared" si="382"/>
        <v/>
      </c>
      <c r="AW619" s="25" t="str">
        <f t="shared" si="383"/>
        <v/>
      </c>
      <c r="AZ619" s="12" t="str">
        <f t="shared" si="384"/>
        <v/>
      </c>
      <c r="BI619" s="17" t="str">
        <f t="shared" si="385"/>
        <v/>
      </c>
      <c r="BM619" t="str">
        <f t="shared" si="386"/>
        <v>SPT Relationship</v>
      </c>
      <c r="BN619">
        <f t="shared" si="374"/>
        <v>126</v>
      </c>
      <c r="BO619" t="str">
        <f t="shared" si="387"/>
        <v>Wolff, 1989</v>
      </c>
      <c r="BP619">
        <f t="shared" si="409"/>
        <v>30</v>
      </c>
      <c r="BQ619" t="str">
        <f t="shared" si="388"/>
        <v/>
      </c>
      <c r="BR619" t="str">
        <f t="shared" si="402"/>
        <v/>
      </c>
      <c r="BS619" t="str">
        <f t="shared" si="389"/>
        <v/>
      </c>
      <c r="BT619" t="str">
        <f t="shared" si="410"/>
        <v/>
      </c>
      <c r="BU619" t="str">
        <f t="shared" si="390"/>
        <v/>
      </c>
      <c r="BV619" t="str">
        <f t="shared" si="403"/>
        <v/>
      </c>
      <c r="BW619" t="str">
        <f t="shared" si="391"/>
        <v/>
      </c>
      <c r="BX619" t="str">
        <f t="shared" si="404"/>
        <v/>
      </c>
      <c r="BY619" t="str">
        <f t="shared" si="392"/>
        <v/>
      </c>
      <c r="BZ619" t="str">
        <f t="shared" si="405"/>
        <v/>
      </c>
      <c r="CA619" t="str">
        <f t="shared" si="393"/>
        <v/>
      </c>
      <c r="CB619" t="str">
        <f t="shared" si="375"/>
        <v/>
      </c>
      <c r="CC619" t="str">
        <f t="shared" si="394"/>
        <v/>
      </c>
      <c r="CD619" t="str">
        <f t="shared" si="376"/>
        <v/>
      </c>
      <c r="CE619" t="str">
        <f t="shared" si="395"/>
        <v>Bowles 5th edition</v>
      </c>
      <c r="CF619">
        <f t="shared" si="377"/>
        <v>269</v>
      </c>
      <c r="CG619" t="str">
        <f t="shared" si="396"/>
        <v/>
      </c>
      <c r="CH619" t="str">
        <f t="shared" si="378"/>
        <v/>
      </c>
      <c r="CI619" t="str">
        <f t="shared" si="397"/>
        <v/>
      </c>
      <c r="CJ619" t="str">
        <f t="shared" si="406"/>
        <v/>
      </c>
    </row>
    <row r="620" spans="2:88" x14ac:dyDescent="0.3">
      <c r="B620" t="str">
        <f t="shared" si="398"/>
        <v>36.825953-76.12262</v>
      </c>
      <c r="C620" t="s">
        <v>149</v>
      </c>
      <c r="D620">
        <v>36.825952999999998</v>
      </c>
      <c r="E620">
        <v>-76.122619999999998</v>
      </c>
      <c r="F620">
        <v>5</v>
      </c>
      <c r="G620" t="str">
        <f t="shared" si="399"/>
        <v>5336.825953-76.12262</v>
      </c>
      <c r="H620">
        <v>5</v>
      </c>
      <c r="I620">
        <f>H620-2</f>
        <v>3</v>
      </c>
      <c r="J620" s="30" t="s">
        <v>21</v>
      </c>
      <c r="L620" t="s">
        <v>17</v>
      </c>
      <c r="M620">
        <v>19</v>
      </c>
      <c r="S620" t="str">
        <f t="shared" si="411"/>
        <v>Sand</v>
      </c>
      <c r="T620">
        <f t="shared" si="400"/>
        <v>1</v>
      </c>
      <c r="AA620">
        <v>80</v>
      </c>
      <c r="AB620" s="1">
        <f t="shared" si="407"/>
        <v>25</v>
      </c>
      <c r="AC620">
        <f t="shared" si="408"/>
        <v>77</v>
      </c>
      <c r="AD620" t="str">
        <f t="shared" si="401"/>
        <v/>
      </c>
      <c r="AG620" s="21" t="str">
        <f t="shared" si="379"/>
        <v/>
      </c>
      <c r="AI620" s="6" t="str">
        <f t="shared" si="380"/>
        <v/>
      </c>
      <c r="AM620" s="7" t="str">
        <f t="shared" si="381"/>
        <v/>
      </c>
      <c r="AQ620" s="8" t="str">
        <f t="shared" si="382"/>
        <v/>
      </c>
      <c r="AW620" s="25" t="str">
        <f t="shared" si="383"/>
        <v/>
      </c>
      <c r="AZ620" s="12" t="str">
        <f t="shared" si="384"/>
        <v/>
      </c>
      <c r="BI620" s="17" t="str">
        <f t="shared" si="385"/>
        <v/>
      </c>
      <c r="BM620" t="str">
        <f t="shared" si="386"/>
        <v>SPT Relationship</v>
      </c>
      <c r="BN620">
        <f t="shared" si="374"/>
        <v>126</v>
      </c>
      <c r="BO620" t="str">
        <f t="shared" si="387"/>
        <v>Wolff, 1989</v>
      </c>
      <c r="BP620">
        <f t="shared" si="409"/>
        <v>46</v>
      </c>
      <c r="BQ620" t="str">
        <f t="shared" si="388"/>
        <v/>
      </c>
      <c r="BR620" t="str">
        <f t="shared" si="402"/>
        <v/>
      </c>
      <c r="BS620" t="str">
        <f t="shared" si="389"/>
        <v/>
      </c>
      <c r="BT620" t="str">
        <f t="shared" si="410"/>
        <v/>
      </c>
      <c r="BU620" t="str">
        <f t="shared" si="390"/>
        <v/>
      </c>
      <c r="BV620" t="str">
        <f t="shared" si="403"/>
        <v/>
      </c>
      <c r="BW620" t="str">
        <f t="shared" si="391"/>
        <v/>
      </c>
      <c r="BX620" t="str">
        <f t="shared" si="404"/>
        <v/>
      </c>
      <c r="BY620" t="str">
        <f t="shared" si="392"/>
        <v/>
      </c>
      <c r="BZ620" t="str">
        <f t="shared" si="405"/>
        <v/>
      </c>
      <c r="CA620" t="str">
        <f t="shared" si="393"/>
        <v/>
      </c>
      <c r="CB620" t="str">
        <f t="shared" si="375"/>
        <v/>
      </c>
      <c r="CC620" t="str">
        <f t="shared" si="394"/>
        <v/>
      </c>
      <c r="CD620" t="str">
        <f t="shared" si="376"/>
        <v/>
      </c>
      <c r="CE620" t="str">
        <f t="shared" si="395"/>
        <v>Bowles 5th edition</v>
      </c>
      <c r="CF620">
        <f t="shared" si="377"/>
        <v>256</v>
      </c>
      <c r="CG620" t="str">
        <f t="shared" si="396"/>
        <v/>
      </c>
      <c r="CH620" t="str">
        <f t="shared" si="378"/>
        <v/>
      </c>
      <c r="CI620" t="str">
        <f t="shared" si="397"/>
        <v/>
      </c>
      <c r="CJ620" t="str">
        <f t="shared" si="406"/>
        <v/>
      </c>
    </row>
    <row r="621" spans="2:88" x14ac:dyDescent="0.3">
      <c r="B621" t="str">
        <f t="shared" si="398"/>
        <v>36.825953-76.12262</v>
      </c>
      <c r="C621" t="s">
        <v>149</v>
      </c>
      <c r="D621">
        <v>36.825952999999998</v>
      </c>
      <c r="E621">
        <v>-76.122619999999998</v>
      </c>
      <c r="F621">
        <v>5</v>
      </c>
      <c r="G621" t="str">
        <f t="shared" si="399"/>
        <v>3136.825953-76.12262</v>
      </c>
      <c r="H621">
        <v>3</v>
      </c>
      <c r="I621">
        <f t="shared" ref="I621:I647" si="412">H621-2</f>
        <v>1</v>
      </c>
      <c r="J621" s="30" t="s">
        <v>21</v>
      </c>
      <c r="L621" t="s">
        <v>17</v>
      </c>
      <c r="M621">
        <v>13</v>
      </c>
      <c r="S621" t="str">
        <f t="shared" si="411"/>
        <v>Sand</v>
      </c>
      <c r="T621">
        <f t="shared" si="400"/>
        <v>1</v>
      </c>
      <c r="AA621">
        <v>80</v>
      </c>
      <c r="AB621" s="1">
        <f t="shared" si="407"/>
        <v>17</v>
      </c>
      <c r="AC621">
        <f t="shared" si="408"/>
        <v>37</v>
      </c>
      <c r="AD621" t="str">
        <f t="shared" si="401"/>
        <v/>
      </c>
      <c r="AG621" s="21" t="str">
        <f t="shared" si="379"/>
        <v/>
      </c>
      <c r="AI621" s="6" t="str">
        <f t="shared" si="380"/>
        <v/>
      </c>
      <c r="AM621" s="7" t="str">
        <f t="shared" si="381"/>
        <v/>
      </c>
      <c r="AQ621" s="8" t="str">
        <f t="shared" si="382"/>
        <v/>
      </c>
      <c r="AW621" s="25" t="str">
        <f t="shared" si="383"/>
        <v/>
      </c>
      <c r="AZ621" s="12" t="str">
        <f t="shared" si="384"/>
        <v/>
      </c>
      <c r="BI621" s="17" t="str">
        <f t="shared" si="385"/>
        <v/>
      </c>
      <c r="BM621" t="str">
        <f t="shared" si="386"/>
        <v>SPT Relationship</v>
      </c>
      <c r="BN621">
        <f t="shared" si="374"/>
        <v>121</v>
      </c>
      <c r="BO621" t="str">
        <f t="shared" si="387"/>
        <v>Wolff, 1989</v>
      </c>
      <c r="BP621">
        <f t="shared" si="409"/>
        <v>37</v>
      </c>
      <c r="BQ621" t="str">
        <f t="shared" si="388"/>
        <v/>
      </c>
      <c r="BR621" t="str">
        <f t="shared" si="402"/>
        <v/>
      </c>
      <c r="BS621" t="str">
        <f t="shared" si="389"/>
        <v/>
      </c>
      <c r="BT621" t="str">
        <f t="shared" si="410"/>
        <v/>
      </c>
      <c r="BU621" t="str">
        <f t="shared" si="390"/>
        <v/>
      </c>
      <c r="BV621" t="str">
        <f t="shared" si="403"/>
        <v/>
      </c>
      <c r="BW621" t="str">
        <f t="shared" si="391"/>
        <v/>
      </c>
      <c r="BX621" t="str">
        <f t="shared" si="404"/>
        <v/>
      </c>
      <c r="BY621" t="str">
        <f t="shared" si="392"/>
        <v/>
      </c>
      <c r="BZ621" t="str">
        <f t="shared" si="405"/>
        <v/>
      </c>
      <c r="CA621" t="str">
        <f t="shared" si="393"/>
        <v/>
      </c>
      <c r="CB621" t="str">
        <f t="shared" si="375"/>
        <v/>
      </c>
      <c r="CC621" t="str">
        <f t="shared" si="394"/>
        <v/>
      </c>
      <c r="CD621" t="str">
        <f t="shared" si="376"/>
        <v/>
      </c>
      <c r="CE621" t="str">
        <f t="shared" si="395"/>
        <v>Bowles 5th edition</v>
      </c>
      <c r="CF621">
        <f t="shared" si="377"/>
        <v>205</v>
      </c>
      <c r="CG621" t="str">
        <f t="shared" si="396"/>
        <v/>
      </c>
      <c r="CH621" t="str">
        <f t="shared" si="378"/>
        <v/>
      </c>
      <c r="CI621" t="str">
        <f t="shared" si="397"/>
        <v/>
      </c>
      <c r="CJ621" t="str">
        <f t="shared" si="406"/>
        <v/>
      </c>
    </row>
    <row r="622" spans="2:88" x14ac:dyDescent="0.3">
      <c r="B622" t="str">
        <f t="shared" si="398"/>
        <v>36.825953-76.12262</v>
      </c>
      <c r="C622" t="s">
        <v>149</v>
      </c>
      <c r="D622">
        <v>36.825952999999998</v>
      </c>
      <c r="E622">
        <v>-76.122619999999998</v>
      </c>
      <c r="F622">
        <v>5</v>
      </c>
      <c r="G622" t="str">
        <f t="shared" si="399"/>
        <v>1-136.825953-76.12262</v>
      </c>
      <c r="H622">
        <v>1</v>
      </c>
      <c r="I622">
        <f t="shared" si="412"/>
        <v>-1</v>
      </c>
      <c r="J622" s="30" t="s">
        <v>21</v>
      </c>
      <c r="L622" t="s">
        <v>11</v>
      </c>
      <c r="M622">
        <v>7</v>
      </c>
      <c r="S622" t="str">
        <f t="shared" si="411"/>
        <v>Clay</v>
      </c>
      <c r="T622">
        <f t="shared" si="400"/>
        <v>1</v>
      </c>
      <c r="AA622">
        <v>80</v>
      </c>
      <c r="AB622" s="1">
        <f t="shared" si="407"/>
        <v>9</v>
      </c>
      <c r="AC622">
        <f t="shared" si="408"/>
        <v>16</v>
      </c>
      <c r="AD622" t="str">
        <f t="shared" si="401"/>
        <v/>
      </c>
      <c r="AG622" s="21" t="str">
        <f t="shared" si="379"/>
        <v/>
      </c>
      <c r="AI622" s="6" t="str">
        <f t="shared" si="380"/>
        <v/>
      </c>
      <c r="AM622" s="7" t="str">
        <f t="shared" si="381"/>
        <v/>
      </c>
      <c r="AQ622" s="8" t="str">
        <f t="shared" si="382"/>
        <v/>
      </c>
      <c r="AW622" s="25" t="str">
        <f t="shared" si="383"/>
        <v/>
      </c>
      <c r="AZ622" s="12" t="str">
        <f t="shared" si="384"/>
        <v/>
      </c>
      <c r="BI622" s="17" t="str">
        <f t="shared" si="385"/>
        <v/>
      </c>
      <c r="BM622" t="str">
        <f t="shared" si="386"/>
        <v>SPT Relationship</v>
      </c>
      <c r="BN622">
        <f t="shared" si="374"/>
        <v>114</v>
      </c>
      <c r="BO622" t="str">
        <f t="shared" si="387"/>
        <v>Wolff, 1989</v>
      </c>
      <c r="BP622">
        <f t="shared" si="409"/>
        <v>31</v>
      </c>
      <c r="BQ622" t="str">
        <f t="shared" si="388"/>
        <v/>
      </c>
      <c r="BR622" t="str">
        <f t="shared" si="402"/>
        <v/>
      </c>
      <c r="BS622" t="str">
        <f t="shared" si="389"/>
        <v>Stroud 1974 (K=3.5)</v>
      </c>
      <c r="BT622">
        <f t="shared" si="410"/>
        <v>658</v>
      </c>
      <c r="BU622" t="str">
        <f t="shared" si="390"/>
        <v/>
      </c>
      <c r="BV622" t="str">
        <f t="shared" si="403"/>
        <v/>
      </c>
      <c r="BW622" t="str">
        <f t="shared" si="391"/>
        <v/>
      </c>
      <c r="BX622" t="str">
        <f t="shared" si="404"/>
        <v/>
      </c>
      <c r="BY622" t="str">
        <f t="shared" si="392"/>
        <v/>
      </c>
      <c r="BZ622" t="str">
        <f t="shared" si="405"/>
        <v/>
      </c>
      <c r="CA622" t="str">
        <f t="shared" si="393"/>
        <v/>
      </c>
      <c r="CB622" t="str">
        <f t="shared" si="375"/>
        <v/>
      </c>
      <c r="CC622" t="str">
        <f t="shared" si="394"/>
        <v/>
      </c>
      <c r="CD622" t="str">
        <f t="shared" si="376"/>
        <v/>
      </c>
      <c r="CE622" t="str">
        <f t="shared" si="395"/>
        <v/>
      </c>
      <c r="CF622" t="str">
        <f t="shared" si="377"/>
        <v/>
      </c>
      <c r="CG622" t="str">
        <f t="shared" si="396"/>
        <v/>
      </c>
      <c r="CH622" t="str">
        <f t="shared" si="378"/>
        <v/>
      </c>
      <c r="CI622" t="str">
        <f t="shared" si="397"/>
        <v/>
      </c>
      <c r="CJ622" t="str">
        <f t="shared" si="406"/>
        <v/>
      </c>
    </row>
    <row r="623" spans="2:88" x14ac:dyDescent="0.3">
      <c r="B623" t="str">
        <f t="shared" si="398"/>
        <v>36.825953-76.12262</v>
      </c>
      <c r="C623" t="s">
        <v>149</v>
      </c>
      <c r="D623">
        <v>36.825952999999998</v>
      </c>
      <c r="E623">
        <v>-76.122619999999998</v>
      </c>
      <c r="F623">
        <v>5</v>
      </c>
      <c r="G623" t="str">
        <f t="shared" si="399"/>
        <v>-1-336.825953-76.12262</v>
      </c>
      <c r="H623">
        <v>-1</v>
      </c>
      <c r="I623">
        <f t="shared" si="412"/>
        <v>-3</v>
      </c>
      <c r="J623" s="30" t="s">
        <v>21</v>
      </c>
      <c r="L623" t="s">
        <v>10</v>
      </c>
      <c r="M623">
        <v>13</v>
      </c>
      <c r="S623" t="str">
        <f>IF(OR(L623="CL",L623="CH",L623="CL_ML"),"Clay",IF(OR(L623="SM",L623="SC",L623="SP",L623="SP-SM",L623="SP-SC",L623="SC-SM",L623="SW",L623="SW-SM"),"Sand",IF(OR(L623="GP", L623="GM",L623="GC", L623="GP-GM",L623="GW"),"Gravel",IF(OR(L623="ML",L623="MH"),"Silt",IF(OR(L623="OL",L623="OH",L623="PT"),"Organic")))))</f>
        <v>Sand</v>
      </c>
      <c r="T623">
        <f t="shared" si="400"/>
        <v>1</v>
      </c>
      <c r="AA623">
        <v>80</v>
      </c>
      <c r="AB623" s="1">
        <f t="shared" si="407"/>
        <v>17</v>
      </c>
      <c r="AC623">
        <f t="shared" si="408"/>
        <v>26</v>
      </c>
      <c r="AD623" t="str">
        <f t="shared" si="401"/>
        <v/>
      </c>
      <c r="AG623" s="21" t="str">
        <f t="shared" si="379"/>
        <v/>
      </c>
      <c r="AI623" s="6" t="str">
        <f t="shared" si="380"/>
        <v/>
      </c>
      <c r="AM623" s="7" t="str">
        <f t="shared" si="381"/>
        <v/>
      </c>
      <c r="AQ623" s="8" t="str">
        <f t="shared" si="382"/>
        <v/>
      </c>
      <c r="AW623" s="25" t="str">
        <f t="shared" si="383"/>
        <v/>
      </c>
      <c r="AZ623" s="12" t="str">
        <f t="shared" si="384"/>
        <v/>
      </c>
      <c r="BI623" s="17" t="str">
        <f t="shared" si="385"/>
        <v/>
      </c>
      <c r="BM623" t="str">
        <f t="shared" si="386"/>
        <v>SPT Relationship</v>
      </c>
      <c r="BN623">
        <f t="shared" si="374"/>
        <v>121</v>
      </c>
      <c r="BO623" t="str">
        <f t="shared" si="387"/>
        <v>Wolff, 1989</v>
      </c>
      <c r="BP623">
        <f t="shared" si="409"/>
        <v>34</v>
      </c>
      <c r="BQ623" t="str">
        <f t="shared" si="388"/>
        <v/>
      </c>
      <c r="BR623" t="str">
        <f t="shared" si="402"/>
        <v/>
      </c>
      <c r="BS623" t="str">
        <f t="shared" si="389"/>
        <v/>
      </c>
      <c r="BT623" t="str">
        <f t="shared" si="410"/>
        <v/>
      </c>
      <c r="BU623" t="str">
        <f t="shared" si="390"/>
        <v/>
      </c>
      <c r="BV623" t="str">
        <f t="shared" si="403"/>
        <v/>
      </c>
      <c r="BW623" t="str">
        <f t="shared" si="391"/>
        <v/>
      </c>
      <c r="BX623" t="str">
        <f t="shared" si="404"/>
        <v/>
      </c>
      <c r="BY623" t="str">
        <f t="shared" si="392"/>
        <v/>
      </c>
      <c r="BZ623" t="str">
        <f t="shared" si="405"/>
        <v/>
      </c>
      <c r="CA623" t="str">
        <f t="shared" si="393"/>
        <v/>
      </c>
      <c r="CB623" t="str">
        <f t="shared" si="375"/>
        <v/>
      </c>
      <c r="CC623" t="str">
        <f t="shared" si="394"/>
        <v/>
      </c>
      <c r="CD623" t="str">
        <f t="shared" si="376"/>
        <v/>
      </c>
      <c r="CE623" t="str">
        <f t="shared" si="395"/>
        <v>Bowles 5th edition</v>
      </c>
      <c r="CF623">
        <f t="shared" si="377"/>
        <v>205</v>
      </c>
      <c r="CG623" t="str">
        <f t="shared" si="396"/>
        <v/>
      </c>
      <c r="CH623" t="str">
        <f t="shared" si="378"/>
        <v/>
      </c>
      <c r="CI623" t="str">
        <f t="shared" si="397"/>
        <v/>
      </c>
      <c r="CJ623" t="str">
        <f t="shared" si="406"/>
        <v/>
      </c>
    </row>
    <row r="624" spans="2:88" x14ac:dyDescent="0.3">
      <c r="B624" t="str">
        <f t="shared" si="398"/>
        <v>36.825953-76.12262</v>
      </c>
      <c r="C624" t="s">
        <v>149</v>
      </c>
      <c r="D624">
        <v>36.825952999999998</v>
      </c>
      <c r="E624">
        <v>-76.122619999999998</v>
      </c>
      <c r="F624">
        <v>5</v>
      </c>
      <c r="G624" t="str">
        <f t="shared" si="399"/>
        <v>-3-536.825953-76.12262</v>
      </c>
      <c r="H624">
        <v>-3</v>
      </c>
      <c r="I624">
        <f t="shared" si="412"/>
        <v>-5</v>
      </c>
      <c r="J624" s="30" t="s">
        <v>21</v>
      </c>
      <c r="L624" t="s">
        <v>16</v>
      </c>
      <c r="M624">
        <v>4</v>
      </c>
      <c r="S624" t="str">
        <f t="shared" si="411"/>
        <v>Sand</v>
      </c>
      <c r="T624">
        <f t="shared" si="400"/>
        <v>1</v>
      </c>
      <c r="AA624">
        <v>80</v>
      </c>
      <c r="AB624" s="1">
        <f t="shared" si="407"/>
        <v>5</v>
      </c>
      <c r="AC624">
        <f t="shared" si="408"/>
        <v>6</v>
      </c>
      <c r="AD624" t="str">
        <f t="shared" si="401"/>
        <v/>
      </c>
      <c r="AG624" s="21" t="str">
        <f t="shared" si="379"/>
        <v/>
      </c>
      <c r="AI624" s="6" t="str">
        <f t="shared" si="380"/>
        <v/>
      </c>
      <c r="AM624" s="7" t="str">
        <f t="shared" si="381"/>
        <v/>
      </c>
      <c r="AQ624" s="8" t="str">
        <f t="shared" si="382"/>
        <v/>
      </c>
      <c r="AW624" s="25" t="str">
        <f t="shared" si="383"/>
        <v/>
      </c>
      <c r="AZ624" s="12" t="str">
        <f t="shared" si="384"/>
        <v/>
      </c>
      <c r="BI624" s="17" t="str">
        <f t="shared" si="385"/>
        <v/>
      </c>
      <c r="BM624" t="str">
        <f t="shared" si="386"/>
        <v>SPT Relationship</v>
      </c>
      <c r="BN624">
        <f t="shared" si="374"/>
        <v>108</v>
      </c>
      <c r="BO624" t="str">
        <f t="shared" si="387"/>
        <v>Wolff, 1989</v>
      </c>
      <c r="BP624">
        <f t="shared" si="409"/>
        <v>28</v>
      </c>
      <c r="BQ624" t="str">
        <f t="shared" si="388"/>
        <v/>
      </c>
      <c r="BR624" t="str">
        <f t="shared" si="402"/>
        <v/>
      </c>
      <c r="BS624" t="str">
        <f t="shared" si="389"/>
        <v/>
      </c>
      <c r="BT624" t="str">
        <f t="shared" si="410"/>
        <v/>
      </c>
      <c r="BU624" t="str">
        <f t="shared" si="390"/>
        <v/>
      </c>
      <c r="BV624" t="str">
        <f t="shared" si="403"/>
        <v/>
      </c>
      <c r="BW624" t="str">
        <f t="shared" si="391"/>
        <v/>
      </c>
      <c r="BX624" t="str">
        <f t="shared" si="404"/>
        <v/>
      </c>
      <c r="BY624" t="str">
        <f t="shared" si="392"/>
        <v/>
      </c>
      <c r="BZ624" t="str">
        <f t="shared" si="405"/>
        <v/>
      </c>
      <c r="CA624" t="str">
        <f t="shared" si="393"/>
        <v/>
      </c>
      <c r="CB624" t="str">
        <f t="shared" si="375"/>
        <v/>
      </c>
      <c r="CC624" t="str">
        <f t="shared" si="394"/>
        <v/>
      </c>
      <c r="CD624" t="str">
        <f t="shared" si="376"/>
        <v/>
      </c>
      <c r="CE624" t="str">
        <f t="shared" si="395"/>
        <v>Bowles 5th edition</v>
      </c>
      <c r="CF624">
        <f t="shared" si="377"/>
        <v>128</v>
      </c>
      <c r="CG624" t="str">
        <f t="shared" si="396"/>
        <v/>
      </c>
      <c r="CH624" t="str">
        <f t="shared" si="378"/>
        <v/>
      </c>
      <c r="CI624" t="str">
        <f t="shared" si="397"/>
        <v/>
      </c>
      <c r="CJ624" t="str">
        <f t="shared" si="406"/>
        <v/>
      </c>
    </row>
    <row r="625" spans="2:88" x14ac:dyDescent="0.3">
      <c r="B625" t="str">
        <f t="shared" si="398"/>
        <v>36.825953-76.12262</v>
      </c>
      <c r="C625" t="s">
        <v>149</v>
      </c>
      <c r="D625">
        <v>36.825952999999998</v>
      </c>
      <c r="E625">
        <v>-76.122619999999998</v>
      </c>
      <c r="F625">
        <v>5</v>
      </c>
      <c r="G625" t="str">
        <f t="shared" si="399"/>
        <v>-5-736.825953-76.12262</v>
      </c>
      <c r="H625">
        <v>-5</v>
      </c>
      <c r="I625">
        <f t="shared" si="412"/>
        <v>-7</v>
      </c>
      <c r="J625" s="30" t="s">
        <v>21</v>
      </c>
      <c r="L625" t="s">
        <v>17</v>
      </c>
      <c r="M625">
        <v>8</v>
      </c>
      <c r="S625" t="str">
        <f t="shared" si="411"/>
        <v>Sand</v>
      </c>
      <c r="T625">
        <f t="shared" si="400"/>
        <v>1</v>
      </c>
      <c r="AA625">
        <v>80</v>
      </c>
      <c r="AB625" s="1">
        <f t="shared" si="407"/>
        <v>11</v>
      </c>
      <c r="AC625">
        <f t="shared" si="408"/>
        <v>13</v>
      </c>
      <c r="AD625" t="str">
        <f t="shared" si="401"/>
        <v/>
      </c>
      <c r="AG625" s="21" t="str">
        <f t="shared" si="379"/>
        <v/>
      </c>
      <c r="AI625" s="6" t="str">
        <f t="shared" si="380"/>
        <v/>
      </c>
      <c r="AM625" s="7" t="str">
        <f t="shared" si="381"/>
        <v/>
      </c>
      <c r="AQ625" s="8" t="str">
        <f t="shared" si="382"/>
        <v/>
      </c>
      <c r="AW625" s="25" t="str">
        <f t="shared" si="383"/>
        <v/>
      </c>
      <c r="AZ625" s="12" t="str">
        <f t="shared" si="384"/>
        <v/>
      </c>
      <c r="BI625" s="17" t="str">
        <f t="shared" si="385"/>
        <v/>
      </c>
      <c r="BM625" t="str">
        <f t="shared" si="386"/>
        <v>SPT Relationship</v>
      </c>
      <c r="BN625">
        <f t="shared" si="374"/>
        <v>116</v>
      </c>
      <c r="BO625" t="str">
        <f t="shared" si="387"/>
        <v>Wolff, 1989</v>
      </c>
      <c r="BP625">
        <f t="shared" si="409"/>
        <v>30</v>
      </c>
      <c r="BQ625" t="str">
        <f t="shared" si="388"/>
        <v/>
      </c>
      <c r="BR625" t="str">
        <f t="shared" si="402"/>
        <v/>
      </c>
      <c r="BS625" t="str">
        <f t="shared" si="389"/>
        <v/>
      </c>
      <c r="BT625" t="str">
        <f t="shared" si="410"/>
        <v/>
      </c>
      <c r="BU625" t="str">
        <f t="shared" si="390"/>
        <v/>
      </c>
      <c r="BV625" t="str">
        <f t="shared" si="403"/>
        <v/>
      </c>
      <c r="BW625" t="str">
        <f t="shared" si="391"/>
        <v/>
      </c>
      <c r="BX625" t="str">
        <f t="shared" si="404"/>
        <v/>
      </c>
      <c r="BY625" t="str">
        <f t="shared" si="392"/>
        <v/>
      </c>
      <c r="BZ625" t="str">
        <f t="shared" si="405"/>
        <v/>
      </c>
      <c r="CA625" t="str">
        <f t="shared" si="393"/>
        <v/>
      </c>
      <c r="CB625" t="str">
        <f t="shared" si="375"/>
        <v/>
      </c>
      <c r="CC625" t="str">
        <f t="shared" si="394"/>
        <v/>
      </c>
      <c r="CD625" t="str">
        <f t="shared" si="376"/>
        <v/>
      </c>
      <c r="CE625" t="str">
        <f t="shared" si="395"/>
        <v>Bowles 5th edition</v>
      </c>
      <c r="CF625">
        <f t="shared" si="377"/>
        <v>166</v>
      </c>
      <c r="CG625" t="str">
        <f t="shared" si="396"/>
        <v/>
      </c>
      <c r="CH625" t="str">
        <f t="shared" si="378"/>
        <v/>
      </c>
      <c r="CI625" t="str">
        <f t="shared" si="397"/>
        <v/>
      </c>
      <c r="CJ625" t="str">
        <f t="shared" si="406"/>
        <v/>
      </c>
    </row>
    <row r="626" spans="2:88" x14ac:dyDescent="0.3">
      <c r="B626" t="str">
        <f t="shared" si="398"/>
        <v>36.825953-76.12262</v>
      </c>
      <c r="C626" t="s">
        <v>149</v>
      </c>
      <c r="D626">
        <v>36.825952999999998</v>
      </c>
      <c r="E626">
        <v>-76.122619999999998</v>
      </c>
      <c r="F626">
        <v>5</v>
      </c>
      <c r="G626" t="str">
        <f t="shared" si="399"/>
        <v>-8-1036.825953-76.12262</v>
      </c>
      <c r="H626">
        <v>-8</v>
      </c>
      <c r="I626">
        <f t="shared" si="412"/>
        <v>-10</v>
      </c>
      <c r="J626" s="30" t="s">
        <v>21</v>
      </c>
      <c r="L626" t="s">
        <v>10</v>
      </c>
      <c r="M626">
        <v>28</v>
      </c>
      <c r="S626" t="str">
        <f t="shared" si="411"/>
        <v>Sand</v>
      </c>
      <c r="T626">
        <f t="shared" si="400"/>
        <v>1</v>
      </c>
      <c r="AA626">
        <v>80</v>
      </c>
      <c r="AB626" s="1">
        <f t="shared" si="407"/>
        <v>37</v>
      </c>
      <c r="AC626">
        <f t="shared" si="408"/>
        <v>41</v>
      </c>
      <c r="AD626" t="str">
        <f t="shared" si="401"/>
        <v/>
      </c>
      <c r="AG626" s="21" t="str">
        <f t="shared" si="379"/>
        <v/>
      </c>
      <c r="AI626" s="6" t="str">
        <f t="shared" si="380"/>
        <v/>
      </c>
      <c r="AM626" s="7" t="str">
        <f t="shared" si="381"/>
        <v/>
      </c>
      <c r="AQ626" s="8" t="str">
        <f t="shared" si="382"/>
        <v/>
      </c>
      <c r="AW626" s="25" t="str">
        <f t="shared" si="383"/>
        <v/>
      </c>
      <c r="AZ626" s="12" t="str">
        <f t="shared" si="384"/>
        <v/>
      </c>
      <c r="BI626" s="17" t="str">
        <f t="shared" si="385"/>
        <v/>
      </c>
      <c r="BM626" t="str">
        <f t="shared" si="386"/>
        <v>SPT Relationship</v>
      </c>
      <c r="BN626">
        <f t="shared" si="374"/>
        <v>130</v>
      </c>
      <c r="BO626" t="str">
        <f t="shared" si="387"/>
        <v>Wolff, 1989</v>
      </c>
      <c r="BP626">
        <f t="shared" si="409"/>
        <v>38</v>
      </c>
      <c r="BQ626" t="str">
        <f t="shared" si="388"/>
        <v/>
      </c>
      <c r="BR626" t="str">
        <f t="shared" si="402"/>
        <v/>
      </c>
      <c r="BS626" t="str">
        <f t="shared" si="389"/>
        <v/>
      </c>
      <c r="BT626" t="str">
        <f t="shared" si="410"/>
        <v/>
      </c>
      <c r="BU626" t="str">
        <f t="shared" si="390"/>
        <v/>
      </c>
      <c r="BV626" t="str">
        <f t="shared" si="403"/>
        <v/>
      </c>
      <c r="BW626" t="str">
        <f t="shared" si="391"/>
        <v/>
      </c>
      <c r="BX626" t="str">
        <f t="shared" si="404"/>
        <v/>
      </c>
      <c r="BY626" t="str">
        <f t="shared" si="392"/>
        <v/>
      </c>
      <c r="BZ626" t="str">
        <f t="shared" si="405"/>
        <v/>
      </c>
      <c r="CA626" t="str">
        <f t="shared" si="393"/>
        <v/>
      </c>
      <c r="CB626" t="str">
        <f t="shared" si="375"/>
        <v/>
      </c>
      <c r="CC626" t="str">
        <f t="shared" si="394"/>
        <v/>
      </c>
      <c r="CD626" t="str">
        <f t="shared" si="376"/>
        <v/>
      </c>
      <c r="CE626" t="str">
        <f t="shared" si="395"/>
        <v>Bowles 5th edition</v>
      </c>
      <c r="CF626">
        <f t="shared" si="377"/>
        <v>333</v>
      </c>
      <c r="CG626" t="str">
        <f t="shared" si="396"/>
        <v/>
      </c>
      <c r="CH626" t="str">
        <f t="shared" si="378"/>
        <v/>
      </c>
      <c r="CI626" t="str">
        <f t="shared" si="397"/>
        <v/>
      </c>
      <c r="CJ626" t="str">
        <f t="shared" si="406"/>
        <v/>
      </c>
    </row>
    <row r="627" spans="2:88" x14ac:dyDescent="0.3">
      <c r="B627" t="str">
        <f t="shared" si="398"/>
        <v>36.825953-76.12262</v>
      </c>
      <c r="C627" t="s">
        <v>149</v>
      </c>
      <c r="D627">
        <v>36.825952999999998</v>
      </c>
      <c r="E627">
        <v>-76.122619999999998</v>
      </c>
      <c r="F627">
        <v>5</v>
      </c>
      <c r="G627" t="str">
        <f t="shared" si="399"/>
        <v>-13-1536.825953-76.12262</v>
      </c>
      <c r="H627">
        <v>-13</v>
      </c>
      <c r="I627">
        <f t="shared" si="412"/>
        <v>-15</v>
      </c>
      <c r="J627" s="30" t="s">
        <v>21</v>
      </c>
      <c r="L627" t="s">
        <v>17</v>
      </c>
      <c r="M627">
        <v>7</v>
      </c>
      <c r="S627" t="str">
        <f t="shared" si="411"/>
        <v>Sand</v>
      </c>
      <c r="T627">
        <f t="shared" si="400"/>
        <v>1</v>
      </c>
      <c r="AA627">
        <v>80</v>
      </c>
      <c r="AB627" s="1">
        <f t="shared" si="407"/>
        <v>9</v>
      </c>
      <c r="AC627">
        <f t="shared" si="408"/>
        <v>8</v>
      </c>
      <c r="AD627" t="str">
        <f t="shared" si="401"/>
        <v/>
      </c>
      <c r="AG627" s="21" t="str">
        <f t="shared" si="379"/>
        <v/>
      </c>
      <c r="AI627" s="6" t="str">
        <f t="shared" si="380"/>
        <v/>
      </c>
      <c r="AM627" s="7" t="str">
        <f t="shared" si="381"/>
        <v/>
      </c>
      <c r="AQ627" s="8" t="str">
        <f t="shared" si="382"/>
        <v/>
      </c>
      <c r="AW627" s="25" t="str">
        <f t="shared" si="383"/>
        <v/>
      </c>
      <c r="AZ627" s="12" t="str">
        <f t="shared" si="384"/>
        <v/>
      </c>
      <c r="BI627" s="17" t="str">
        <f t="shared" si="385"/>
        <v/>
      </c>
      <c r="BM627" t="str">
        <f t="shared" si="386"/>
        <v>SPT Relationship</v>
      </c>
      <c r="BN627">
        <f t="shared" si="374"/>
        <v>114</v>
      </c>
      <c r="BO627" t="str">
        <f t="shared" si="387"/>
        <v>Wolff, 1989</v>
      </c>
      <c r="BP627">
        <f t="shared" si="409"/>
        <v>29</v>
      </c>
      <c r="BQ627" t="str">
        <f t="shared" si="388"/>
        <v/>
      </c>
      <c r="BR627" t="str">
        <f t="shared" si="402"/>
        <v/>
      </c>
      <c r="BS627" t="str">
        <f t="shared" si="389"/>
        <v/>
      </c>
      <c r="BT627" t="str">
        <f t="shared" si="410"/>
        <v/>
      </c>
      <c r="BU627" t="str">
        <f t="shared" si="390"/>
        <v/>
      </c>
      <c r="BV627" t="str">
        <f t="shared" si="403"/>
        <v/>
      </c>
      <c r="BW627" t="str">
        <f t="shared" si="391"/>
        <v/>
      </c>
      <c r="BX627" t="str">
        <f t="shared" si="404"/>
        <v/>
      </c>
      <c r="BY627" t="str">
        <f t="shared" si="392"/>
        <v/>
      </c>
      <c r="BZ627" t="str">
        <f t="shared" si="405"/>
        <v/>
      </c>
      <c r="CA627" t="str">
        <f t="shared" si="393"/>
        <v/>
      </c>
      <c r="CB627" t="str">
        <f t="shared" si="375"/>
        <v/>
      </c>
      <c r="CC627" t="str">
        <f t="shared" si="394"/>
        <v/>
      </c>
      <c r="CD627" t="str">
        <f t="shared" si="376"/>
        <v/>
      </c>
      <c r="CE627" t="str">
        <f t="shared" si="395"/>
        <v>Bowles 5th edition</v>
      </c>
      <c r="CF627">
        <f t="shared" si="377"/>
        <v>154</v>
      </c>
      <c r="CG627" t="str">
        <f t="shared" si="396"/>
        <v/>
      </c>
      <c r="CH627" t="str">
        <f t="shared" si="378"/>
        <v/>
      </c>
      <c r="CI627" t="str">
        <f t="shared" si="397"/>
        <v/>
      </c>
      <c r="CJ627" t="str">
        <f t="shared" si="406"/>
        <v/>
      </c>
    </row>
    <row r="628" spans="2:88" x14ac:dyDescent="0.3">
      <c r="B628" t="str">
        <f t="shared" si="398"/>
        <v>36.825953-76.12262</v>
      </c>
      <c r="C628" t="s">
        <v>149</v>
      </c>
      <c r="D628">
        <v>36.825952999999998</v>
      </c>
      <c r="E628">
        <v>-76.122619999999998</v>
      </c>
      <c r="F628">
        <v>5</v>
      </c>
      <c r="G628" t="str">
        <f t="shared" si="399"/>
        <v>-18-2036.825953-76.12262</v>
      </c>
      <c r="H628">
        <v>-18</v>
      </c>
      <c r="I628">
        <f t="shared" si="412"/>
        <v>-20</v>
      </c>
      <c r="J628" s="30" t="s">
        <v>21</v>
      </c>
      <c r="L628" t="s">
        <v>17</v>
      </c>
      <c r="M628">
        <v>2</v>
      </c>
      <c r="S628" t="str">
        <f t="shared" si="411"/>
        <v>Sand</v>
      </c>
      <c r="T628">
        <f t="shared" si="400"/>
        <v>1</v>
      </c>
      <c r="AA628">
        <v>80</v>
      </c>
      <c r="AB628" s="1">
        <f t="shared" si="407"/>
        <v>3</v>
      </c>
      <c r="AC628">
        <f t="shared" si="408"/>
        <v>2</v>
      </c>
      <c r="AD628" t="str">
        <f t="shared" si="401"/>
        <v/>
      </c>
      <c r="AG628" s="21" t="str">
        <f t="shared" si="379"/>
        <v/>
      </c>
      <c r="AI628" s="6" t="str">
        <f t="shared" si="380"/>
        <v/>
      </c>
      <c r="AM628" s="7" t="str">
        <f t="shared" si="381"/>
        <v/>
      </c>
      <c r="AQ628" s="8" t="str">
        <f t="shared" si="382"/>
        <v/>
      </c>
      <c r="AW628" s="25" t="str">
        <f t="shared" si="383"/>
        <v/>
      </c>
      <c r="AZ628" s="12" t="str">
        <f t="shared" si="384"/>
        <v/>
      </c>
      <c r="BI628" s="17" t="str">
        <f t="shared" si="385"/>
        <v/>
      </c>
      <c r="BM628" t="str">
        <f t="shared" si="386"/>
        <v>SPT Relationship</v>
      </c>
      <c r="BN628">
        <f t="shared" si="374"/>
        <v>101</v>
      </c>
      <c r="BO628" t="str">
        <f t="shared" si="387"/>
        <v>Wolff, 1989</v>
      </c>
      <c r="BP628">
        <f t="shared" si="409"/>
        <v>27</v>
      </c>
      <c r="BQ628" t="str">
        <f t="shared" si="388"/>
        <v/>
      </c>
      <c r="BR628" t="str">
        <f t="shared" si="402"/>
        <v/>
      </c>
      <c r="BS628" t="str">
        <f t="shared" si="389"/>
        <v/>
      </c>
      <c r="BT628" t="str">
        <f t="shared" si="410"/>
        <v/>
      </c>
      <c r="BU628" t="str">
        <f t="shared" si="390"/>
        <v/>
      </c>
      <c r="BV628" t="str">
        <f t="shared" si="403"/>
        <v/>
      </c>
      <c r="BW628" t="str">
        <f t="shared" si="391"/>
        <v/>
      </c>
      <c r="BX628" t="str">
        <f t="shared" si="404"/>
        <v/>
      </c>
      <c r="BY628" t="str">
        <f t="shared" si="392"/>
        <v/>
      </c>
      <c r="BZ628" t="str">
        <f t="shared" si="405"/>
        <v/>
      </c>
      <c r="CA628" t="str">
        <f t="shared" si="393"/>
        <v/>
      </c>
      <c r="CB628" t="str">
        <f t="shared" si="375"/>
        <v/>
      </c>
      <c r="CC628" t="str">
        <f t="shared" si="394"/>
        <v/>
      </c>
      <c r="CD628" t="str">
        <f t="shared" si="376"/>
        <v/>
      </c>
      <c r="CE628" t="str">
        <f t="shared" si="395"/>
        <v>Bowles 5th edition</v>
      </c>
      <c r="CF628">
        <f t="shared" si="377"/>
        <v>115</v>
      </c>
      <c r="CG628" t="str">
        <f t="shared" si="396"/>
        <v/>
      </c>
      <c r="CH628" t="str">
        <f t="shared" si="378"/>
        <v/>
      </c>
      <c r="CI628" t="str">
        <f t="shared" si="397"/>
        <v/>
      </c>
      <c r="CJ628" t="str">
        <f t="shared" si="406"/>
        <v/>
      </c>
    </row>
    <row r="629" spans="2:88" x14ac:dyDescent="0.3">
      <c r="B629" t="str">
        <f t="shared" si="398"/>
        <v>36.825953-76.12262</v>
      </c>
      <c r="C629" t="s">
        <v>149</v>
      </c>
      <c r="D629">
        <v>36.825952999999998</v>
      </c>
      <c r="E629">
        <v>-76.122619999999998</v>
      </c>
      <c r="F629">
        <v>5</v>
      </c>
      <c r="G629" t="str">
        <f t="shared" si="399"/>
        <v>-23-2536.825953-76.12262</v>
      </c>
      <c r="H629">
        <v>-23</v>
      </c>
      <c r="I629">
        <f t="shared" si="412"/>
        <v>-25</v>
      </c>
      <c r="J629" s="30" t="s">
        <v>21</v>
      </c>
      <c r="L629" t="s">
        <v>17</v>
      </c>
      <c r="M629">
        <v>2</v>
      </c>
      <c r="S629" t="str">
        <f t="shared" si="411"/>
        <v>Sand</v>
      </c>
      <c r="T629">
        <f t="shared" si="400"/>
        <v>1</v>
      </c>
      <c r="AA629">
        <v>80</v>
      </c>
      <c r="AB629" s="1">
        <f t="shared" si="407"/>
        <v>3</v>
      </c>
      <c r="AC629">
        <f t="shared" si="408"/>
        <v>2</v>
      </c>
      <c r="AD629" t="str">
        <f t="shared" si="401"/>
        <v/>
      </c>
      <c r="AG629" s="21" t="str">
        <f t="shared" si="379"/>
        <v/>
      </c>
      <c r="AI629" s="6" t="str">
        <f t="shared" si="380"/>
        <v/>
      </c>
      <c r="AM629" s="7" t="str">
        <f t="shared" si="381"/>
        <v/>
      </c>
      <c r="AQ629" s="8" t="str">
        <f t="shared" si="382"/>
        <v/>
      </c>
      <c r="AW629" s="25" t="str">
        <f t="shared" si="383"/>
        <v/>
      </c>
      <c r="AZ629" s="12" t="str">
        <f t="shared" si="384"/>
        <v/>
      </c>
      <c r="BI629" s="17" t="str">
        <f t="shared" si="385"/>
        <v/>
      </c>
      <c r="BM629" t="str">
        <f t="shared" si="386"/>
        <v>SPT Relationship</v>
      </c>
      <c r="BN629">
        <f t="shared" si="374"/>
        <v>101</v>
      </c>
      <c r="BO629" t="str">
        <f t="shared" si="387"/>
        <v>Wolff, 1989</v>
      </c>
      <c r="BP629">
        <f t="shared" si="409"/>
        <v>27</v>
      </c>
      <c r="BQ629" t="str">
        <f t="shared" si="388"/>
        <v/>
      </c>
      <c r="BR629" t="str">
        <f t="shared" si="402"/>
        <v/>
      </c>
      <c r="BS629" t="str">
        <f t="shared" si="389"/>
        <v/>
      </c>
      <c r="BT629" t="str">
        <f t="shared" si="410"/>
        <v/>
      </c>
      <c r="BU629" t="str">
        <f t="shared" si="390"/>
        <v/>
      </c>
      <c r="BV629" t="str">
        <f t="shared" si="403"/>
        <v/>
      </c>
      <c r="BW629" t="str">
        <f t="shared" si="391"/>
        <v/>
      </c>
      <c r="BX629" t="str">
        <f t="shared" si="404"/>
        <v/>
      </c>
      <c r="BY629" t="str">
        <f t="shared" si="392"/>
        <v/>
      </c>
      <c r="BZ629" t="str">
        <f t="shared" si="405"/>
        <v/>
      </c>
      <c r="CA629" t="str">
        <f t="shared" si="393"/>
        <v/>
      </c>
      <c r="CB629" t="str">
        <f t="shared" si="375"/>
        <v/>
      </c>
      <c r="CC629" t="str">
        <f t="shared" si="394"/>
        <v/>
      </c>
      <c r="CD629" t="str">
        <f t="shared" si="376"/>
        <v/>
      </c>
      <c r="CE629" t="str">
        <f t="shared" si="395"/>
        <v>Bowles 5th edition</v>
      </c>
      <c r="CF629">
        <f t="shared" si="377"/>
        <v>115</v>
      </c>
      <c r="CG629" t="str">
        <f t="shared" si="396"/>
        <v/>
      </c>
      <c r="CH629" t="str">
        <f t="shared" si="378"/>
        <v/>
      </c>
      <c r="CI629" t="str">
        <f t="shared" si="397"/>
        <v/>
      </c>
      <c r="CJ629" t="str">
        <f t="shared" si="406"/>
        <v/>
      </c>
    </row>
    <row r="630" spans="2:88" x14ac:dyDescent="0.3">
      <c r="B630" t="str">
        <f t="shared" si="398"/>
        <v>36.825953-76.12262</v>
      </c>
      <c r="C630" t="s">
        <v>149</v>
      </c>
      <c r="D630">
        <v>36.825952999999998</v>
      </c>
      <c r="E630">
        <v>-76.122619999999998</v>
      </c>
      <c r="F630">
        <v>5</v>
      </c>
      <c r="G630" t="str">
        <f t="shared" si="399"/>
        <v>-28-3036.825953-76.12262</v>
      </c>
      <c r="H630">
        <v>-28</v>
      </c>
      <c r="I630">
        <f t="shared" si="412"/>
        <v>-30</v>
      </c>
      <c r="J630" s="30" t="s">
        <v>21</v>
      </c>
      <c r="L630" t="s">
        <v>113</v>
      </c>
      <c r="M630">
        <v>0</v>
      </c>
      <c r="N630">
        <v>43</v>
      </c>
      <c r="O630">
        <v>19</v>
      </c>
      <c r="P630">
        <v>51</v>
      </c>
      <c r="Q630">
        <f>P630-O630</f>
        <v>32</v>
      </c>
      <c r="R630">
        <v>79</v>
      </c>
      <c r="S630" t="str">
        <f t="shared" si="411"/>
        <v>Clay</v>
      </c>
      <c r="T630">
        <f t="shared" si="400"/>
        <v>2</v>
      </c>
      <c r="AA630">
        <v>80</v>
      </c>
      <c r="AB630" s="1">
        <f t="shared" si="407"/>
        <v>0</v>
      </c>
      <c r="AC630">
        <f t="shared" si="408"/>
        <v>0</v>
      </c>
      <c r="AD630">
        <f t="shared" si="401"/>
        <v>0.75</v>
      </c>
      <c r="AG630" s="21" t="str">
        <f t="shared" si="379"/>
        <v/>
      </c>
      <c r="AI630" s="6" t="str">
        <f t="shared" si="380"/>
        <v/>
      </c>
      <c r="AM630" s="7" t="str">
        <f t="shared" si="381"/>
        <v/>
      </c>
      <c r="AQ630" s="8" t="str">
        <f t="shared" si="382"/>
        <v/>
      </c>
      <c r="AW630" s="25" t="str">
        <f t="shared" si="383"/>
        <v/>
      </c>
      <c r="AZ630" s="12" t="str">
        <f t="shared" si="384"/>
        <v/>
      </c>
      <c r="BI630" s="17" t="str">
        <f t="shared" si="385"/>
        <v/>
      </c>
      <c r="BM630" t="str">
        <f t="shared" si="386"/>
        <v>SPT Relationship</v>
      </c>
      <c r="BN630">
        <f t="shared" si="374"/>
        <v>95</v>
      </c>
      <c r="BO630" t="str">
        <f t="shared" si="387"/>
        <v>Wolff, 1989</v>
      </c>
      <c r="BP630">
        <f t="shared" si="409"/>
        <v>27</v>
      </c>
      <c r="BQ630" t="str">
        <f t="shared" si="388"/>
        <v>GTENG-2476</v>
      </c>
      <c r="BR630">
        <f t="shared" si="402"/>
        <v>21</v>
      </c>
      <c r="BS630" t="str">
        <f t="shared" si="389"/>
        <v>Stroud 1974 (K=3.5)</v>
      </c>
      <c r="BT630">
        <f t="shared" si="410"/>
        <v>0</v>
      </c>
      <c r="BU630" t="str">
        <f t="shared" si="390"/>
        <v>Kulhawy and Mayne 1990</v>
      </c>
      <c r="BV630">
        <f t="shared" si="403"/>
        <v>0.432</v>
      </c>
      <c r="BW630" t="str">
        <f t="shared" si="391"/>
        <v>Kulhawy and Mayne 1990</v>
      </c>
      <c r="BX630">
        <f t="shared" si="404"/>
        <v>8.5999999999999993E-2</v>
      </c>
      <c r="BY630" t="str">
        <f t="shared" si="392"/>
        <v>Mesri 1990</v>
      </c>
      <c r="BZ630">
        <f t="shared" si="405"/>
        <v>1.2999999999999999E-2</v>
      </c>
      <c r="CA630" t="str">
        <f t="shared" si="393"/>
        <v>NAVFAC Vol. 7.1 Figure 4</v>
      </c>
      <c r="CB630">
        <f t="shared" si="375"/>
        <v>-4.8356960200000021E-2</v>
      </c>
      <c r="CC630" t="str">
        <f t="shared" si="394"/>
        <v>Stas and Kulhawy 1984</v>
      </c>
      <c r="CD630">
        <f t="shared" si="376"/>
        <v>1639.9987235496724</v>
      </c>
      <c r="CE630" t="str">
        <f t="shared" si="395"/>
        <v/>
      </c>
      <c r="CF630" t="str">
        <f t="shared" si="377"/>
        <v/>
      </c>
      <c r="CG630" t="str">
        <f t="shared" si="396"/>
        <v>Relationship (Gs=2.67)</v>
      </c>
      <c r="CH630">
        <f t="shared" si="378"/>
        <v>1.1499999999999999</v>
      </c>
      <c r="CI630" t="str">
        <f t="shared" si="397"/>
        <v/>
      </c>
      <c r="CJ630" t="str">
        <f t="shared" si="406"/>
        <v/>
      </c>
    </row>
    <row r="631" spans="2:88" x14ac:dyDescent="0.3">
      <c r="B631" t="str">
        <f t="shared" si="398"/>
        <v>36.825953-76.12262</v>
      </c>
      <c r="C631" t="s">
        <v>149</v>
      </c>
      <c r="D631">
        <v>36.825952999999998</v>
      </c>
      <c r="E631">
        <v>-76.122619999999998</v>
      </c>
      <c r="F631">
        <v>5</v>
      </c>
      <c r="G631" t="str">
        <f t="shared" si="399"/>
        <v>-33-3536.825953-76.12262</v>
      </c>
      <c r="H631">
        <v>-33</v>
      </c>
      <c r="I631">
        <f t="shared" si="412"/>
        <v>-35</v>
      </c>
      <c r="J631" s="30" t="s">
        <v>21</v>
      </c>
      <c r="L631" t="s">
        <v>113</v>
      </c>
      <c r="M631">
        <v>3</v>
      </c>
      <c r="S631" t="str">
        <f t="shared" si="411"/>
        <v>Clay</v>
      </c>
      <c r="T631">
        <f t="shared" si="400"/>
        <v>1</v>
      </c>
      <c r="AA631">
        <v>80</v>
      </c>
      <c r="AB631" s="1">
        <f t="shared" si="407"/>
        <v>4</v>
      </c>
      <c r="AC631">
        <f t="shared" si="408"/>
        <v>2</v>
      </c>
      <c r="AD631" t="str">
        <f t="shared" si="401"/>
        <v/>
      </c>
      <c r="AG631" s="21" t="str">
        <f t="shared" si="379"/>
        <v/>
      </c>
      <c r="AI631" s="6" t="str">
        <f t="shared" si="380"/>
        <v/>
      </c>
      <c r="AM631" s="7" t="str">
        <f t="shared" si="381"/>
        <v/>
      </c>
      <c r="AQ631" s="8" t="str">
        <f t="shared" si="382"/>
        <v/>
      </c>
      <c r="AW631" s="25" t="str">
        <f t="shared" si="383"/>
        <v/>
      </c>
      <c r="AZ631" s="12" t="str">
        <f t="shared" si="384"/>
        <v/>
      </c>
      <c r="BI631" s="17" t="str">
        <f t="shared" si="385"/>
        <v/>
      </c>
      <c r="BM631" t="str">
        <f t="shared" si="386"/>
        <v>SPT Relationship</v>
      </c>
      <c r="BN631">
        <f t="shared" si="374"/>
        <v>105</v>
      </c>
      <c r="BO631" t="str">
        <f t="shared" si="387"/>
        <v>Wolff, 1989</v>
      </c>
      <c r="BP631">
        <f t="shared" si="409"/>
        <v>27</v>
      </c>
      <c r="BQ631" t="str">
        <f t="shared" si="388"/>
        <v/>
      </c>
      <c r="BR631" t="str">
        <f t="shared" si="402"/>
        <v/>
      </c>
      <c r="BS631" t="str">
        <f t="shared" si="389"/>
        <v>Stroud 1974 (K=3.5)</v>
      </c>
      <c r="BT631">
        <f t="shared" si="410"/>
        <v>292</v>
      </c>
      <c r="BU631" t="str">
        <f t="shared" si="390"/>
        <v/>
      </c>
      <c r="BV631" t="str">
        <f t="shared" si="403"/>
        <v/>
      </c>
      <c r="BW631" t="str">
        <f t="shared" si="391"/>
        <v/>
      </c>
      <c r="BX631" t="str">
        <f t="shared" si="404"/>
        <v/>
      </c>
      <c r="BY631" t="str">
        <f t="shared" si="392"/>
        <v/>
      </c>
      <c r="BZ631" t="str">
        <f t="shared" si="405"/>
        <v/>
      </c>
      <c r="CA631" t="str">
        <f t="shared" si="393"/>
        <v/>
      </c>
      <c r="CB631" t="str">
        <f t="shared" si="375"/>
        <v/>
      </c>
      <c r="CC631" t="str">
        <f t="shared" si="394"/>
        <v/>
      </c>
      <c r="CD631" t="str">
        <f t="shared" si="376"/>
        <v/>
      </c>
      <c r="CE631" t="str">
        <f t="shared" si="395"/>
        <v/>
      </c>
      <c r="CF631" t="str">
        <f t="shared" si="377"/>
        <v/>
      </c>
      <c r="CG631" t="str">
        <f t="shared" si="396"/>
        <v/>
      </c>
      <c r="CH631" t="str">
        <f t="shared" si="378"/>
        <v/>
      </c>
      <c r="CI631" t="str">
        <f t="shared" si="397"/>
        <v/>
      </c>
      <c r="CJ631" t="str">
        <f t="shared" si="406"/>
        <v/>
      </c>
    </row>
    <row r="632" spans="2:88" x14ac:dyDescent="0.3">
      <c r="B632" t="str">
        <f t="shared" si="398"/>
        <v>36.825953-76.12262</v>
      </c>
      <c r="C632" t="s">
        <v>149</v>
      </c>
      <c r="D632">
        <v>36.825952999999998</v>
      </c>
      <c r="E632">
        <v>-76.122619999999998</v>
      </c>
      <c r="F632">
        <v>5</v>
      </c>
      <c r="G632" t="str">
        <f t="shared" si="399"/>
        <v>-38-4036.825953-76.12262</v>
      </c>
      <c r="H632">
        <v>-38</v>
      </c>
      <c r="I632">
        <f t="shared" si="412"/>
        <v>-40</v>
      </c>
      <c r="J632" s="30" t="s">
        <v>21</v>
      </c>
      <c r="L632" t="s">
        <v>113</v>
      </c>
      <c r="M632">
        <v>2</v>
      </c>
      <c r="S632" t="str">
        <f t="shared" si="411"/>
        <v>Clay</v>
      </c>
      <c r="T632">
        <f t="shared" si="400"/>
        <v>1</v>
      </c>
      <c r="AA632">
        <v>80</v>
      </c>
      <c r="AB632" s="1">
        <f t="shared" si="407"/>
        <v>3</v>
      </c>
      <c r="AC632">
        <f t="shared" si="408"/>
        <v>1</v>
      </c>
      <c r="AD632" t="str">
        <f t="shared" si="401"/>
        <v/>
      </c>
      <c r="AG632" s="21" t="str">
        <f t="shared" si="379"/>
        <v/>
      </c>
      <c r="AI632" s="6" t="str">
        <f t="shared" si="380"/>
        <v/>
      </c>
      <c r="AM632" s="7" t="str">
        <f t="shared" si="381"/>
        <v/>
      </c>
      <c r="AQ632" s="8" t="str">
        <f t="shared" si="382"/>
        <v/>
      </c>
      <c r="AW632" s="25" t="str">
        <f t="shared" si="383"/>
        <v/>
      </c>
      <c r="AZ632" s="12" t="str">
        <f t="shared" si="384"/>
        <v/>
      </c>
      <c r="BI632" s="17" t="str">
        <f t="shared" si="385"/>
        <v/>
      </c>
      <c r="BM632" t="str">
        <f t="shared" si="386"/>
        <v>SPT Relationship</v>
      </c>
      <c r="BN632">
        <f t="shared" si="374"/>
        <v>101</v>
      </c>
      <c r="BO632" t="str">
        <f t="shared" si="387"/>
        <v>Wolff, 1989</v>
      </c>
      <c r="BP632">
        <f t="shared" si="409"/>
        <v>27</v>
      </c>
      <c r="BQ632" t="str">
        <f t="shared" si="388"/>
        <v/>
      </c>
      <c r="BR632" t="str">
        <f t="shared" si="402"/>
        <v/>
      </c>
      <c r="BS632" t="str">
        <f t="shared" si="389"/>
        <v>Stroud 1974 (K=3.5)</v>
      </c>
      <c r="BT632">
        <f t="shared" si="410"/>
        <v>219</v>
      </c>
      <c r="BU632" t="str">
        <f t="shared" si="390"/>
        <v/>
      </c>
      <c r="BV632" t="str">
        <f t="shared" si="403"/>
        <v/>
      </c>
      <c r="BW632" t="str">
        <f t="shared" si="391"/>
        <v/>
      </c>
      <c r="BX632" t="str">
        <f t="shared" si="404"/>
        <v/>
      </c>
      <c r="BY632" t="str">
        <f t="shared" si="392"/>
        <v/>
      </c>
      <c r="BZ632" t="str">
        <f t="shared" si="405"/>
        <v/>
      </c>
      <c r="CA632" t="str">
        <f t="shared" si="393"/>
        <v/>
      </c>
      <c r="CB632" t="str">
        <f t="shared" si="375"/>
        <v/>
      </c>
      <c r="CC632" t="str">
        <f t="shared" si="394"/>
        <v/>
      </c>
      <c r="CD632" t="str">
        <f t="shared" si="376"/>
        <v/>
      </c>
      <c r="CE632" t="str">
        <f t="shared" si="395"/>
        <v/>
      </c>
      <c r="CF632" t="str">
        <f t="shared" si="377"/>
        <v/>
      </c>
      <c r="CG632" t="str">
        <f t="shared" si="396"/>
        <v/>
      </c>
      <c r="CH632" t="str">
        <f t="shared" si="378"/>
        <v/>
      </c>
      <c r="CI632" t="str">
        <f t="shared" si="397"/>
        <v/>
      </c>
      <c r="CJ632" t="str">
        <f t="shared" si="406"/>
        <v/>
      </c>
    </row>
    <row r="633" spans="2:88" x14ac:dyDescent="0.3">
      <c r="B633" t="str">
        <f t="shared" si="398"/>
        <v>36.825953-76.12262</v>
      </c>
      <c r="C633" t="s">
        <v>149</v>
      </c>
      <c r="D633">
        <v>36.825952999999998</v>
      </c>
      <c r="E633">
        <v>-76.122619999999998</v>
      </c>
      <c r="F633">
        <v>5</v>
      </c>
      <c r="G633" t="str">
        <f t="shared" si="399"/>
        <v>-43-4536.825953-76.12262</v>
      </c>
      <c r="H633">
        <v>-43</v>
      </c>
      <c r="I633">
        <f t="shared" si="412"/>
        <v>-45</v>
      </c>
      <c r="J633" s="30" t="s">
        <v>21</v>
      </c>
      <c r="L633" t="s">
        <v>17</v>
      </c>
      <c r="M633">
        <v>4</v>
      </c>
      <c r="S633" t="str">
        <f t="shared" si="411"/>
        <v>Sand</v>
      </c>
      <c r="T633">
        <f t="shared" si="400"/>
        <v>1</v>
      </c>
      <c r="AA633">
        <v>80</v>
      </c>
      <c r="AB633" s="1">
        <f t="shared" si="407"/>
        <v>5</v>
      </c>
      <c r="AC633">
        <f t="shared" si="408"/>
        <v>3</v>
      </c>
      <c r="AD633" t="str">
        <f t="shared" si="401"/>
        <v/>
      </c>
      <c r="AG633" s="21" t="str">
        <f t="shared" si="379"/>
        <v/>
      </c>
      <c r="AI633" s="6" t="str">
        <f t="shared" si="380"/>
        <v/>
      </c>
      <c r="AM633" s="7" t="str">
        <f t="shared" si="381"/>
        <v/>
      </c>
      <c r="AQ633" s="8" t="str">
        <f t="shared" si="382"/>
        <v/>
      </c>
      <c r="AW633" s="25" t="str">
        <f t="shared" si="383"/>
        <v/>
      </c>
      <c r="AZ633" s="12" t="str">
        <f t="shared" si="384"/>
        <v/>
      </c>
      <c r="BI633" s="17" t="str">
        <f t="shared" si="385"/>
        <v/>
      </c>
      <c r="BM633" t="str">
        <f t="shared" si="386"/>
        <v>SPT Relationship</v>
      </c>
      <c r="BN633">
        <f t="shared" si="374"/>
        <v>108</v>
      </c>
      <c r="BO633" t="str">
        <f t="shared" si="387"/>
        <v>Wolff, 1989</v>
      </c>
      <c r="BP633">
        <f t="shared" si="409"/>
        <v>27</v>
      </c>
      <c r="BQ633" t="str">
        <f t="shared" si="388"/>
        <v/>
      </c>
      <c r="BR633" t="str">
        <f t="shared" si="402"/>
        <v/>
      </c>
      <c r="BS633" t="str">
        <f t="shared" si="389"/>
        <v/>
      </c>
      <c r="BT633" t="str">
        <f t="shared" si="410"/>
        <v/>
      </c>
      <c r="BU633" t="str">
        <f t="shared" si="390"/>
        <v/>
      </c>
      <c r="BV633" t="str">
        <f t="shared" si="403"/>
        <v/>
      </c>
      <c r="BW633" t="str">
        <f t="shared" si="391"/>
        <v/>
      </c>
      <c r="BX633" t="str">
        <f t="shared" si="404"/>
        <v/>
      </c>
      <c r="BY633" t="str">
        <f t="shared" si="392"/>
        <v/>
      </c>
      <c r="BZ633" t="str">
        <f t="shared" si="405"/>
        <v/>
      </c>
      <c r="CA633" t="str">
        <f t="shared" si="393"/>
        <v/>
      </c>
      <c r="CB633" t="str">
        <f t="shared" si="375"/>
        <v/>
      </c>
      <c r="CC633" t="str">
        <f t="shared" si="394"/>
        <v/>
      </c>
      <c r="CD633" t="str">
        <f t="shared" si="376"/>
        <v/>
      </c>
      <c r="CE633" t="str">
        <f t="shared" si="395"/>
        <v>Bowles 5th edition</v>
      </c>
      <c r="CF633">
        <f t="shared" si="377"/>
        <v>128</v>
      </c>
      <c r="CG633" t="str">
        <f t="shared" si="396"/>
        <v/>
      </c>
      <c r="CH633" t="str">
        <f t="shared" si="378"/>
        <v/>
      </c>
      <c r="CI633" t="str">
        <f t="shared" si="397"/>
        <v/>
      </c>
      <c r="CJ633" t="str">
        <f t="shared" si="406"/>
        <v/>
      </c>
    </row>
    <row r="634" spans="2:88" x14ac:dyDescent="0.3">
      <c r="B634" t="str">
        <f t="shared" si="398"/>
        <v>36.827509-76.121251</v>
      </c>
      <c r="C634" t="s">
        <v>150</v>
      </c>
      <c r="D634">
        <v>36.827508999999999</v>
      </c>
      <c r="E634">
        <v>-76.121251000000001</v>
      </c>
      <c r="F634">
        <v>5</v>
      </c>
      <c r="G634" t="str">
        <f t="shared" si="399"/>
        <v>5336.827509-76.121251</v>
      </c>
      <c r="H634">
        <v>5</v>
      </c>
      <c r="I634">
        <f>H634-2</f>
        <v>3</v>
      </c>
      <c r="J634" s="30" t="s">
        <v>21</v>
      </c>
      <c r="L634" t="s">
        <v>17</v>
      </c>
      <c r="M634">
        <v>21</v>
      </c>
      <c r="S634" t="str">
        <f t="shared" si="411"/>
        <v>Sand</v>
      </c>
      <c r="T634">
        <f t="shared" si="400"/>
        <v>1</v>
      </c>
      <c r="AA634">
        <v>80</v>
      </c>
      <c r="AB634" s="1">
        <f t="shared" si="407"/>
        <v>28</v>
      </c>
      <c r="AC634">
        <f t="shared" si="408"/>
        <v>86</v>
      </c>
      <c r="AD634" t="str">
        <f t="shared" si="401"/>
        <v/>
      </c>
      <c r="AG634" s="21" t="str">
        <f t="shared" si="379"/>
        <v/>
      </c>
      <c r="AI634" s="6" t="str">
        <f t="shared" si="380"/>
        <v/>
      </c>
      <c r="AM634" s="7" t="str">
        <f t="shared" si="381"/>
        <v/>
      </c>
      <c r="AQ634" s="8" t="str">
        <f t="shared" si="382"/>
        <v/>
      </c>
      <c r="AW634" s="25" t="str">
        <f t="shared" si="383"/>
        <v/>
      </c>
      <c r="AZ634" s="12" t="str">
        <f t="shared" si="384"/>
        <v/>
      </c>
      <c r="BI634" s="17" t="str">
        <f t="shared" si="385"/>
        <v/>
      </c>
      <c r="BM634" t="str">
        <f t="shared" si="386"/>
        <v>SPT Relationship</v>
      </c>
      <c r="BN634">
        <f t="shared" si="374"/>
        <v>127</v>
      </c>
      <c r="BO634" t="str">
        <f t="shared" si="387"/>
        <v>Wolff, 1989</v>
      </c>
      <c r="BP634">
        <f t="shared" si="409"/>
        <v>48</v>
      </c>
      <c r="BQ634" t="str">
        <f t="shared" si="388"/>
        <v/>
      </c>
      <c r="BR634" t="str">
        <f t="shared" si="402"/>
        <v/>
      </c>
      <c r="BS634" t="str">
        <f t="shared" si="389"/>
        <v/>
      </c>
      <c r="BT634" t="str">
        <f t="shared" si="410"/>
        <v/>
      </c>
      <c r="BU634" t="str">
        <f t="shared" si="390"/>
        <v/>
      </c>
      <c r="BV634" t="str">
        <f t="shared" si="403"/>
        <v/>
      </c>
      <c r="BW634" t="str">
        <f t="shared" si="391"/>
        <v/>
      </c>
      <c r="BX634" t="str">
        <f t="shared" si="404"/>
        <v/>
      </c>
      <c r="BY634" t="str">
        <f t="shared" si="392"/>
        <v/>
      </c>
      <c r="BZ634" t="str">
        <f t="shared" si="405"/>
        <v/>
      </c>
      <c r="CA634" t="str">
        <f t="shared" si="393"/>
        <v/>
      </c>
      <c r="CB634" t="str">
        <f t="shared" si="375"/>
        <v/>
      </c>
      <c r="CC634" t="str">
        <f t="shared" si="394"/>
        <v/>
      </c>
      <c r="CD634" t="str">
        <f t="shared" si="376"/>
        <v/>
      </c>
      <c r="CE634" t="str">
        <f t="shared" si="395"/>
        <v>Bowles 5th edition</v>
      </c>
      <c r="CF634">
        <f t="shared" si="377"/>
        <v>275</v>
      </c>
      <c r="CG634" t="str">
        <f t="shared" si="396"/>
        <v/>
      </c>
      <c r="CH634" t="str">
        <f t="shared" si="378"/>
        <v/>
      </c>
      <c r="CI634" t="str">
        <f t="shared" si="397"/>
        <v/>
      </c>
      <c r="CJ634" t="str">
        <f t="shared" si="406"/>
        <v/>
      </c>
    </row>
    <row r="635" spans="2:88" x14ac:dyDescent="0.3">
      <c r="B635" t="str">
        <f t="shared" si="398"/>
        <v>36.827509-76.121251</v>
      </c>
      <c r="C635" t="s">
        <v>150</v>
      </c>
      <c r="D635">
        <v>36.827508999999999</v>
      </c>
      <c r="E635">
        <v>-76.121251000000001</v>
      </c>
      <c r="F635">
        <v>5</v>
      </c>
      <c r="G635" t="str">
        <f t="shared" si="399"/>
        <v>3136.827509-76.121251</v>
      </c>
      <c r="H635">
        <v>3</v>
      </c>
      <c r="I635">
        <f t="shared" si="412"/>
        <v>1</v>
      </c>
      <c r="J635" s="30" t="s">
        <v>21</v>
      </c>
      <c r="L635" t="s">
        <v>17</v>
      </c>
      <c r="M635">
        <v>11</v>
      </c>
      <c r="S635" t="str">
        <f t="shared" si="411"/>
        <v>Sand</v>
      </c>
      <c r="T635">
        <f t="shared" si="400"/>
        <v>1</v>
      </c>
      <c r="AA635">
        <v>80</v>
      </c>
      <c r="AB635" s="1">
        <f t="shared" si="407"/>
        <v>15</v>
      </c>
      <c r="AC635">
        <f t="shared" si="408"/>
        <v>32</v>
      </c>
      <c r="AD635" t="str">
        <f t="shared" si="401"/>
        <v/>
      </c>
      <c r="AG635" s="21" t="str">
        <f t="shared" si="379"/>
        <v/>
      </c>
      <c r="AI635" s="6" t="str">
        <f t="shared" si="380"/>
        <v/>
      </c>
      <c r="AM635" s="7" t="str">
        <f t="shared" si="381"/>
        <v/>
      </c>
      <c r="AQ635" s="8" t="str">
        <f t="shared" si="382"/>
        <v/>
      </c>
      <c r="AW635" s="25" t="str">
        <f t="shared" si="383"/>
        <v/>
      </c>
      <c r="AZ635" s="12" t="str">
        <f t="shared" si="384"/>
        <v/>
      </c>
      <c r="BI635" s="17" t="str">
        <f t="shared" si="385"/>
        <v/>
      </c>
      <c r="BM635" t="str">
        <f t="shared" si="386"/>
        <v>SPT Relationship</v>
      </c>
      <c r="BN635">
        <f t="shared" si="374"/>
        <v>119</v>
      </c>
      <c r="BO635" t="str">
        <f t="shared" si="387"/>
        <v>Wolff, 1989</v>
      </c>
      <c r="BP635">
        <f t="shared" si="409"/>
        <v>36</v>
      </c>
      <c r="BQ635" t="str">
        <f t="shared" si="388"/>
        <v/>
      </c>
      <c r="BR635" t="str">
        <f t="shared" si="402"/>
        <v/>
      </c>
      <c r="BS635" t="str">
        <f t="shared" si="389"/>
        <v/>
      </c>
      <c r="BT635" t="str">
        <f t="shared" si="410"/>
        <v/>
      </c>
      <c r="BU635" t="str">
        <f t="shared" si="390"/>
        <v/>
      </c>
      <c r="BV635" t="str">
        <f t="shared" si="403"/>
        <v/>
      </c>
      <c r="BW635" t="str">
        <f t="shared" si="391"/>
        <v/>
      </c>
      <c r="BX635" t="str">
        <f t="shared" si="404"/>
        <v/>
      </c>
      <c r="BY635" t="str">
        <f t="shared" si="392"/>
        <v/>
      </c>
      <c r="BZ635" t="str">
        <f t="shared" si="405"/>
        <v/>
      </c>
      <c r="CA635" t="str">
        <f t="shared" si="393"/>
        <v/>
      </c>
      <c r="CB635" t="str">
        <f t="shared" si="375"/>
        <v/>
      </c>
      <c r="CC635" t="str">
        <f t="shared" si="394"/>
        <v/>
      </c>
      <c r="CD635" t="str">
        <f t="shared" si="376"/>
        <v/>
      </c>
      <c r="CE635" t="str">
        <f t="shared" si="395"/>
        <v>Bowles 5th edition</v>
      </c>
      <c r="CF635">
        <f t="shared" si="377"/>
        <v>192</v>
      </c>
      <c r="CG635" t="str">
        <f t="shared" si="396"/>
        <v/>
      </c>
      <c r="CH635" t="str">
        <f t="shared" si="378"/>
        <v/>
      </c>
      <c r="CI635" t="str">
        <f t="shared" si="397"/>
        <v/>
      </c>
      <c r="CJ635" t="str">
        <f t="shared" si="406"/>
        <v/>
      </c>
    </row>
    <row r="636" spans="2:88" x14ac:dyDescent="0.3">
      <c r="B636" t="str">
        <f t="shared" si="398"/>
        <v>36.827509-76.121251</v>
      </c>
      <c r="C636" t="s">
        <v>150</v>
      </c>
      <c r="D636">
        <v>36.827508999999999</v>
      </c>
      <c r="E636">
        <v>-76.121251000000001</v>
      </c>
      <c r="F636">
        <v>5</v>
      </c>
      <c r="G636" t="str">
        <f t="shared" si="399"/>
        <v>1-136.827509-76.121251</v>
      </c>
      <c r="H636">
        <v>1</v>
      </c>
      <c r="I636">
        <f t="shared" si="412"/>
        <v>-1</v>
      </c>
      <c r="J636" s="30" t="s">
        <v>21</v>
      </c>
      <c r="L636" t="s">
        <v>11</v>
      </c>
      <c r="M636">
        <v>8</v>
      </c>
      <c r="S636" t="str">
        <f t="shared" si="411"/>
        <v>Clay</v>
      </c>
      <c r="T636">
        <f t="shared" si="400"/>
        <v>1</v>
      </c>
      <c r="AA636">
        <v>80</v>
      </c>
      <c r="AB636" s="1">
        <f t="shared" si="407"/>
        <v>11</v>
      </c>
      <c r="AC636">
        <f t="shared" si="408"/>
        <v>19</v>
      </c>
      <c r="AD636" t="str">
        <f t="shared" si="401"/>
        <v/>
      </c>
      <c r="AG636" s="21" t="str">
        <f t="shared" si="379"/>
        <v/>
      </c>
      <c r="AI636" s="6" t="str">
        <f t="shared" si="380"/>
        <v/>
      </c>
      <c r="AM636" s="7" t="str">
        <f t="shared" si="381"/>
        <v/>
      </c>
      <c r="AQ636" s="8" t="str">
        <f t="shared" si="382"/>
        <v/>
      </c>
      <c r="AW636" s="25" t="str">
        <f t="shared" si="383"/>
        <v/>
      </c>
      <c r="AZ636" s="12" t="str">
        <f t="shared" si="384"/>
        <v/>
      </c>
      <c r="BI636" s="17" t="str">
        <f t="shared" si="385"/>
        <v/>
      </c>
      <c r="BM636" t="str">
        <f t="shared" si="386"/>
        <v>SPT Relationship</v>
      </c>
      <c r="BN636">
        <f t="shared" si="374"/>
        <v>116</v>
      </c>
      <c r="BO636" t="str">
        <f t="shared" si="387"/>
        <v>Wolff, 1989</v>
      </c>
      <c r="BP636">
        <f t="shared" si="409"/>
        <v>32</v>
      </c>
      <c r="BQ636" t="str">
        <f t="shared" si="388"/>
        <v/>
      </c>
      <c r="BR636" t="str">
        <f t="shared" si="402"/>
        <v/>
      </c>
      <c r="BS636" t="str">
        <f t="shared" si="389"/>
        <v>Stroud 1974 (K=3.5)</v>
      </c>
      <c r="BT636">
        <f t="shared" si="410"/>
        <v>804</v>
      </c>
      <c r="BU636" t="str">
        <f t="shared" si="390"/>
        <v/>
      </c>
      <c r="BV636" t="str">
        <f t="shared" si="403"/>
        <v/>
      </c>
      <c r="BW636" t="str">
        <f t="shared" si="391"/>
        <v/>
      </c>
      <c r="BX636" t="str">
        <f t="shared" si="404"/>
        <v/>
      </c>
      <c r="BY636" t="str">
        <f t="shared" si="392"/>
        <v/>
      </c>
      <c r="BZ636" t="str">
        <f t="shared" si="405"/>
        <v/>
      </c>
      <c r="CA636" t="str">
        <f t="shared" si="393"/>
        <v/>
      </c>
      <c r="CB636" t="str">
        <f t="shared" si="375"/>
        <v/>
      </c>
      <c r="CC636" t="str">
        <f t="shared" si="394"/>
        <v/>
      </c>
      <c r="CD636" t="str">
        <f t="shared" si="376"/>
        <v/>
      </c>
      <c r="CE636" t="str">
        <f t="shared" si="395"/>
        <v/>
      </c>
      <c r="CF636" t="str">
        <f t="shared" si="377"/>
        <v/>
      </c>
      <c r="CG636" t="str">
        <f t="shared" si="396"/>
        <v/>
      </c>
      <c r="CH636" t="str">
        <f t="shared" si="378"/>
        <v/>
      </c>
      <c r="CI636" t="str">
        <f t="shared" si="397"/>
        <v/>
      </c>
      <c r="CJ636" t="str">
        <f t="shared" si="406"/>
        <v/>
      </c>
    </row>
    <row r="637" spans="2:88" x14ac:dyDescent="0.3">
      <c r="B637" t="str">
        <f t="shared" si="398"/>
        <v>36.827509-76.121251</v>
      </c>
      <c r="C637" t="s">
        <v>150</v>
      </c>
      <c r="D637">
        <v>36.827508999999999</v>
      </c>
      <c r="E637">
        <v>-76.121251000000001</v>
      </c>
      <c r="F637">
        <v>5</v>
      </c>
      <c r="G637" t="str">
        <f t="shared" si="399"/>
        <v>-1-336.827509-76.121251</v>
      </c>
      <c r="H637">
        <v>-1</v>
      </c>
      <c r="I637">
        <f t="shared" si="412"/>
        <v>-3</v>
      </c>
      <c r="J637" s="30" t="s">
        <v>21</v>
      </c>
      <c r="L637" t="s">
        <v>17</v>
      </c>
      <c r="M637">
        <v>4</v>
      </c>
      <c r="S637" t="str">
        <f t="shared" si="411"/>
        <v>Sand</v>
      </c>
      <c r="T637">
        <f t="shared" si="400"/>
        <v>1</v>
      </c>
      <c r="AA637">
        <v>80</v>
      </c>
      <c r="AB637" s="1">
        <f t="shared" si="407"/>
        <v>5</v>
      </c>
      <c r="AC637">
        <f t="shared" si="408"/>
        <v>7</v>
      </c>
      <c r="AD637" t="str">
        <f t="shared" si="401"/>
        <v/>
      </c>
      <c r="AG637" s="21" t="str">
        <f t="shared" si="379"/>
        <v/>
      </c>
      <c r="AI637" s="6" t="str">
        <f t="shared" si="380"/>
        <v/>
      </c>
      <c r="AM637" s="7" t="str">
        <f t="shared" si="381"/>
        <v/>
      </c>
      <c r="AQ637" s="8" t="str">
        <f t="shared" si="382"/>
        <v/>
      </c>
      <c r="AW637" s="25" t="str">
        <f t="shared" si="383"/>
        <v/>
      </c>
      <c r="AZ637" s="12" t="str">
        <f t="shared" si="384"/>
        <v/>
      </c>
      <c r="BI637" s="17" t="str">
        <f t="shared" si="385"/>
        <v/>
      </c>
      <c r="BM637" t="str">
        <f t="shared" si="386"/>
        <v>SPT Relationship</v>
      </c>
      <c r="BN637">
        <f t="shared" si="374"/>
        <v>108</v>
      </c>
      <c r="BO637" t="str">
        <f t="shared" si="387"/>
        <v>Wolff, 1989</v>
      </c>
      <c r="BP637">
        <f t="shared" si="409"/>
        <v>29</v>
      </c>
      <c r="BQ637" t="str">
        <f t="shared" si="388"/>
        <v/>
      </c>
      <c r="BR637" t="str">
        <f t="shared" si="402"/>
        <v/>
      </c>
      <c r="BS637" t="str">
        <f t="shared" si="389"/>
        <v/>
      </c>
      <c r="BT637" t="str">
        <f t="shared" si="410"/>
        <v/>
      </c>
      <c r="BU637" t="str">
        <f t="shared" si="390"/>
        <v/>
      </c>
      <c r="BV637" t="str">
        <f t="shared" si="403"/>
        <v/>
      </c>
      <c r="BW637" t="str">
        <f t="shared" si="391"/>
        <v/>
      </c>
      <c r="BX637" t="str">
        <f t="shared" si="404"/>
        <v/>
      </c>
      <c r="BY637" t="str">
        <f t="shared" si="392"/>
        <v/>
      </c>
      <c r="BZ637" t="str">
        <f t="shared" si="405"/>
        <v/>
      </c>
      <c r="CA637" t="str">
        <f t="shared" si="393"/>
        <v/>
      </c>
      <c r="CB637" t="str">
        <f t="shared" si="375"/>
        <v/>
      </c>
      <c r="CC637" t="str">
        <f t="shared" si="394"/>
        <v/>
      </c>
      <c r="CD637" t="str">
        <f t="shared" si="376"/>
        <v/>
      </c>
      <c r="CE637" t="str">
        <f t="shared" si="395"/>
        <v>Bowles 5th edition</v>
      </c>
      <c r="CF637">
        <f t="shared" si="377"/>
        <v>128</v>
      </c>
      <c r="CG637" t="str">
        <f t="shared" si="396"/>
        <v/>
      </c>
      <c r="CH637" t="str">
        <f t="shared" si="378"/>
        <v/>
      </c>
      <c r="CI637" t="str">
        <f t="shared" si="397"/>
        <v/>
      </c>
      <c r="CJ637" t="str">
        <f t="shared" si="406"/>
        <v/>
      </c>
    </row>
    <row r="638" spans="2:88" x14ac:dyDescent="0.3">
      <c r="B638" t="str">
        <f t="shared" si="398"/>
        <v>36.827509-76.121251</v>
      </c>
      <c r="C638" t="s">
        <v>150</v>
      </c>
      <c r="D638">
        <v>36.827508999999999</v>
      </c>
      <c r="E638">
        <v>-76.121251000000001</v>
      </c>
      <c r="F638">
        <v>5</v>
      </c>
      <c r="G638" t="str">
        <f t="shared" si="399"/>
        <v>-3-536.827509-76.121251</v>
      </c>
      <c r="H638">
        <v>-3</v>
      </c>
      <c r="I638">
        <f t="shared" si="412"/>
        <v>-5</v>
      </c>
      <c r="J638" s="30" t="s">
        <v>21</v>
      </c>
      <c r="L638" t="s">
        <v>17</v>
      </c>
      <c r="M638">
        <v>6</v>
      </c>
      <c r="S638" t="str">
        <f t="shared" si="411"/>
        <v>Sand</v>
      </c>
      <c r="T638">
        <f t="shared" si="400"/>
        <v>1</v>
      </c>
      <c r="AA638">
        <v>80</v>
      </c>
      <c r="AB638" s="1">
        <f t="shared" si="407"/>
        <v>8</v>
      </c>
      <c r="AC638">
        <f t="shared" si="408"/>
        <v>11</v>
      </c>
      <c r="AD638" t="str">
        <f t="shared" si="401"/>
        <v/>
      </c>
      <c r="AG638" s="21" t="str">
        <f t="shared" si="379"/>
        <v/>
      </c>
      <c r="AI638" s="6" t="str">
        <f t="shared" si="380"/>
        <v/>
      </c>
      <c r="AM638" s="7" t="str">
        <f t="shared" si="381"/>
        <v/>
      </c>
      <c r="AQ638" s="8" t="str">
        <f t="shared" si="382"/>
        <v/>
      </c>
      <c r="AW638" s="25" t="str">
        <f t="shared" si="383"/>
        <v/>
      </c>
      <c r="AZ638" s="12" t="str">
        <f t="shared" si="384"/>
        <v/>
      </c>
      <c r="BI638" s="17" t="str">
        <f t="shared" si="385"/>
        <v/>
      </c>
      <c r="BM638" t="str">
        <f t="shared" si="386"/>
        <v>SPT Relationship</v>
      </c>
      <c r="BN638">
        <f t="shared" si="374"/>
        <v>113</v>
      </c>
      <c r="BO638" t="str">
        <f t="shared" si="387"/>
        <v>Wolff, 1989</v>
      </c>
      <c r="BP638">
        <f t="shared" si="409"/>
        <v>30</v>
      </c>
      <c r="BQ638" t="str">
        <f t="shared" si="388"/>
        <v/>
      </c>
      <c r="BR638" t="str">
        <f t="shared" si="402"/>
        <v/>
      </c>
      <c r="BS638" t="str">
        <f t="shared" si="389"/>
        <v/>
      </c>
      <c r="BT638" t="str">
        <f t="shared" si="410"/>
        <v/>
      </c>
      <c r="BU638" t="str">
        <f t="shared" si="390"/>
        <v/>
      </c>
      <c r="BV638" t="str">
        <f t="shared" si="403"/>
        <v/>
      </c>
      <c r="BW638" t="str">
        <f t="shared" si="391"/>
        <v/>
      </c>
      <c r="BX638" t="str">
        <f t="shared" si="404"/>
        <v/>
      </c>
      <c r="BY638" t="str">
        <f t="shared" si="392"/>
        <v/>
      </c>
      <c r="BZ638" t="str">
        <f t="shared" si="405"/>
        <v/>
      </c>
      <c r="CA638" t="str">
        <f t="shared" si="393"/>
        <v/>
      </c>
      <c r="CB638" t="str">
        <f t="shared" si="375"/>
        <v/>
      </c>
      <c r="CC638" t="str">
        <f t="shared" si="394"/>
        <v/>
      </c>
      <c r="CD638" t="str">
        <f t="shared" si="376"/>
        <v/>
      </c>
      <c r="CE638" t="str">
        <f t="shared" si="395"/>
        <v>Bowles 5th edition</v>
      </c>
      <c r="CF638">
        <f t="shared" si="377"/>
        <v>147</v>
      </c>
      <c r="CG638" t="str">
        <f t="shared" si="396"/>
        <v/>
      </c>
      <c r="CH638" t="str">
        <f t="shared" si="378"/>
        <v/>
      </c>
      <c r="CI638" t="str">
        <f t="shared" si="397"/>
        <v/>
      </c>
      <c r="CJ638" t="str">
        <f t="shared" si="406"/>
        <v/>
      </c>
    </row>
    <row r="639" spans="2:88" x14ac:dyDescent="0.3">
      <c r="B639" t="str">
        <f t="shared" si="398"/>
        <v>36.827509-76.121251</v>
      </c>
      <c r="C639" t="s">
        <v>150</v>
      </c>
      <c r="D639">
        <v>36.827508999999999</v>
      </c>
      <c r="E639">
        <v>-76.121251000000001</v>
      </c>
      <c r="F639">
        <v>5</v>
      </c>
      <c r="G639" t="str">
        <f t="shared" si="399"/>
        <v>-5-736.827509-76.121251</v>
      </c>
      <c r="H639">
        <v>-5</v>
      </c>
      <c r="I639">
        <f t="shared" si="412"/>
        <v>-7</v>
      </c>
      <c r="J639" s="30" t="s">
        <v>21</v>
      </c>
      <c r="L639" t="s">
        <v>17</v>
      </c>
      <c r="M639">
        <v>3</v>
      </c>
      <c r="N639">
        <v>22</v>
      </c>
      <c r="O639">
        <v>11</v>
      </c>
      <c r="P639">
        <v>21</v>
      </c>
      <c r="Q639">
        <v>10</v>
      </c>
      <c r="R639">
        <v>45</v>
      </c>
      <c r="S639" t="str">
        <f t="shared" si="411"/>
        <v>Sand</v>
      </c>
      <c r="T639">
        <f t="shared" si="400"/>
        <v>2</v>
      </c>
      <c r="AA639">
        <v>80</v>
      </c>
      <c r="AB639" s="1">
        <f t="shared" si="407"/>
        <v>4</v>
      </c>
      <c r="AC639">
        <f t="shared" si="408"/>
        <v>5</v>
      </c>
      <c r="AD639">
        <f t="shared" si="401"/>
        <v>1.1000000000000001</v>
      </c>
      <c r="AG639" s="21" t="str">
        <f t="shared" si="379"/>
        <v/>
      </c>
      <c r="AI639" s="6" t="str">
        <f t="shared" si="380"/>
        <v/>
      </c>
      <c r="AM639" s="7" t="str">
        <f t="shared" si="381"/>
        <v/>
      </c>
      <c r="AQ639" s="8" t="str">
        <f t="shared" si="382"/>
        <v/>
      </c>
      <c r="AW639" s="25" t="str">
        <f t="shared" si="383"/>
        <v/>
      </c>
      <c r="AZ639" s="12" t="str">
        <f t="shared" si="384"/>
        <v/>
      </c>
      <c r="BI639" s="17" t="str">
        <f t="shared" si="385"/>
        <v/>
      </c>
      <c r="BM639" t="str">
        <f t="shared" si="386"/>
        <v>SPT Relationship</v>
      </c>
      <c r="BN639">
        <f t="shared" si="374"/>
        <v>105</v>
      </c>
      <c r="BO639" t="str">
        <f t="shared" si="387"/>
        <v>Wolff, 1989</v>
      </c>
      <c r="BP639">
        <f t="shared" si="409"/>
        <v>28</v>
      </c>
      <c r="BQ639" t="str">
        <f t="shared" si="388"/>
        <v>GTENG-2476</v>
      </c>
      <c r="BR639">
        <f t="shared" si="402"/>
        <v>25</v>
      </c>
      <c r="BS639" t="str">
        <f t="shared" si="389"/>
        <v/>
      </c>
      <c r="BT639" t="str">
        <f t="shared" si="410"/>
        <v/>
      </c>
      <c r="BU639" t="str">
        <f t="shared" si="390"/>
        <v>Kulhawy and Mayne 1990</v>
      </c>
      <c r="BV639">
        <f t="shared" si="403"/>
        <v>0.13500000000000001</v>
      </c>
      <c r="BW639" t="str">
        <f t="shared" si="391"/>
        <v>Kulhawy and Mayne 1990</v>
      </c>
      <c r="BX639">
        <f t="shared" si="404"/>
        <v>2.7E-2</v>
      </c>
      <c r="BY639" t="str">
        <f t="shared" si="392"/>
        <v>Mesri 1990</v>
      </c>
      <c r="BZ639">
        <f t="shared" si="405"/>
        <v>4.1000000000000003E-3</v>
      </c>
      <c r="CA639" t="str">
        <f t="shared" si="393"/>
        <v>NAVFAC Vol. 7.1 Figure 4</v>
      </c>
      <c r="CB639">
        <f t="shared" si="375"/>
        <v>0.78926646979999981</v>
      </c>
      <c r="CC639" t="str">
        <f t="shared" si="394"/>
        <v>Stas and Kulhawy 1984</v>
      </c>
      <c r="CD639">
        <f t="shared" si="376"/>
        <v>444.47108168759826</v>
      </c>
      <c r="CE639" t="str">
        <f t="shared" si="395"/>
        <v>Bowles 5th edition</v>
      </c>
      <c r="CF639">
        <f t="shared" si="377"/>
        <v>122</v>
      </c>
      <c r="CG639" t="str">
        <f t="shared" si="396"/>
        <v>Relationship (Gs=2.67)</v>
      </c>
      <c r="CH639">
        <f t="shared" si="378"/>
        <v>0.59</v>
      </c>
      <c r="CI639" t="str">
        <f t="shared" si="397"/>
        <v/>
      </c>
      <c r="CJ639" t="str">
        <f t="shared" si="406"/>
        <v/>
      </c>
    </row>
    <row r="640" spans="2:88" x14ac:dyDescent="0.3">
      <c r="B640" t="str">
        <f t="shared" si="398"/>
        <v>36.827509-76.121251</v>
      </c>
      <c r="C640" t="s">
        <v>150</v>
      </c>
      <c r="D640">
        <v>36.827508999999999</v>
      </c>
      <c r="E640">
        <v>-76.121251000000001</v>
      </c>
      <c r="F640">
        <v>5</v>
      </c>
      <c r="G640" t="str">
        <f t="shared" si="399"/>
        <v>-8-1036.827509-76.121251</v>
      </c>
      <c r="H640">
        <v>-8</v>
      </c>
      <c r="I640">
        <f t="shared" si="412"/>
        <v>-10</v>
      </c>
      <c r="J640" s="30" t="s">
        <v>21</v>
      </c>
      <c r="L640" t="s">
        <v>11</v>
      </c>
      <c r="M640">
        <v>0</v>
      </c>
      <c r="S640" t="str">
        <f t="shared" si="411"/>
        <v>Clay</v>
      </c>
      <c r="T640">
        <f t="shared" si="400"/>
        <v>1</v>
      </c>
      <c r="AA640">
        <v>80</v>
      </c>
      <c r="AB640" s="1">
        <f t="shared" si="407"/>
        <v>0</v>
      </c>
      <c r="AC640">
        <f t="shared" si="408"/>
        <v>0</v>
      </c>
      <c r="AD640" t="str">
        <f t="shared" si="401"/>
        <v/>
      </c>
      <c r="AG640" s="21" t="str">
        <f t="shared" si="379"/>
        <v/>
      </c>
      <c r="AI640" s="6" t="str">
        <f t="shared" si="380"/>
        <v/>
      </c>
      <c r="AM640" s="7" t="str">
        <f t="shared" si="381"/>
        <v/>
      </c>
      <c r="AQ640" s="8" t="str">
        <f t="shared" si="382"/>
        <v/>
      </c>
      <c r="AW640" s="25" t="str">
        <f t="shared" si="383"/>
        <v/>
      </c>
      <c r="AZ640" s="12" t="str">
        <f t="shared" si="384"/>
        <v/>
      </c>
      <c r="BI640" s="17" t="str">
        <f t="shared" si="385"/>
        <v/>
      </c>
      <c r="BM640" t="str">
        <f t="shared" si="386"/>
        <v>SPT Relationship</v>
      </c>
      <c r="BN640">
        <f t="shared" si="374"/>
        <v>95</v>
      </c>
      <c r="BO640" t="str">
        <f t="shared" si="387"/>
        <v>Wolff, 1989</v>
      </c>
      <c r="BP640">
        <f t="shared" si="409"/>
        <v>27</v>
      </c>
      <c r="BQ640" t="str">
        <f t="shared" si="388"/>
        <v/>
      </c>
      <c r="BR640" t="str">
        <f t="shared" si="402"/>
        <v/>
      </c>
      <c r="BS640" t="str">
        <f t="shared" si="389"/>
        <v>Stroud 1974 (K=3.5)</v>
      </c>
      <c r="BT640">
        <f t="shared" si="410"/>
        <v>0</v>
      </c>
      <c r="BU640" t="str">
        <f t="shared" si="390"/>
        <v/>
      </c>
      <c r="BV640" t="str">
        <f t="shared" si="403"/>
        <v/>
      </c>
      <c r="BW640" t="str">
        <f t="shared" si="391"/>
        <v/>
      </c>
      <c r="BX640" t="str">
        <f t="shared" si="404"/>
        <v/>
      </c>
      <c r="BY640" t="str">
        <f t="shared" si="392"/>
        <v/>
      </c>
      <c r="BZ640" t="str">
        <f t="shared" si="405"/>
        <v/>
      </c>
      <c r="CA640" t="str">
        <f t="shared" si="393"/>
        <v/>
      </c>
      <c r="CB640" t="str">
        <f t="shared" ref="CB640:CB703" si="413">IF(P640="","",-0.0000000002*P640^5+0.00000009*P640^4-0.00002*P640^3+0.0019*P640^2-0.0999*P640+2.2178)</f>
        <v/>
      </c>
      <c r="CC640" t="str">
        <f t="shared" si="394"/>
        <v/>
      </c>
      <c r="CD640" t="str">
        <f t="shared" ref="CD640:CD703" si="414">IF(AD640="","",(10^(1.11-1.62*AD640)*100)*20.885434273039)</f>
        <v/>
      </c>
      <c r="CE640" t="str">
        <f t="shared" si="395"/>
        <v/>
      </c>
      <c r="CF640" t="str">
        <f t="shared" ref="CF640:CF703" si="415">IF(S640="Clay","",IF(AB640="","",ROUND((AB640+15)*6.4,0)))</f>
        <v/>
      </c>
      <c r="CG640" t="str">
        <f t="shared" si="396"/>
        <v/>
      </c>
      <c r="CH640" t="str">
        <f t="shared" ref="CH640:CH703" si="416">IF(N640="","",ROUND(N640/100*2.67,2))</f>
        <v/>
      </c>
      <c r="CI640" t="str">
        <f t="shared" si="397"/>
        <v/>
      </c>
      <c r="CJ640" t="str">
        <f t="shared" si="406"/>
        <v/>
      </c>
    </row>
    <row r="641" spans="2:88" x14ac:dyDescent="0.3">
      <c r="B641" t="str">
        <f t="shared" si="398"/>
        <v>36.827509-76.121251</v>
      </c>
      <c r="C641" t="s">
        <v>150</v>
      </c>
      <c r="D641">
        <v>36.827508999999999</v>
      </c>
      <c r="E641">
        <v>-76.121251000000001</v>
      </c>
      <c r="F641">
        <v>5</v>
      </c>
      <c r="G641" t="str">
        <f t="shared" si="399"/>
        <v>-13-1536.827509-76.121251</v>
      </c>
      <c r="H641">
        <v>-13</v>
      </c>
      <c r="I641">
        <f t="shared" si="412"/>
        <v>-15</v>
      </c>
      <c r="J641" s="30" t="s">
        <v>21</v>
      </c>
      <c r="L641" t="s">
        <v>10</v>
      </c>
      <c r="M641">
        <v>7</v>
      </c>
      <c r="S641" t="str">
        <f t="shared" si="411"/>
        <v>Sand</v>
      </c>
      <c r="T641">
        <f t="shared" si="400"/>
        <v>1</v>
      </c>
      <c r="AA641">
        <v>80</v>
      </c>
      <c r="AB641" s="1">
        <f t="shared" si="407"/>
        <v>9</v>
      </c>
      <c r="AC641">
        <f t="shared" si="408"/>
        <v>8</v>
      </c>
      <c r="AD641" t="str">
        <f t="shared" si="401"/>
        <v/>
      </c>
      <c r="AG641" s="21" t="str">
        <f t="shared" si="379"/>
        <v/>
      </c>
      <c r="AI641" s="6" t="str">
        <f t="shared" si="380"/>
        <v/>
      </c>
      <c r="AM641" s="7" t="str">
        <f t="shared" si="381"/>
        <v/>
      </c>
      <c r="AQ641" s="8" t="str">
        <f t="shared" si="382"/>
        <v/>
      </c>
      <c r="AW641" s="25" t="str">
        <f t="shared" si="383"/>
        <v/>
      </c>
      <c r="AZ641" s="12" t="str">
        <f t="shared" si="384"/>
        <v/>
      </c>
      <c r="BI641" s="17" t="str">
        <f t="shared" si="385"/>
        <v/>
      </c>
      <c r="BM641" t="str">
        <f t="shared" si="386"/>
        <v>SPT Relationship</v>
      </c>
      <c r="BN641">
        <f t="shared" si="374"/>
        <v>114</v>
      </c>
      <c r="BO641" t="str">
        <f t="shared" si="387"/>
        <v>Wolff, 1989</v>
      </c>
      <c r="BP641">
        <f t="shared" si="409"/>
        <v>29</v>
      </c>
      <c r="BQ641" t="str">
        <f t="shared" si="388"/>
        <v/>
      </c>
      <c r="BR641" t="str">
        <f t="shared" si="402"/>
        <v/>
      </c>
      <c r="BS641" t="str">
        <f t="shared" si="389"/>
        <v/>
      </c>
      <c r="BT641" t="str">
        <f t="shared" si="410"/>
        <v/>
      </c>
      <c r="BU641" t="str">
        <f t="shared" si="390"/>
        <v/>
      </c>
      <c r="BV641" t="str">
        <f t="shared" si="403"/>
        <v/>
      </c>
      <c r="BW641" t="str">
        <f t="shared" si="391"/>
        <v/>
      </c>
      <c r="BX641" t="str">
        <f t="shared" si="404"/>
        <v/>
      </c>
      <c r="BY641" t="str">
        <f t="shared" si="392"/>
        <v/>
      </c>
      <c r="BZ641" t="str">
        <f t="shared" si="405"/>
        <v/>
      </c>
      <c r="CA641" t="str">
        <f t="shared" si="393"/>
        <v/>
      </c>
      <c r="CB641" t="str">
        <f t="shared" si="413"/>
        <v/>
      </c>
      <c r="CC641" t="str">
        <f t="shared" si="394"/>
        <v/>
      </c>
      <c r="CD641" t="str">
        <f t="shared" si="414"/>
        <v/>
      </c>
      <c r="CE641" t="str">
        <f t="shared" si="395"/>
        <v>Bowles 5th edition</v>
      </c>
      <c r="CF641">
        <f t="shared" si="415"/>
        <v>154</v>
      </c>
      <c r="CG641" t="str">
        <f t="shared" si="396"/>
        <v/>
      </c>
      <c r="CH641" t="str">
        <f t="shared" si="416"/>
        <v/>
      </c>
      <c r="CI641" t="str">
        <f t="shared" si="397"/>
        <v/>
      </c>
      <c r="CJ641" t="str">
        <f t="shared" si="406"/>
        <v/>
      </c>
    </row>
    <row r="642" spans="2:88" x14ac:dyDescent="0.3">
      <c r="B642" t="str">
        <f t="shared" si="398"/>
        <v>36.827509-76.121251</v>
      </c>
      <c r="C642" t="s">
        <v>150</v>
      </c>
      <c r="D642">
        <v>36.827508999999999</v>
      </c>
      <c r="E642">
        <v>-76.121251000000001</v>
      </c>
      <c r="F642">
        <v>5</v>
      </c>
      <c r="G642" t="str">
        <f t="shared" si="399"/>
        <v>-18-2036.827509-76.121251</v>
      </c>
      <c r="H642">
        <v>-18</v>
      </c>
      <c r="I642">
        <f t="shared" si="412"/>
        <v>-20</v>
      </c>
      <c r="J642" s="30" t="s">
        <v>21</v>
      </c>
      <c r="L642" t="s">
        <v>8</v>
      </c>
      <c r="M642">
        <v>7</v>
      </c>
      <c r="S642" t="str">
        <f t="shared" si="411"/>
        <v>Sand</v>
      </c>
      <c r="T642">
        <f t="shared" si="400"/>
        <v>1</v>
      </c>
      <c r="AA642">
        <v>80</v>
      </c>
      <c r="AB642" s="1">
        <f t="shared" si="407"/>
        <v>9</v>
      </c>
      <c r="AC642">
        <f t="shared" si="408"/>
        <v>7</v>
      </c>
      <c r="AD642" t="str">
        <f t="shared" si="401"/>
        <v/>
      </c>
      <c r="AG642" s="21" t="str">
        <f t="shared" si="379"/>
        <v/>
      </c>
      <c r="AI642" s="6" t="str">
        <f t="shared" si="380"/>
        <v/>
      </c>
      <c r="AM642" s="7" t="str">
        <f t="shared" si="381"/>
        <v/>
      </c>
      <c r="AQ642" s="8" t="str">
        <f t="shared" si="382"/>
        <v/>
      </c>
      <c r="AW642" s="25" t="str">
        <f t="shared" si="383"/>
        <v/>
      </c>
      <c r="AZ642" s="12" t="str">
        <f t="shared" si="384"/>
        <v/>
      </c>
      <c r="BI642" s="17" t="str">
        <f t="shared" si="385"/>
        <v/>
      </c>
      <c r="BM642" t="str">
        <f t="shared" si="386"/>
        <v>SPT Relationship</v>
      </c>
      <c r="BN642">
        <f t="shared" si="374"/>
        <v>114</v>
      </c>
      <c r="BO642" t="str">
        <f t="shared" si="387"/>
        <v>Wolff, 1989</v>
      </c>
      <c r="BP642">
        <f t="shared" si="409"/>
        <v>29</v>
      </c>
      <c r="BQ642" t="str">
        <f t="shared" si="388"/>
        <v/>
      </c>
      <c r="BR642" t="str">
        <f t="shared" si="402"/>
        <v/>
      </c>
      <c r="BS642" t="str">
        <f t="shared" si="389"/>
        <v/>
      </c>
      <c r="BT642" t="str">
        <f t="shared" si="410"/>
        <v/>
      </c>
      <c r="BU642" t="str">
        <f t="shared" si="390"/>
        <v/>
      </c>
      <c r="BV642" t="str">
        <f t="shared" si="403"/>
        <v/>
      </c>
      <c r="BW642" t="str">
        <f t="shared" si="391"/>
        <v/>
      </c>
      <c r="BX642" t="str">
        <f t="shared" si="404"/>
        <v/>
      </c>
      <c r="BY642" t="str">
        <f t="shared" si="392"/>
        <v/>
      </c>
      <c r="BZ642" t="str">
        <f t="shared" si="405"/>
        <v/>
      </c>
      <c r="CA642" t="str">
        <f t="shared" si="393"/>
        <v/>
      </c>
      <c r="CB642" t="str">
        <f t="shared" si="413"/>
        <v/>
      </c>
      <c r="CC642" t="str">
        <f t="shared" si="394"/>
        <v/>
      </c>
      <c r="CD642" t="str">
        <f t="shared" si="414"/>
        <v/>
      </c>
      <c r="CE642" t="str">
        <f t="shared" si="395"/>
        <v>Bowles 5th edition</v>
      </c>
      <c r="CF642">
        <f t="shared" si="415"/>
        <v>154</v>
      </c>
      <c r="CG642" t="str">
        <f t="shared" si="396"/>
        <v/>
      </c>
      <c r="CH642" t="str">
        <f t="shared" si="416"/>
        <v/>
      </c>
      <c r="CI642" t="str">
        <f t="shared" si="397"/>
        <v/>
      </c>
      <c r="CJ642" t="str">
        <f t="shared" si="406"/>
        <v/>
      </c>
    </row>
    <row r="643" spans="2:88" x14ac:dyDescent="0.3">
      <c r="B643" t="str">
        <f t="shared" si="398"/>
        <v>36.827509-76.121251</v>
      </c>
      <c r="C643" t="s">
        <v>150</v>
      </c>
      <c r="D643">
        <v>36.827508999999999</v>
      </c>
      <c r="E643">
        <v>-76.121251000000001</v>
      </c>
      <c r="F643">
        <v>5</v>
      </c>
      <c r="G643" t="str">
        <f t="shared" si="399"/>
        <v>-23-2536.827509-76.121251</v>
      </c>
      <c r="H643">
        <v>-23</v>
      </c>
      <c r="I643">
        <f t="shared" si="412"/>
        <v>-25</v>
      </c>
      <c r="J643" s="30" t="s">
        <v>21</v>
      </c>
      <c r="L643" t="s">
        <v>17</v>
      </c>
      <c r="M643">
        <v>4</v>
      </c>
      <c r="S643" t="str">
        <f t="shared" si="411"/>
        <v>Sand</v>
      </c>
      <c r="T643">
        <f t="shared" si="400"/>
        <v>1</v>
      </c>
      <c r="AA643">
        <v>80</v>
      </c>
      <c r="AB643" s="1">
        <f t="shared" si="407"/>
        <v>5</v>
      </c>
      <c r="AC643">
        <f t="shared" si="408"/>
        <v>3</v>
      </c>
      <c r="AD643" t="str">
        <f t="shared" si="401"/>
        <v/>
      </c>
      <c r="AG643" s="21" t="str">
        <f t="shared" ref="AG643:AG706" si="417">IF(AH643="","","Pocket Pentrometer")</f>
        <v/>
      </c>
      <c r="AI643" s="6" t="str">
        <f t="shared" ref="AI643:AI706" si="418">IF(AJ643="","","Unconfined Compression")</f>
        <v/>
      </c>
      <c r="AM643" s="7" t="str">
        <f t="shared" ref="AM643:AM706" si="419">IF(AN643="","","Undrained Unconsolidated Triaxial")</f>
        <v/>
      </c>
      <c r="AQ643" s="8" t="str">
        <f t="shared" ref="AQ643:AQ706" si="420">IF(AR643="","","Consolidated Undrained Triaxial")</f>
        <v/>
      </c>
      <c r="AW643" s="25" t="str">
        <f t="shared" ref="AW643:AW706" si="421">IF(AX643="","","Direct Shear")</f>
        <v/>
      </c>
      <c r="AZ643" s="12" t="str">
        <f t="shared" ref="AZ643:AZ706" si="422">IF(BA643="","","Consolidation Test")</f>
        <v/>
      </c>
      <c r="BI643" s="17" t="str">
        <f t="shared" ref="BI643:BI706" si="423">IF(BJ643="","","Permeability Test")</f>
        <v/>
      </c>
      <c r="BM643" t="str">
        <f t="shared" si="386"/>
        <v>SPT Relationship</v>
      </c>
      <c r="BN643">
        <f t="shared" si="374"/>
        <v>108</v>
      </c>
      <c r="BO643" t="str">
        <f t="shared" ref="BO643:BO706" si="424">IF(BP643="","","Wolff, 1989")</f>
        <v>Wolff, 1989</v>
      </c>
      <c r="BP643">
        <f t="shared" si="409"/>
        <v>27</v>
      </c>
      <c r="BQ643" t="str">
        <f t="shared" ref="BQ643:BQ706" si="425">IF(BR643="","","GTENG-2476")</f>
        <v/>
      </c>
      <c r="BR643" t="str">
        <f t="shared" si="402"/>
        <v/>
      </c>
      <c r="BS643" t="str">
        <f t="shared" ref="BS643:BS706" si="426">IF(BT643="","", "Stroud 1974 (K=3.5)")</f>
        <v/>
      </c>
      <c r="BT643" t="str">
        <f t="shared" si="410"/>
        <v/>
      </c>
      <c r="BU643" t="str">
        <f t="shared" ref="BU643:BU706" si="427">IF(BV643="","","Kulhawy and Mayne 1990")</f>
        <v/>
      </c>
      <c r="BV643" t="str">
        <f t="shared" si="403"/>
        <v/>
      </c>
      <c r="BW643" t="str">
        <f t="shared" ref="BW643:BW706" si="428">IF(BX643="","","Kulhawy and Mayne 1990")</f>
        <v/>
      </c>
      <c r="BX643" t="str">
        <f t="shared" si="404"/>
        <v/>
      </c>
      <c r="BY643" t="str">
        <f t="shared" ref="BY643:BY706" si="429">IF(BZ643="","","Mesri 1990")</f>
        <v/>
      </c>
      <c r="BZ643" t="str">
        <f t="shared" si="405"/>
        <v/>
      </c>
      <c r="CA643" t="str">
        <f t="shared" ref="CA643:CA706" si="430">IF(CB643="","","NAVFAC Vol. 7.1 Figure 4")</f>
        <v/>
      </c>
      <c r="CB643" t="str">
        <f t="shared" si="413"/>
        <v/>
      </c>
      <c r="CC643" t="str">
        <f t="shared" ref="CC643:CC706" si="431">IF(CD643="","","Stas and Kulhawy 1984")</f>
        <v/>
      </c>
      <c r="CD643" t="str">
        <f t="shared" si="414"/>
        <v/>
      </c>
      <c r="CE643" t="str">
        <f t="shared" ref="CE643:CE706" si="432">IF(CF643="","","Bowles 5th edition")</f>
        <v>Bowles 5th edition</v>
      </c>
      <c r="CF643">
        <f t="shared" si="415"/>
        <v>128</v>
      </c>
      <c r="CG643" t="str">
        <f t="shared" ref="CG643:CG706" si="433">IF(CH643="","","Relationship (Gs=2.67)")</f>
        <v/>
      </c>
      <c r="CH643" t="str">
        <f t="shared" si="416"/>
        <v/>
      </c>
      <c r="CI643" t="str">
        <f t="shared" ref="CI643:CI706" si="434">IF(CJ643="","","Hazen, 1911 (c=1.5)")</f>
        <v/>
      </c>
      <c r="CJ643" t="str">
        <f t="shared" si="406"/>
        <v/>
      </c>
    </row>
    <row r="644" spans="2:88" x14ac:dyDescent="0.3">
      <c r="B644" t="str">
        <f t="shared" si="398"/>
        <v>36.827509-76.121251</v>
      </c>
      <c r="C644" t="s">
        <v>150</v>
      </c>
      <c r="D644">
        <v>36.827508999999999</v>
      </c>
      <c r="E644">
        <v>-76.121251000000001</v>
      </c>
      <c r="F644">
        <v>5</v>
      </c>
      <c r="G644" t="str">
        <f t="shared" si="399"/>
        <v>-28-3036.827509-76.121251</v>
      </c>
      <c r="H644">
        <v>-28</v>
      </c>
      <c r="I644">
        <f t="shared" si="412"/>
        <v>-30</v>
      </c>
      <c r="J644" s="30" t="s">
        <v>21</v>
      </c>
      <c r="L644" t="s">
        <v>17</v>
      </c>
      <c r="M644">
        <v>0</v>
      </c>
      <c r="N644">
        <v>41</v>
      </c>
      <c r="O644">
        <v>13</v>
      </c>
      <c r="P644">
        <v>25</v>
      </c>
      <c r="Q644">
        <v>12</v>
      </c>
      <c r="R644">
        <v>46</v>
      </c>
      <c r="S644" t="str">
        <f t="shared" si="411"/>
        <v>Sand</v>
      </c>
      <c r="T644">
        <f t="shared" si="400"/>
        <v>2</v>
      </c>
      <c r="AA644">
        <v>80</v>
      </c>
      <c r="AB644" s="1">
        <f t="shared" si="407"/>
        <v>0</v>
      </c>
      <c r="AC644">
        <f t="shared" si="408"/>
        <v>0</v>
      </c>
      <c r="AD644">
        <f t="shared" si="401"/>
        <v>2.3333333333333335</v>
      </c>
      <c r="AG644" s="21" t="str">
        <f t="shared" si="417"/>
        <v/>
      </c>
      <c r="AI644" s="6" t="str">
        <f t="shared" si="418"/>
        <v/>
      </c>
      <c r="AM644" s="7" t="str">
        <f t="shared" si="419"/>
        <v/>
      </c>
      <c r="AQ644" s="8" t="str">
        <f t="shared" si="420"/>
        <v/>
      </c>
      <c r="AW644" s="25" t="str">
        <f t="shared" si="421"/>
        <v/>
      </c>
      <c r="AZ644" s="12" t="str">
        <f t="shared" si="422"/>
        <v/>
      </c>
      <c r="BI644" s="17" t="str">
        <f t="shared" si="423"/>
        <v/>
      </c>
      <c r="BM644" t="str">
        <f t="shared" si="386"/>
        <v>SPT Relationship</v>
      </c>
      <c r="BN644">
        <f t="shared" si="374"/>
        <v>95</v>
      </c>
      <c r="BO644" t="str">
        <f t="shared" si="424"/>
        <v>Wolff, 1989</v>
      </c>
      <c r="BP644">
        <f t="shared" si="409"/>
        <v>27</v>
      </c>
      <c r="BQ644" t="str">
        <f t="shared" si="425"/>
        <v>GTENG-2476</v>
      </c>
      <c r="BR644">
        <f t="shared" si="402"/>
        <v>24</v>
      </c>
      <c r="BS644" t="str">
        <f t="shared" si="426"/>
        <v/>
      </c>
      <c r="BT644" t="str">
        <f t="shared" si="410"/>
        <v/>
      </c>
      <c r="BU644" t="str">
        <f t="shared" si="427"/>
        <v>Kulhawy and Mayne 1990</v>
      </c>
      <c r="BV644">
        <f t="shared" si="403"/>
        <v>0.16200000000000001</v>
      </c>
      <c r="BW644" t="str">
        <f t="shared" si="428"/>
        <v>Kulhawy and Mayne 1990</v>
      </c>
      <c r="BX644">
        <f t="shared" si="404"/>
        <v>3.2000000000000001E-2</v>
      </c>
      <c r="BY644" t="str">
        <f t="shared" si="429"/>
        <v>Mesri 1990</v>
      </c>
      <c r="BZ644">
        <f t="shared" si="405"/>
        <v>4.8999999999999998E-3</v>
      </c>
      <c r="CA644" t="str">
        <f t="shared" si="430"/>
        <v>NAVFAC Vol. 7.1 Figure 4</v>
      </c>
      <c r="CB644">
        <f t="shared" si="413"/>
        <v>0.62850312499999994</v>
      </c>
      <c r="CC644" t="str">
        <f t="shared" si="431"/>
        <v>Stas and Kulhawy 1984</v>
      </c>
      <c r="CD644">
        <f t="shared" si="414"/>
        <v>4.4652266698547898</v>
      </c>
      <c r="CE644" t="str">
        <f t="shared" si="432"/>
        <v>Bowles 5th edition</v>
      </c>
      <c r="CF644">
        <f t="shared" si="415"/>
        <v>96</v>
      </c>
      <c r="CG644" t="str">
        <f t="shared" si="433"/>
        <v>Relationship (Gs=2.67)</v>
      </c>
      <c r="CH644">
        <f t="shared" si="416"/>
        <v>1.0900000000000001</v>
      </c>
      <c r="CI644" t="str">
        <f t="shared" si="434"/>
        <v/>
      </c>
      <c r="CJ644" t="str">
        <f t="shared" si="406"/>
        <v/>
      </c>
    </row>
    <row r="645" spans="2:88" x14ac:dyDescent="0.3">
      <c r="B645" t="str">
        <f t="shared" si="398"/>
        <v>36.827509-76.121251</v>
      </c>
      <c r="C645" t="s">
        <v>150</v>
      </c>
      <c r="D645">
        <v>36.827508999999999</v>
      </c>
      <c r="E645">
        <v>-76.121251000000001</v>
      </c>
      <c r="F645">
        <v>5</v>
      </c>
      <c r="G645" t="str">
        <f t="shared" si="399"/>
        <v>-33-3536.827509-76.121251</v>
      </c>
      <c r="H645">
        <v>-33</v>
      </c>
      <c r="I645">
        <f t="shared" si="412"/>
        <v>-35</v>
      </c>
      <c r="J645" s="30" t="s">
        <v>21</v>
      </c>
      <c r="L645" t="s">
        <v>11</v>
      </c>
      <c r="M645">
        <v>0</v>
      </c>
      <c r="S645" t="str">
        <f t="shared" si="411"/>
        <v>Clay</v>
      </c>
      <c r="T645">
        <f t="shared" si="400"/>
        <v>1</v>
      </c>
      <c r="AA645">
        <v>80</v>
      </c>
      <c r="AB645" s="1">
        <f t="shared" si="407"/>
        <v>0</v>
      </c>
      <c r="AC645">
        <f t="shared" si="408"/>
        <v>0</v>
      </c>
      <c r="AD645" t="str">
        <f t="shared" si="401"/>
        <v/>
      </c>
      <c r="AG645" s="21" t="str">
        <f t="shared" si="417"/>
        <v/>
      </c>
      <c r="AI645" s="6" t="str">
        <f t="shared" si="418"/>
        <v/>
      </c>
      <c r="AM645" s="7" t="str">
        <f t="shared" si="419"/>
        <v/>
      </c>
      <c r="AQ645" s="8" t="str">
        <f t="shared" si="420"/>
        <v/>
      </c>
      <c r="AW645" s="25" t="str">
        <f t="shared" si="421"/>
        <v/>
      </c>
      <c r="AZ645" s="12" t="str">
        <f t="shared" si="422"/>
        <v/>
      </c>
      <c r="BI645" s="17" t="str">
        <f t="shared" si="423"/>
        <v/>
      </c>
      <c r="BM645" t="str">
        <f t="shared" si="386"/>
        <v>SPT Relationship</v>
      </c>
      <c r="BN645">
        <f t="shared" si="374"/>
        <v>95</v>
      </c>
      <c r="BO645" t="str">
        <f t="shared" si="424"/>
        <v>Wolff, 1989</v>
      </c>
      <c r="BP645">
        <f t="shared" si="409"/>
        <v>27</v>
      </c>
      <c r="BQ645" t="str">
        <f t="shared" si="425"/>
        <v/>
      </c>
      <c r="BR645" t="str">
        <f t="shared" si="402"/>
        <v/>
      </c>
      <c r="BS645" t="str">
        <f t="shared" si="426"/>
        <v>Stroud 1974 (K=3.5)</v>
      </c>
      <c r="BT645">
        <f t="shared" si="410"/>
        <v>0</v>
      </c>
      <c r="BU645" t="str">
        <f t="shared" si="427"/>
        <v/>
      </c>
      <c r="BV645" t="str">
        <f t="shared" si="403"/>
        <v/>
      </c>
      <c r="BW645" t="str">
        <f t="shared" si="428"/>
        <v/>
      </c>
      <c r="BX645" t="str">
        <f t="shared" si="404"/>
        <v/>
      </c>
      <c r="BY645" t="str">
        <f t="shared" si="429"/>
        <v/>
      </c>
      <c r="BZ645" t="str">
        <f t="shared" si="405"/>
        <v/>
      </c>
      <c r="CA645" t="str">
        <f t="shared" si="430"/>
        <v/>
      </c>
      <c r="CB645" t="str">
        <f t="shared" si="413"/>
        <v/>
      </c>
      <c r="CC645" t="str">
        <f t="shared" si="431"/>
        <v/>
      </c>
      <c r="CD645" t="str">
        <f t="shared" si="414"/>
        <v/>
      </c>
      <c r="CE645" t="str">
        <f t="shared" si="432"/>
        <v/>
      </c>
      <c r="CF645" t="str">
        <f t="shared" si="415"/>
        <v/>
      </c>
      <c r="CG645" t="str">
        <f t="shared" si="433"/>
        <v/>
      </c>
      <c r="CH645" t="str">
        <f t="shared" si="416"/>
        <v/>
      </c>
      <c r="CI645" t="str">
        <f t="shared" si="434"/>
        <v/>
      </c>
      <c r="CJ645" t="str">
        <f t="shared" si="406"/>
        <v/>
      </c>
    </row>
    <row r="646" spans="2:88" x14ac:dyDescent="0.3">
      <c r="B646" t="str">
        <f t="shared" si="398"/>
        <v>36.827509-76.121251</v>
      </c>
      <c r="C646" t="s">
        <v>150</v>
      </c>
      <c r="D646">
        <v>36.827508999999999</v>
      </c>
      <c r="E646">
        <v>-76.121251000000001</v>
      </c>
      <c r="F646">
        <v>5</v>
      </c>
      <c r="G646" t="str">
        <f t="shared" si="399"/>
        <v>-38-4036.827509-76.121251</v>
      </c>
      <c r="H646">
        <v>-38</v>
      </c>
      <c r="I646">
        <f t="shared" si="412"/>
        <v>-40</v>
      </c>
      <c r="J646" s="30" t="s">
        <v>21</v>
      </c>
      <c r="L646" t="s">
        <v>11</v>
      </c>
      <c r="M646">
        <v>2</v>
      </c>
      <c r="S646" t="str">
        <f t="shared" si="411"/>
        <v>Clay</v>
      </c>
      <c r="T646">
        <f t="shared" si="400"/>
        <v>1</v>
      </c>
      <c r="AA646">
        <v>80</v>
      </c>
      <c r="AB646" s="1">
        <f t="shared" si="407"/>
        <v>3</v>
      </c>
      <c r="AC646">
        <f t="shared" si="408"/>
        <v>1</v>
      </c>
      <c r="AD646" t="str">
        <f t="shared" si="401"/>
        <v/>
      </c>
      <c r="AG646" s="21" t="str">
        <f t="shared" si="417"/>
        <v/>
      </c>
      <c r="AI646" s="6" t="str">
        <f t="shared" si="418"/>
        <v/>
      </c>
      <c r="AM646" s="7" t="str">
        <f t="shared" si="419"/>
        <v/>
      </c>
      <c r="AQ646" s="8" t="str">
        <f t="shared" si="420"/>
        <v/>
      </c>
      <c r="AW646" s="25" t="str">
        <f t="shared" si="421"/>
        <v/>
      </c>
      <c r="AZ646" s="12" t="str">
        <f t="shared" si="422"/>
        <v/>
      </c>
      <c r="BI646" s="17" t="str">
        <f t="shared" si="423"/>
        <v/>
      </c>
      <c r="BM646" t="str">
        <f t="shared" si="386"/>
        <v>SPT Relationship</v>
      </c>
      <c r="BN646">
        <f t="shared" si="374"/>
        <v>101</v>
      </c>
      <c r="BO646" t="str">
        <f t="shared" si="424"/>
        <v>Wolff, 1989</v>
      </c>
      <c r="BP646">
        <f t="shared" si="409"/>
        <v>27</v>
      </c>
      <c r="BQ646" t="str">
        <f t="shared" si="425"/>
        <v/>
      </c>
      <c r="BR646" t="str">
        <f t="shared" si="402"/>
        <v/>
      </c>
      <c r="BS646" t="str">
        <f t="shared" si="426"/>
        <v>Stroud 1974 (K=3.5)</v>
      </c>
      <c r="BT646">
        <f t="shared" si="410"/>
        <v>219</v>
      </c>
      <c r="BU646" t="str">
        <f t="shared" si="427"/>
        <v/>
      </c>
      <c r="BV646" t="str">
        <f t="shared" si="403"/>
        <v/>
      </c>
      <c r="BW646" t="str">
        <f t="shared" si="428"/>
        <v/>
      </c>
      <c r="BX646" t="str">
        <f t="shared" si="404"/>
        <v/>
      </c>
      <c r="BY646" t="str">
        <f t="shared" si="429"/>
        <v/>
      </c>
      <c r="BZ646" t="str">
        <f t="shared" si="405"/>
        <v/>
      </c>
      <c r="CA646" t="str">
        <f t="shared" si="430"/>
        <v/>
      </c>
      <c r="CB646" t="str">
        <f t="shared" si="413"/>
        <v/>
      </c>
      <c r="CC646" t="str">
        <f t="shared" si="431"/>
        <v/>
      </c>
      <c r="CD646" t="str">
        <f t="shared" si="414"/>
        <v/>
      </c>
      <c r="CE646" t="str">
        <f t="shared" si="432"/>
        <v/>
      </c>
      <c r="CF646" t="str">
        <f t="shared" si="415"/>
        <v/>
      </c>
      <c r="CG646" t="str">
        <f t="shared" si="433"/>
        <v/>
      </c>
      <c r="CH646" t="str">
        <f t="shared" si="416"/>
        <v/>
      </c>
      <c r="CI646" t="str">
        <f t="shared" si="434"/>
        <v/>
      </c>
      <c r="CJ646" t="str">
        <f t="shared" si="406"/>
        <v/>
      </c>
    </row>
    <row r="647" spans="2:88" x14ac:dyDescent="0.3">
      <c r="B647" t="str">
        <f t="shared" si="398"/>
        <v>36.827509-76.121251</v>
      </c>
      <c r="C647" t="s">
        <v>150</v>
      </c>
      <c r="D647">
        <v>36.827508999999999</v>
      </c>
      <c r="E647">
        <v>-76.121251000000001</v>
      </c>
      <c r="F647">
        <v>5</v>
      </c>
      <c r="G647" t="str">
        <f t="shared" si="399"/>
        <v>-43-4536.827509-76.121251</v>
      </c>
      <c r="H647">
        <v>-43</v>
      </c>
      <c r="I647">
        <f t="shared" si="412"/>
        <v>-45</v>
      </c>
      <c r="J647" s="30" t="s">
        <v>21</v>
      </c>
      <c r="L647" t="s">
        <v>11</v>
      </c>
      <c r="M647">
        <v>3</v>
      </c>
      <c r="S647" t="str">
        <f t="shared" si="411"/>
        <v>Clay</v>
      </c>
      <c r="T647">
        <f t="shared" si="400"/>
        <v>1</v>
      </c>
      <c r="AA647">
        <v>80</v>
      </c>
      <c r="AB647" s="1">
        <f t="shared" si="407"/>
        <v>4</v>
      </c>
      <c r="AC647">
        <f t="shared" si="408"/>
        <v>2</v>
      </c>
      <c r="AD647" t="str">
        <f t="shared" si="401"/>
        <v/>
      </c>
      <c r="AG647" s="21" t="str">
        <f t="shared" si="417"/>
        <v/>
      </c>
      <c r="AI647" s="6" t="str">
        <f t="shared" si="418"/>
        <v/>
      </c>
      <c r="AM647" s="7" t="str">
        <f t="shared" si="419"/>
        <v/>
      </c>
      <c r="AQ647" s="8" t="str">
        <f t="shared" si="420"/>
        <v/>
      </c>
      <c r="AW647" s="25" t="str">
        <f t="shared" si="421"/>
        <v/>
      </c>
      <c r="AZ647" s="12" t="str">
        <f t="shared" si="422"/>
        <v/>
      </c>
      <c r="BI647" s="17" t="str">
        <f t="shared" si="423"/>
        <v/>
      </c>
      <c r="BM647" t="str">
        <f t="shared" si="386"/>
        <v>SPT Relationship</v>
      </c>
      <c r="BN647">
        <f t="shared" si="374"/>
        <v>105</v>
      </c>
      <c r="BO647" t="str">
        <f t="shared" si="424"/>
        <v>Wolff, 1989</v>
      </c>
      <c r="BP647">
        <f t="shared" si="409"/>
        <v>27</v>
      </c>
      <c r="BQ647" t="str">
        <f t="shared" si="425"/>
        <v/>
      </c>
      <c r="BR647" t="str">
        <f t="shared" si="402"/>
        <v/>
      </c>
      <c r="BS647" t="str">
        <f t="shared" si="426"/>
        <v>Stroud 1974 (K=3.5)</v>
      </c>
      <c r="BT647">
        <f t="shared" si="410"/>
        <v>292</v>
      </c>
      <c r="BU647" t="str">
        <f t="shared" si="427"/>
        <v/>
      </c>
      <c r="BV647" t="str">
        <f t="shared" si="403"/>
        <v/>
      </c>
      <c r="BW647" t="str">
        <f t="shared" si="428"/>
        <v/>
      </c>
      <c r="BX647" t="str">
        <f t="shared" si="404"/>
        <v/>
      </c>
      <c r="BY647" t="str">
        <f t="shared" si="429"/>
        <v/>
      </c>
      <c r="BZ647" t="str">
        <f t="shared" si="405"/>
        <v/>
      </c>
      <c r="CA647" t="str">
        <f t="shared" si="430"/>
        <v/>
      </c>
      <c r="CB647" t="str">
        <f t="shared" si="413"/>
        <v/>
      </c>
      <c r="CC647" t="str">
        <f t="shared" si="431"/>
        <v/>
      </c>
      <c r="CD647" t="str">
        <f t="shared" si="414"/>
        <v/>
      </c>
      <c r="CE647" t="str">
        <f t="shared" si="432"/>
        <v/>
      </c>
      <c r="CF647" t="str">
        <f t="shared" si="415"/>
        <v/>
      </c>
      <c r="CG647" t="str">
        <f t="shared" si="433"/>
        <v/>
      </c>
      <c r="CH647" t="str">
        <f t="shared" si="416"/>
        <v/>
      </c>
      <c r="CI647" t="str">
        <f t="shared" si="434"/>
        <v/>
      </c>
      <c r="CJ647" t="str">
        <f t="shared" si="406"/>
        <v/>
      </c>
    </row>
    <row r="648" spans="2:88" x14ac:dyDescent="0.3">
      <c r="B648" t="str">
        <f t="shared" si="398"/>
        <v>36.827767-76.1207</v>
      </c>
      <c r="C648" t="s">
        <v>151</v>
      </c>
      <c r="D648">
        <v>36.827767000000001</v>
      </c>
      <c r="E648">
        <v>-76.120699999999999</v>
      </c>
      <c r="F648">
        <v>5</v>
      </c>
      <c r="G648" t="str">
        <f t="shared" si="399"/>
        <v>5336.827767-76.1207</v>
      </c>
      <c r="H648">
        <v>5</v>
      </c>
      <c r="I648">
        <f>H648-2</f>
        <v>3</v>
      </c>
      <c r="J648" s="30" t="s">
        <v>21</v>
      </c>
      <c r="L648" t="s">
        <v>11</v>
      </c>
      <c r="M648">
        <v>7</v>
      </c>
      <c r="S648" t="str">
        <f t="shared" si="411"/>
        <v>Clay</v>
      </c>
      <c r="T648">
        <f t="shared" si="400"/>
        <v>1</v>
      </c>
      <c r="AA648">
        <v>80</v>
      </c>
      <c r="AB648" s="1">
        <f t="shared" si="407"/>
        <v>9</v>
      </c>
      <c r="AC648">
        <f t="shared" si="408"/>
        <v>27</v>
      </c>
      <c r="AD648" t="str">
        <f t="shared" si="401"/>
        <v/>
      </c>
      <c r="AG648" s="21" t="str">
        <f t="shared" si="417"/>
        <v/>
      </c>
      <c r="AI648" s="6" t="str">
        <f t="shared" si="418"/>
        <v/>
      </c>
      <c r="AM648" s="7" t="str">
        <f t="shared" si="419"/>
        <v/>
      </c>
      <c r="AQ648" s="8" t="str">
        <f t="shared" si="420"/>
        <v/>
      </c>
      <c r="AW648" s="25" t="str">
        <f t="shared" si="421"/>
        <v/>
      </c>
      <c r="AZ648" s="12" t="str">
        <f t="shared" si="422"/>
        <v/>
      </c>
      <c r="BI648" s="17" t="str">
        <f t="shared" si="423"/>
        <v/>
      </c>
      <c r="BM648" t="str">
        <f t="shared" si="386"/>
        <v>SPT Relationship</v>
      </c>
      <c r="BN648">
        <f t="shared" si="374"/>
        <v>114</v>
      </c>
      <c r="BO648" t="str">
        <f t="shared" si="424"/>
        <v>Wolff, 1989</v>
      </c>
      <c r="BP648">
        <f t="shared" si="409"/>
        <v>34</v>
      </c>
      <c r="BQ648" t="str">
        <f t="shared" si="425"/>
        <v/>
      </c>
      <c r="BR648" t="str">
        <f t="shared" si="402"/>
        <v/>
      </c>
      <c r="BS648" t="str">
        <f t="shared" si="426"/>
        <v>Stroud 1974 (K=3.5)</v>
      </c>
      <c r="BT648">
        <f t="shared" si="410"/>
        <v>658</v>
      </c>
      <c r="BU648" t="str">
        <f t="shared" si="427"/>
        <v/>
      </c>
      <c r="BV648" t="str">
        <f t="shared" si="403"/>
        <v/>
      </c>
      <c r="BW648" t="str">
        <f t="shared" si="428"/>
        <v/>
      </c>
      <c r="BX648" t="str">
        <f t="shared" si="404"/>
        <v/>
      </c>
      <c r="BY648" t="str">
        <f t="shared" si="429"/>
        <v/>
      </c>
      <c r="BZ648" t="str">
        <f t="shared" si="405"/>
        <v/>
      </c>
      <c r="CA648" t="str">
        <f t="shared" si="430"/>
        <v/>
      </c>
      <c r="CB648" t="str">
        <f t="shared" si="413"/>
        <v/>
      </c>
      <c r="CC648" t="str">
        <f t="shared" si="431"/>
        <v/>
      </c>
      <c r="CD648" t="str">
        <f t="shared" si="414"/>
        <v/>
      </c>
      <c r="CE648" t="str">
        <f t="shared" si="432"/>
        <v/>
      </c>
      <c r="CF648" t="str">
        <f t="shared" si="415"/>
        <v/>
      </c>
      <c r="CG648" t="str">
        <f t="shared" si="433"/>
        <v/>
      </c>
      <c r="CH648" t="str">
        <f t="shared" si="416"/>
        <v/>
      </c>
      <c r="CI648" t="str">
        <f t="shared" si="434"/>
        <v/>
      </c>
      <c r="CJ648" t="str">
        <f t="shared" si="406"/>
        <v/>
      </c>
    </row>
    <row r="649" spans="2:88" x14ac:dyDescent="0.3">
      <c r="B649" t="str">
        <f t="shared" ref="B649:B650" si="435">""&amp;D649&amp;""&amp;E649</f>
        <v>36.827767-76.1207</v>
      </c>
      <c r="C649" t="s">
        <v>151</v>
      </c>
      <c r="D649">
        <v>36.827767000000001</v>
      </c>
      <c r="E649">
        <v>-76.120699999999999</v>
      </c>
      <c r="F649">
        <v>5</v>
      </c>
      <c r="G649" t="str">
        <f t="shared" ref="G649:G650" si="436">""&amp;H649&amp;""&amp;I649&amp;""&amp;D649&amp;""&amp;E649</f>
        <v>3136.827767-76.1207</v>
      </c>
      <c r="H649">
        <v>3</v>
      </c>
      <c r="I649">
        <f t="shared" ref="I649:I662" si="437">H649-2</f>
        <v>1</v>
      </c>
      <c r="J649" s="30" t="s">
        <v>21</v>
      </c>
      <c r="L649" t="s">
        <v>17</v>
      </c>
      <c r="M649">
        <v>13</v>
      </c>
      <c r="S649" t="str">
        <f t="shared" si="411"/>
        <v>Sand</v>
      </c>
      <c r="T649">
        <f t="shared" ref="T649:T712" si="438">IF(OR(Q649&lt;&gt;"",R649&lt;&gt;""),2,1)</f>
        <v>1</v>
      </c>
      <c r="AA649">
        <v>80</v>
      </c>
      <c r="AB649" s="1">
        <f t="shared" si="407"/>
        <v>17</v>
      </c>
      <c r="AC649">
        <f t="shared" si="408"/>
        <v>37</v>
      </c>
      <c r="AD649" t="str">
        <f t="shared" ref="AD649:AD712" si="439">IF(OR(N649="",O649=""),"",(N649-O649)/(P649-O649))</f>
        <v/>
      </c>
      <c r="AG649" s="21" t="str">
        <f t="shared" si="417"/>
        <v/>
      </c>
      <c r="AI649" s="6" t="str">
        <f t="shared" si="418"/>
        <v/>
      </c>
      <c r="AM649" s="7" t="str">
        <f t="shared" si="419"/>
        <v/>
      </c>
      <c r="AQ649" s="8" t="str">
        <f t="shared" si="420"/>
        <v/>
      </c>
      <c r="AW649" s="25" t="str">
        <f t="shared" si="421"/>
        <v/>
      </c>
      <c r="AZ649" s="12" t="str">
        <f t="shared" si="422"/>
        <v/>
      </c>
      <c r="BI649" s="17" t="str">
        <f t="shared" si="423"/>
        <v/>
      </c>
      <c r="BM649" t="str">
        <f t="shared" ref="BM649:BM712" si="440">IF(BN649="","","SPT Relationship")</f>
        <v>SPT Relationship</v>
      </c>
      <c r="BN649">
        <f t="shared" ref="BN649:BN712" si="441">IFERROR(IF(M649=0,95,ROUND(95*M649^0.095,0)),"")</f>
        <v>121</v>
      </c>
      <c r="BO649" t="str">
        <f t="shared" si="424"/>
        <v>Wolff, 1989</v>
      </c>
      <c r="BP649">
        <f t="shared" si="409"/>
        <v>37</v>
      </c>
      <c r="BQ649" t="str">
        <f t="shared" si="425"/>
        <v/>
      </c>
      <c r="BR649" t="str">
        <f t="shared" ref="BR649:BR712" si="442">IF(P649="","",ROUNDDOWN(28-0.1533*P649+0.000564*P649^2-0.0000008414*P649^3,0))</f>
        <v/>
      </c>
      <c r="BS649" t="str">
        <f t="shared" si="426"/>
        <v/>
      </c>
      <c r="BT649" t="str">
        <f t="shared" si="410"/>
        <v/>
      </c>
      <c r="BU649" t="str">
        <f t="shared" si="427"/>
        <v/>
      </c>
      <c r="BV649" t="str">
        <f t="shared" ref="BV649:BV712" si="443">IF(Q649="","",ROUND(Q649/74,3))</f>
        <v/>
      </c>
      <c r="BW649" t="str">
        <f t="shared" si="428"/>
        <v/>
      </c>
      <c r="BX649" t="str">
        <f t="shared" ref="BX649:BX712" si="444">IF(Q649="","",ROUND(Q649/370,3))</f>
        <v/>
      </c>
      <c r="BY649" t="str">
        <f t="shared" si="429"/>
        <v/>
      </c>
      <c r="BZ649" t="str">
        <f t="shared" ref="BZ649:BZ712" si="445">IF(BV649="","",ROUND(0.03*BV649,4))</f>
        <v/>
      </c>
      <c r="CA649" t="str">
        <f t="shared" si="430"/>
        <v/>
      </c>
      <c r="CB649" t="str">
        <f t="shared" si="413"/>
        <v/>
      </c>
      <c r="CC649" t="str">
        <f t="shared" si="431"/>
        <v/>
      </c>
      <c r="CD649" t="str">
        <f t="shared" si="414"/>
        <v/>
      </c>
      <c r="CE649" t="str">
        <f t="shared" si="432"/>
        <v>Bowles 5th edition</v>
      </c>
      <c r="CF649">
        <f t="shared" si="415"/>
        <v>205</v>
      </c>
      <c r="CG649" t="str">
        <f t="shared" si="433"/>
        <v/>
      </c>
      <c r="CH649" t="str">
        <f t="shared" si="416"/>
        <v/>
      </c>
      <c r="CI649" t="str">
        <f t="shared" si="434"/>
        <v/>
      </c>
      <c r="CJ649" t="str">
        <f t="shared" ref="CJ649:CJ712" si="446">IF(OR(S649="Clay",X649=""),"",1.5*X649^2)</f>
        <v/>
      </c>
    </row>
    <row r="650" spans="2:88" x14ac:dyDescent="0.3">
      <c r="B650" t="str">
        <f t="shared" si="435"/>
        <v>36.827767-76.1207</v>
      </c>
      <c r="C650" t="s">
        <v>151</v>
      </c>
      <c r="D650">
        <v>36.827767000000001</v>
      </c>
      <c r="E650">
        <v>-76.120699999999999</v>
      </c>
      <c r="F650">
        <v>5</v>
      </c>
      <c r="G650" t="str">
        <f t="shared" si="436"/>
        <v>1-136.827767-76.1207</v>
      </c>
      <c r="H650">
        <v>1</v>
      </c>
      <c r="I650">
        <f t="shared" si="437"/>
        <v>-1</v>
      </c>
      <c r="J650" s="30" t="s">
        <v>21</v>
      </c>
      <c r="L650" t="s">
        <v>17</v>
      </c>
      <c r="M650">
        <v>13</v>
      </c>
      <c r="S650" t="str">
        <f t="shared" si="411"/>
        <v>Sand</v>
      </c>
      <c r="T650">
        <f t="shared" si="438"/>
        <v>1</v>
      </c>
      <c r="AA650">
        <v>80</v>
      </c>
      <c r="AB650" s="1">
        <f t="shared" si="407"/>
        <v>17</v>
      </c>
      <c r="AC650">
        <f t="shared" si="408"/>
        <v>30</v>
      </c>
      <c r="AD650" t="str">
        <f t="shared" si="439"/>
        <v/>
      </c>
      <c r="AG650" s="21" t="str">
        <f t="shared" si="417"/>
        <v/>
      </c>
      <c r="AI650" s="6" t="str">
        <f t="shared" si="418"/>
        <v/>
      </c>
      <c r="AM650" s="7" t="str">
        <f t="shared" si="419"/>
        <v/>
      </c>
      <c r="AQ650" s="8" t="str">
        <f t="shared" si="420"/>
        <v/>
      </c>
      <c r="AW650" s="25" t="str">
        <f t="shared" si="421"/>
        <v/>
      </c>
      <c r="AZ650" s="12" t="str">
        <f t="shared" si="422"/>
        <v/>
      </c>
      <c r="BI650" s="17" t="str">
        <f t="shared" si="423"/>
        <v/>
      </c>
      <c r="BM650" t="str">
        <f t="shared" si="440"/>
        <v>SPT Relationship</v>
      </c>
      <c r="BN650">
        <f t="shared" si="441"/>
        <v>121</v>
      </c>
      <c r="BO650" t="str">
        <f t="shared" si="424"/>
        <v>Wolff, 1989</v>
      </c>
      <c r="BP650">
        <f t="shared" si="409"/>
        <v>35</v>
      </c>
      <c r="BQ650" t="str">
        <f t="shared" si="425"/>
        <v/>
      </c>
      <c r="BR650" t="str">
        <f t="shared" si="442"/>
        <v/>
      </c>
      <c r="BS650" t="str">
        <f t="shared" si="426"/>
        <v/>
      </c>
      <c r="BT650" t="str">
        <f t="shared" si="410"/>
        <v/>
      </c>
      <c r="BU650" t="str">
        <f t="shared" si="427"/>
        <v/>
      </c>
      <c r="BV650" t="str">
        <f t="shared" si="443"/>
        <v/>
      </c>
      <c r="BW650" t="str">
        <f t="shared" si="428"/>
        <v/>
      </c>
      <c r="BX650" t="str">
        <f t="shared" si="444"/>
        <v/>
      </c>
      <c r="BY650" t="str">
        <f t="shared" si="429"/>
        <v/>
      </c>
      <c r="BZ650" t="str">
        <f t="shared" si="445"/>
        <v/>
      </c>
      <c r="CA650" t="str">
        <f t="shared" si="430"/>
        <v/>
      </c>
      <c r="CB650" t="str">
        <f t="shared" si="413"/>
        <v/>
      </c>
      <c r="CC650" t="str">
        <f t="shared" si="431"/>
        <v/>
      </c>
      <c r="CD650" t="str">
        <f t="shared" si="414"/>
        <v/>
      </c>
      <c r="CE650" t="str">
        <f t="shared" si="432"/>
        <v>Bowles 5th edition</v>
      </c>
      <c r="CF650">
        <f t="shared" si="415"/>
        <v>205</v>
      </c>
      <c r="CG650" t="str">
        <f t="shared" si="433"/>
        <v/>
      </c>
      <c r="CH650" t="str">
        <f t="shared" si="416"/>
        <v/>
      </c>
      <c r="CI650" t="str">
        <f t="shared" si="434"/>
        <v/>
      </c>
      <c r="CJ650" t="str">
        <f t="shared" si="446"/>
        <v/>
      </c>
    </row>
    <row r="651" spans="2:88" x14ac:dyDescent="0.3">
      <c r="B651" t="str">
        <f t="shared" ref="B651:B662" si="447">""&amp;D651&amp;""&amp;E651</f>
        <v>36.827767-76.1207</v>
      </c>
      <c r="C651" t="s">
        <v>151</v>
      </c>
      <c r="D651">
        <v>36.827767000000001</v>
      </c>
      <c r="E651">
        <v>-76.120699999999999</v>
      </c>
      <c r="F651">
        <v>5</v>
      </c>
      <c r="G651" t="str">
        <f t="shared" ref="G651:G662" si="448">""&amp;H651&amp;""&amp;I651&amp;""&amp;D651&amp;""&amp;E651</f>
        <v>-1-336.827767-76.1207</v>
      </c>
      <c r="H651">
        <v>-1</v>
      </c>
      <c r="I651">
        <f t="shared" si="437"/>
        <v>-3</v>
      </c>
      <c r="J651" s="30" t="s">
        <v>21</v>
      </c>
      <c r="L651" t="s">
        <v>17</v>
      </c>
      <c r="M651">
        <v>7</v>
      </c>
      <c r="S651" t="str">
        <f t="shared" si="411"/>
        <v>Sand</v>
      </c>
      <c r="T651">
        <f t="shared" si="438"/>
        <v>1</v>
      </c>
      <c r="AA651">
        <v>80</v>
      </c>
      <c r="AB651" s="1">
        <f t="shared" si="407"/>
        <v>9</v>
      </c>
      <c r="AC651">
        <f t="shared" si="408"/>
        <v>13</v>
      </c>
      <c r="AD651" t="str">
        <f t="shared" si="439"/>
        <v/>
      </c>
      <c r="AG651" s="21" t="str">
        <f t="shared" si="417"/>
        <v/>
      </c>
      <c r="AI651" s="6" t="str">
        <f t="shared" si="418"/>
        <v/>
      </c>
      <c r="AM651" s="7" t="str">
        <f t="shared" si="419"/>
        <v/>
      </c>
      <c r="AQ651" s="8" t="str">
        <f t="shared" si="420"/>
        <v/>
      </c>
      <c r="AW651" s="25" t="str">
        <f t="shared" si="421"/>
        <v/>
      </c>
      <c r="AZ651" s="12" t="str">
        <f t="shared" si="422"/>
        <v/>
      </c>
      <c r="BI651" s="17" t="str">
        <f t="shared" si="423"/>
        <v/>
      </c>
      <c r="BM651" t="str">
        <f t="shared" si="440"/>
        <v>SPT Relationship</v>
      </c>
      <c r="BN651">
        <f t="shared" si="441"/>
        <v>114</v>
      </c>
      <c r="BO651" t="str">
        <f t="shared" si="424"/>
        <v>Wolff, 1989</v>
      </c>
      <c r="BP651">
        <f t="shared" si="409"/>
        <v>30</v>
      </c>
      <c r="BQ651" t="str">
        <f t="shared" si="425"/>
        <v/>
      </c>
      <c r="BR651" t="str">
        <f t="shared" si="442"/>
        <v/>
      </c>
      <c r="BS651" t="str">
        <f t="shared" si="426"/>
        <v/>
      </c>
      <c r="BT651" t="str">
        <f t="shared" si="410"/>
        <v/>
      </c>
      <c r="BU651" t="str">
        <f t="shared" si="427"/>
        <v/>
      </c>
      <c r="BV651" t="str">
        <f t="shared" si="443"/>
        <v/>
      </c>
      <c r="BW651" t="str">
        <f t="shared" si="428"/>
        <v/>
      </c>
      <c r="BX651" t="str">
        <f t="shared" si="444"/>
        <v/>
      </c>
      <c r="BY651" t="str">
        <f t="shared" si="429"/>
        <v/>
      </c>
      <c r="BZ651" t="str">
        <f t="shared" si="445"/>
        <v/>
      </c>
      <c r="CA651" t="str">
        <f t="shared" si="430"/>
        <v/>
      </c>
      <c r="CB651" t="str">
        <f t="shared" si="413"/>
        <v/>
      </c>
      <c r="CC651" t="str">
        <f t="shared" si="431"/>
        <v/>
      </c>
      <c r="CD651" t="str">
        <f t="shared" si="414"/>
        <v/>
      </c>
      <c r="CE651" t="str">
        <f t="shared" si="432"/>
        <v>Bowles 5th edition</v>
      </c>
      <c r="CF651">
        <f t="shared" si="415"/>
        <v>154</v>
      </c>
      <c r="CG651" t="str">
        <f t="shared" si="433"/>
        <v/>
      </c>
      <c r="CH651" t="str">
        <f t="shared" si="416"/>
        <v/>
      </c>
      <c r="CI651" t="str">
        <f t="shared" si="434"/>
        <v/>
      </c>
      <c r="CJ651" t="str">
        <f t="shared" si="446"/>
        <v/>
      </c>
    </row>
    <row r="652" spans="2:88" x14ac:dyDescent="0.3">
      <c r="B652" t="str">
        <f t="shared" si="447"/>
        <v>36.827767-76.1207</v>
      </c>
      <c r="C652" t="s">
        <v>151</v>
      </c>
      <c r="D652">
        <v>36.827767000000001</v>
      </c>
      <c r="E652">
        <v>-76.120699999999999</v>
      </c>
      <c r="F652">
        <v>5</v>
      </c>
      <c r="G652" t="str">
        <f t="shared" si="448"/>
        <v>-3-536.827767-76.1207</v>
      </c>
      <c r="H652">
        <v>-3</v>
      </c>
      <c r="I652">
        <f t="shared" si="437"/>
        <v>-5</v>
      </c>
      <c r="J652" s="30" t="s">
        <v>21</v>
      </c>
      <c r="L652" t="s">
        <v>16</v>
      </c>
      <c r="M652">
        <v>17</v>
      </c>
      <c r="S652" t="str">
        <f t="shared" si="411"/>
        <v>Sand</v>
      </c>
      <c r="T652">
        <f t="shared" si="438"/>
        <v>1</v>
      </c>
      <c r="AA652">
        <v>80</v>
      </c>
      <c r="AB652" s="1">
        <f t="shared" si="407"/>
        <v>23</v>
      </c>
      <c r="AC652">
        <f t="shared" si="408"/>
        <v>31</v>
      </c>
      <c r="AD652" t="str">
        <f t="shared" si="439"/>
        <v/>
      </c>
      <c r="AG652" s="21" t="str">
        <f t="shared" si="417"/>
        <v/>
      </c>
      <c r="AI652" s="6" t="str">
        <f t="shared" si="418"/>
        <v/>
      </c>
      <c r="AM652" s="7" t="str">
        <f t="shared" si="419"/>
        <v/>
      </c>
      <c r="AQ652" s="8" t="str">
        <f t="shared" si="420"/>
        <v/>
      </c>
      <c r="AW652" s="25" t="str">
        <f t="shared" si="421"/>
        <v/>
      </c>
      <c r="AZ652" s="12" t="str">
        <f t="shared" si="422"/>
        <v/>
      </c>
      <c r="BI652" s="17" t="str">
        <f t="shared" si="423"/>
        <v/>
      </c>
      <c r="BM652" t="str">
        <f t="shared" si="440"/>
        <v>SPT Relationship</v>
      </c>
      <c r="BN652">
        <f t="shared" si="441"/>
        <v>124</v>
      </c>
      <c r="BO652" t="str">
        <f t="shared" si="424"/>
        <v>Wolff, 1989</v>
      </c>
      <c r="BP652">
        <f t="shared" si="409"/>
        <v>35</v>
      </c>
      <c r="BQ652" t="str">
        <f t="shared" si="425"/>
        <v/>
      </c>
      <c r="BR652" t="str">
        <f t="shared" si="442"/>
        <v/>
      </c>
      <c r="BS652" t="str">
        <f t="shared" si="426"/>
        <v/>
      </c>
      <c r="BT652" t="str">
        <f t="shared" si="410"/>
        <v/>
      </c>
      <c r="BU652" t="str">
        <f t="shared" si="427"/>
        <v/>
      </c>
      <c r="BV652" t="str">
        <f t="shared" si="443"/>
        <v/>
      </c>
      <c r="BW652" t="str">
        <f t="shared" si="428"/>
        <v/>
      </c>
      <c r="BX652" t="str">
        <f t="shared" si="444"/>
        <v/>
      </c>
      <c r="BY652" t="str">
        <f t="shared" si="429"/>
        <v/>
      </c>
      <c r="BZ652" t="str">
        <f t="shared" si="445"/>
        <v/>
      </c>
      <c r="CA652" t="str">
        <f t="shared" si="430"/>
        <v/>
      </c>
      <c r="CB652" t="str">
        <f t="shared" si="413"/>
        <v/>
      </c>
      <c r="CC652" t="str">
        <f t="shared" si="431"/>
        <v/>
      </c>
      <c r="CD652" t="str">
        <f t="shared" si="414"/>
        <v/>
      </c>
      <c r="CE652" t="str">
        <f t="shared" si="432"/>
        <v>Bowles 5th edition</v>
      </c>
      <c r="CF652">
        <f t="shared" si="415"/>
        <v>243</v>
      </c>
      <c r="CG652" t="str">
        <f t="shared" si="433"/>
        <v/>
      </c>
      <c r="CH652" t="str">
        <f t="shared" si="416"/>
        <v/>
      </c>
      <c r="CI652" t="str">
        <f t="shared" si="434"/>
        <v/>
      </c>
      <c r="CJ652" t="str">
        <f t="shared" si="446"/>
        <v/>
      </c>
    </row>
    <row r="653" spans="2:88" x14ac:dyDescent="0.3">
      <c r="B653" t="str">
        <f t="shared" si="447"/>
        <v>36.827767-76.1207</v>
      </c>
      <c r="C653" t="s">
        <v>151</v>
      </c>
      <c r="D653">
        <v>36.827767000000001</v>
      </c>
      <c r="E653">
        <v>-76.120699999999999</v>
      </c>
      <c r="F653">
        <v>5</v>
      </c>
      <c r="G653" t="str">
        <f t="shared" si="448"/>
        <v>-5-736.827767-76.1207</v>
      </c>
      <c r="H653">
        <v>-5</v>
      </c>
      <c r="I653">
        <f t="shared" si="437"/>
        <v>-7</v>
      </c>
      <c r="J653" s="30" t="s">
        <v>21</v>
      </c>
      <c r="L653" t="s">
        <v>17</v>
      </c>
      <c r="M653">
        <v>2</v>
      </c>
      <c r="S653" t="str">
        <f t="shared" si="411"/>
        <v>Sand</v>
      </c>
      <c r="T653">
        <f t="shared" si="438"/>
        <v>1</v>
      </c>
      <c r="AA653">
        <v>80</v>
      </c>
      <c r="AB653" s="1">
        <f t="shared" si="407"/>
        <v>3</v>
      </c>
      <c r="AC653">
        <f t="shared" si="408"/>
        <v>3</v>
      </c>
      <c r="AD653" t="str">
        <f t="shared" si="439"/>
        <v/>
      </c>
      <c r="AG653" s="21" t="str">
        <f t="shared" si="417"/>
        <v/>
      </c>
      <c r="AI653" s="6" t="str">
        <f t="shared" si="418"/>
        <v/>
      </c>
      <c r="AM653" s="7" t="str">
        <f t="shared" si="419"/>
        <v/>
      </c>
      <c r="AQ653" s="8" t="str">
        <f t="shared" si="420"/>
        <v/>
      </c>
      <c r="AW653" s="25" t="str">
        <f t="shared" si="421"/>
        <v/>
      </c>
      <c r="AZ653" s="12" t="str">
        <f t="shared" si="422"/>
        <v/>
      </c>
      <c r="BI653" s="17" t="str">
        <f t="shared" si="423"/>
        <v/>
      </c>
      <c r="BM653" t="str">
        <f t="shared" si="440"/>
        <v>SPT Relationship</v>
      </c>
      <c r="BN653">
        <f t="shared" si="441"/>
        <v>101</v>
      </c>
      <c r="BO653" t="str">
        <f t="shared" si="424"/>
        <v>Wolff, 1989</v>
      </c>
      <c r="BP653">
        <f t="shared" si="409"/>
        <v>27</v>
      </c>
      <c r="BQ653" t="str">
        <f t="shared" si="425"/>
        <v/>
      </c>
      <c r="BR653" t="str">
        <f t="shared" si="442"/>
        <v/>
      </c>
      <c r="BS653" t="str">
        <f t="shared" si="426"/>
        <v/>
      </c>
      <c r="BT653" t="str">
        <f t="shared" si="410"/>
        <v/>
      </c>
      <c r="BU653" t="str">
        <f t="shared" si="427"/>
        <v/>
      </c>
      <c r="BV653" t="str">
        <f t="shared" si="443"/>
        <v/>
      </c>
      <c r="BW653" t="str">
        <f t="shared" si="428"/>
        <v/>
      </c>
      <c r="BX653" t="str">
        <f t="shared" si="444"/>
        <v/>
      </c>
      <c r="BY653" t="str">
        <f t="shared" si="429"/>
        <v/>
      </c>
      <c r="BZ653" t="str">
        <f t="shared" si="445"/>
        <v/>
      </c>
      <c r="CA653" t="str">
        <f t="shared" si="430"/>
        <v/>
      </c>
      <c r="CB653" t="str">
        <f t="shared" si="413"/>
        <v/>
      </c>
      <c r="CC653" t="str">
        <f t="shared" si="431"/>
        <v/>
      </c>
      <c r="CD653" t="str">
        <f t="shared" si="414"/>
        <v/>
      </c>
      <c r="CE653" t="str">
        <f t="shared" si="432"/>
        <v>Bowles 5th edition</v>
      </c>
      <c r="CF653">
        <f t="shared" si="415"/>
        <v>115</v>
      </c>
      <c r="CG653" t="str">
        <f t="shared" si="433"/>
        <v/>
      </c>
      <c r="CH653" t="str">
        <f t="shared" si="416"/>
        <v/>
      </c>
      <c r="CI653" t="str">
        <f t="shared" si="434"/>
        <v/>
      </c>
      <c r="CJ653" t="str">
        <f t="shared" si="446"/>
        <v/>
      </c>
    </row>
    <row r="654" spans="2:88" x14ac:dyDescent="0.3">
      <c r="B654" t="str">
        <f t="shared" si="447"/>
        <v>36.827767-76.1207</v>
      </c>
      <c r="C654" t="s">
        <v>151</v>
      </c>
      <c r="D654">
        <v>36.827767000000001</v>
      </c>
      <c r="E654">
        <v>-76.120699999999999</v>
      </c>
      <c r="F654">
        <v>5</v>
      </c>
      <c r="G654" t="str">
        <f t="shared" si="448"/>
        <v>-7-936.827767-76.1207</v>
      </c>
      <c r="H654">
        <v>-7</v>
      </c>
      <c r="I654">
        <f t="shared" si="437"/>
        <v>-9</v>
      </c>
      <c r="J654" s="30" t="s">
        <v>21</v>
      </c>
      <c r="L654" t="s">
        <v>16</v>
      </c>
      <c r="M654">
        <v>14</v>
      </c>
      <c r="S654" t="str">
        <f t="shared" si="411"/>
        <v>Sand</v>
      </c>
      <c r="T654">
        <f t="shared" si="438"/>
        <v>1</v>
      </c>
      <c r="AA654">
        <v>80</v>
      </c>
      <c r="AB654" s="1">
        <f t="shared" si="407"/>
        <v>19</v>
      </c>
      <c r="AC654">
        <f t="shared" si="408"/>
        <v>22</v>
      </c>
      <c r="AD654" t="str">
        <f t="shared" si="439"/>
        <v/>
      </c>
      <c r="AG654" s="21" t="str">
        <f t="shared" si="417"/>
        <v/>
      </c>
      <c r="AI654" s="6" t="str">
        <f t="shared" si="418"/>
        <v/>
      </c>
      <c r="AM654" s="7" t="str">
        <f t="shared" si="419"/>
        <v/>
      </c>
      <c r="AQ654" s="8" t="str">
        <f t="shared" si="420"/>
        <v/>
      </c>
      <c r="AW654" s="25" t="str">
        <f t="shared" si="421"/>
        <v/>
      </c>
      <c r="AZ654" s="12" t="str">
        <f t="shared" si="422"/>
        <v/>
      </c>
      <c r="BI654" s="17" t="str">
        <f t="shared" si="423"/>
        <v/>
      </c>
      <c r="BM654" t="str">
        <f t="shared" si="440"/>
        <v>SPT Relationship</v>
      </c>
      <c r="BN654">
        <f t="shared" si="441"/>
        <v>122</v>
      </c>
      <c r="BO654" t="str">
        <f t="shared" si="424"/>
        <v>Wolff, 1989</v>
      </c>
      <c r="BP654">
        <f t="shared" si="409"/>
        <v>33</v>
      </c>
      <c r="BQ654" t="str">
        <f t="shared" si="425"/>
        <v/>
      </c>
      <c r="BR654" t="str">
        <f t="shared" si="442"/>
        <v/>
      </c>
      <c r="BS654" t="str">
        <f t="shared" si="426"/>
        <v/>
      </c>
      <c r="BT654" t="str">
        <f t="shared" si="410"/>
        <v/>
      </c>
      <c r="BU654" t="str">
        <f t="shared" si="427"/>
        <v/>
      </c>
      <c r="BV654" t="str">
        <f t="shared" si="443"/>
        <v/>
      </c>
      <c r="BW654" t="str">
        <f t="shared" si="428"/>
        <v/>
      </c>
      <c r="BX654" t="str">
        <f t="shared" si="444"/>
        <v/>
      </c>
      <c r="BY654" t="str">
        <f t="shared" si="429"/>
        <v/>
      </c>
      <c r="BZ654" t="str">
        <f t="shared" si="445"/>
        <v/>
      </c>
      <c r="CA654" t="str">
        <f t="shared" si="430"/>
        <v/>
      </c>
      <c r="CB654" t="str">
        <f t="shared" si="413"/>
        <v/>
      </c>
      <c r="CC654" t="str">
        <f t="shared" si="431"/>
        <v/>
      </c>
      <c r="CD654" t="str">
        <f t="shared" si="414"/>
        <v/>
      </c>
      <c r="CE654" t="str">
        <f t="shared" si="432"/>
        <v>Bowles 5th edition</v>
      </c>
      <c r="CF654">
        <f t="shared" si="415"/>
        <v>218</v>
      </c>
      <c r="CG654" t="str">
        <f t="shared" si="433"/>
        <v/>
      </c>
      <c r="CH654" t="str">
        <f t="shared" si="416"/>
        <v/>
      </c>
      <c r="CI654" t="str">
        <f t="shared" si="434"/>
        <v/>
      </c>
      <c r="CJ654" t="str">
        <f t="shared" si="446"/>
        <v/>
      </c>
    </row>
    <row r="655" spans="2:88" x14ac:dyDescent="0.3">
      <c r="B655" t="str">
        <f t="shared" si="447"/>
        <v>36.827767-76.1207</v>
      </c>
      <c r="C655" t="s">
        <v>151</v>
      </c>
      <c r="D655">
        <v>36.827767000000001</v>
      </c>
      <c r="E655">
        <v>-76.120699999999999</v>
      </c>
      <c r="F655">
        <v>5</v>
      </c>
      <c r="G655" t="str">
        <f t="shared" si="448"/>
        <v>-9-1136.827767-76.1207</v>
      </c>
      <c r="H655">
        <v>-9</v>
      </c>
      <c r="I655">
        <f t="shared" si="437"/>
        <v>-11</v>
      </c>
      <c r="J655" s="30" t="s">
        <v>21</v>
      </c>
      <c r="L655" t="s">
        <v>16</v>
      </c>
      <c r="M655">
        <v>22</v>
      </c>
      <c r="S655" t="str">
        <f t="shared" si="411"/>
        <v>Sand</v>
      </c>
      <c r="T655">
        <f t="shared" si="438"/>
        <v>1</v>
      </c>
      <c r="AA655">
        <v>80</v>
      </c>
      <c r="AB655" s="1">
        <f t="shared" si="407"/>
        <v>29</v>
      </c>
      <c r="AC655">
        <f t="shared" si="408"/>
        <v>31</v>
      </c>
      <c r="AD655" t="str">
        <f t="shared" si="439"/>
        <v/>
      </c>
      <c r="AG655" s="21" t="str">
        <f t="shared" si="417"/>
        <v/>
      </c>
      <c r="AI655" s="6" t="str">
        <f t="shared" si="418"/>
        <v/>
      </c>
      <c r="AM655" s="7" t="str">
        <f t="shared" si="419"/>
        <v/>
      </c>
      <c r="AQ655" s="8" t="str">
        <f t="shared" si="420"/>
        <v/>
      </c>
      <c r="AW655" s="25" t="str">
        <f t="shared" si="421"/>
        <v/>
      </c>
      <c r="AZ655" s="12" t="str">
        <f t="shared" si="422"/>
        <v/>
      </c>
      <c r="BI655" s="17" t="str">
        <f t="shared" si="423"/>
        <v/>
      </c>
      <c r="BM655" t="str">
        <f t="shared" si="440"/>
        <v>SPT Relationship</v>
      </c>
      <c r="BN655">
        <f t="shared" si="441"/>
        <v>127</v>
      </c>
      <c r="BO655" t="str">
        <f t="shared" si="424"/>
        <v>Wolff, 1989</v>
      </c>
      <c r="BP655">
        <f t="shared" si="409"/>
        <v>35</v>
      </c>
      <c r="BQ655" t="str">
        <f t="shared" si="425"/>
        <v/>
      </c>
      <c r="BR655" t="str">
        <f t="shared" si="442"/>
        <v/>
      </c>
      <c r="BS655" t="str">
        <f t="shared" si="426"/>
        <v/>
      </c>
      <c r="BT655" t="str">
        <f t="shared" si="410"/>
        <v/>
      </c>
      <c r="BU655" t="str">
        <f t="shared" si="427"/>
        <v/>
      </c>
      <c r="BV655" t="str">
        <f t="shared" si="443"/>
        <v/>
      </c>
      <c r="BW655" t="str">
        <f t="shared" si="428"/>
        <v/>
      </c>
      <c r="BX655" t="str">
        <f t="shared" si="444"/>
        <v/>
      </c>
      <c r="BY655" t="str">
        <f t="shared" si="429"/>
        <v/>
      </c>
      <c r="BZ655" t="str">
        <f t="shared" si="445"/>
        <v/>
      </c>
      <c r="CA655" t="str">
        <f t="shared" si="430"/>
        <v/>
      </c>
      <c r="CB655" t="str">
        <f t="shared" si="413"/>
        <v/>
      </c>
      <c r="CC655" t="str">
        <f t="shared" si="431"/>
        <v/>
      </c>
      <c r="CD655" t="str">
        <f t="shared" si="414"/>
        <v/>
      </c>
      <c r="CE655" t="str">
        <f t="shared" si="432"/>
        <v>Bowles 5th edition</v>
      </c>
      <c r="CF655">
        <f t="shared" si="415"/>
        <v>282</v>
      </c>
      <c r="CG655" t="str">
        <f t="shared" si="433"/>
        <v/>
      </c>
      <c r="CH655" t="str">
        <f t="shared" si="416"/>
        <v/>
      </c>
      <c r="CI655" t="str">
        <f t="shared" si="434"/>
        <v/>
      </c>
      <c r="CJ655" t="str">
        <f t="shared" si="446"/>
        <v/>
      </c>
    </row>
    <row r="656" spans="2:88" x14ac:dyDescent="0.3">
      <c r="B656" t="str">
        <f t="shared" si="447"/>
        <v>36.827767-76.1207</v>
      </c>
      <c r="C656" t="s">
        <v>151</v>
      </c>
      <c r="D656">
        <v>36.827767000000001</v>
      </c>
      <c r="E656">
        <v>-76.120699999999999</v>
      </c>
      <c r="F656">
        <v>5</v>
      </c>
      <c r="G656" t="str">
        <f t="shared" si="448"/>
        <v>-11-1336.827767-76.1207</v>
      </c>
      <c r="H656">
        <v>-11</v>
      </c>
      <c r="I656">
        <f t="shared" si="437"/>
        <v>-13</v>
      </c>
      <c r="J656" s="30" t="s">
        <v>21</v>
      </c>
      <c r="L656" t="s">
        <v>16</v>
      </c>
      <c r="M656">
        <v>26</v>
      </c>
      <c r="S656" t="str">
        <f t="shared" si="411"/>
        <v>Sand</v>
      </c>
      <c r="T656">
        <f t="shared" si="438"/>
        <v>1</v>
      </c>
      <c r="AA656">
        <v>80</v>
      </c>
      <c r="AB656" s="1">
        <f t="shared" si="407"/>
        <v>35</v>
      </c>
      <c r="AC656">
        <f t="shared" si="408"/>
        <v>35</v>
      </c>
      <c r="AD656" t="str">
        <f t="shared" si="439"/>
        <v/>
      </c>
      <c r="AG656" s="21" t="str">
        <f t="shared" si="417"/>
        <v/>
      </c>
      <c r="AI656" s="6" t="str">
        <f t="shared" si="418"/>
        <v/>
      </c>
      <c r="AM656" s="7" t="str">
        <f t="shared" si="419"/>
        <v/>
      </c>
      <c r="AQ656" s="8" t="str">
        <f t="shared" si="420"/>
        <v/>
      </c>
      <c r="AW656" s="25" t="str">
        <f t="shared" si="421"/>
        <v/>
      </c>
      <c r="AZ656" s="12" t="str">
        <f t="shared" si="422"/>
        <v/>
      </c>
      <c r="BI656" s="17" t="str">
        <f t="shared" si="423"/>
        <v/>
      </c>
      <c r="BM656" t="str">
        <f t="shared" si="440"/>
        <v>SPT Relationship</v>
      </c>
      <c r="BN656">
        <f t="shared" si="441"/>
        <v>129</v>
      </c>
      <c r="BO656" t="str">
        <f t="shared" si="424"/>
        <v>Wolff, 1989</v>
      </c>
      <c r="BP656">
        <f t="shared" si="409"/>
        <v>36</v>
      </c>
      <c r="BQ656" t="str">
        <f t="shared" si="425"/>
        <v/>
      </c>
      <c r="BR656" t="str">
        <f t="shared" si="442"/>
        <v/>
      </c>
      <c r="BS656" t="str">
        <f t="shared" si="426"/>
        <v/>
      </c>
      <c r="BT656" t="str">
        <f t="shared" si="410"/>
        <v/>
      </c>
      <c r="BU656" t="str">
        <f t="shared" si="427"/>
        <v/>
      </c>
      <c r="BV656" t="str">
        <f t="shared" si="443"/>
        <v/>
      </c>
      <c r="BW656" t="str">
        <f t="shared" si="428"/>
        <v/>
      </c>
      <c r="BX656" t="str">
        <f t="shared" si="444"/>
        <v/>
      </c>
      <c r="BY656" t="str">
        <f t="shared" si="429"/>
        <v/>
      </c>
      <c r="BZ656" t="str">
        <f t="shared" si="445"/>
        <v/>
      </c>
      <c r="CA656" t="str">
        <f t="shared" si="430"/>
        <v/>
      </c>
      <c r="CB656" t="str">
        <f t="shared" si="413"/>
        <v/>
      </c>
      <c r="CC656" t="str">
        <f t="shared" si="431"/>
        <v/>
      </c>
      <c r="CD656" t="str">
        <f t="shared" si="414"/>
        <v/>
      </c>
      <c r="CE656" t="str">
        <f t="shared" si="432"/>
        <v>Bowles 5th edition</v>
      </c>
      <c r="CF656">
        <f t="shared" si="415"/>
        <v>320</v>
      </c>
      <c r="CG656" t="str">
        <f t="shared" si="433"/>
        <v/>
      </c>
      <c r="CH656" t="str">
        <f t="shared" si="416"/>
        <v/>
      </c>
      <c r="CI656" t="str">
        <f t="shared" si="434"/>
        <v/>
      </c>
      <c r="CJ656" t="str">
        <f t="shared" si="446"/>
        <v/>
      </c>
    </row>
    <row r="657" spans="2:88" x14ac:dyDescent="0.3">
      <c r="B657" t="str">
        <f t="shared" si="447"/>
        <v>36.827767-76.1207</v>
      </c>
      <c r="C657" t="s">
        <v>151</v>
      </c>
      <c r="D657">
        <v>36.827767000000001</v>
      </c>
      <c r="E657">
        <v>-76.120699999999999</v>
      </c>
      <c r="F657">
        <v>5</v>
      </c>
      <c r="G657" t="str">
        <f t="shared" si="448"/>
        <v>-13-1536.827767-76.1207</v>
      </c>
      <c r="H657">
        <v>-13</v>
      </c>
      <c r="I657">
        <f t="shared" si="437"/>
        <v>-15</v>
      </c>
      <c r="J657" s="30" t="s">
        <v>21</v>
      </c>
      <c r="L657" t="s">
        <v>10</v>
      </c>
      <c r="M657">
        <v>13</v>
      </c>
      <c r="S657" t="str">
        <f t="shared" si="411"/>
        <v>Sand</v>
      </c>
      <c r="T657">
        <f t="shared" si="438"/>
        <v>1</v>
      </c>
      <c r="AA657">
        <v>80</v>
      </c>
      <c r="AB657" s="1">
        <f t="shared" si="407"/>
        <v>17</v>
      </c>
      <c r="AC657">
        <f t="shared" si="408"/>
        <v>16</v>
      </c>
      <c r="AD657" t="str">
        <f t="shared" si="439"/>
        <v/>
      </c>
      <c r="AG657" s="21" t="str">
        <f t="shared" si="417"/>
        <v/>
      </c>
      <c r="AI657" s="6" t="str">
        <f t="shared" si="418"/>
        <v/>
      </c>
      <c r="AM657" s="7" t="str">
        <f t="shared" si="419"/>
        <v/>
      </c>
      <c r="AQ657" s="8" t="str">
        <f t="shared" si="420"/>
        <v/>
      </c>
      <c r="AW657" s="25" t="str">
        <f t="shared" si="421"/>
        <v/>
      </c>
      <c r="AZ657" s="12" t="str">
        <f t="shared" si="422"/>
        <v/>
      </c>
      <c r="BI657" s="17" t="str">
        <f t="shared" si="423"/>
        <v/>
      </c>
      <c r="BM657" t="str">
        <f t="shared" si="440"/>
        <v>SPT Relationship</v>
      </c>
      <c r="BN657">
        <f t="shared" si="441"/>
        <v>121</v>
      </c>
      <c r="BO657" t="str">
        <f t="shared" si="424"/>
        <v>Wolff, 1989</v>
      </c>
      <c r="BP657">
        <f t="shared" si="409"/>
        <v>31</v>
      </c>
      <c r="BQ657" t="str">
        <f t="shared" si="425"/>
        <v/>
      </c>
      <c r="BR657" t="str">
        <f t="shared" si="442"/>
        <v/>
      </c>
      <c r="BS657" t="str">
        <f t="shared" si="426"/>
        <v/>
      </c>
      <c r="BT657" t="str">
        <f t="shared" si="410"/>
        <v/>
      </c>
      <c r="BU657" t="str">
        <f t="shared" si="427"/>
        <v/>
      </c>
      <c r="BV657" t="str">
        <f t="shared" si="443"/>
        <v/>
      </c>
      <c r="BW657" t="str">
        <f t="shared" si="428"/>
        <v/>
      </c>
      <c r="BX657" t="str">
        <f t="shared" si="444"/>
        <v/>
      </c>
      <c r="BY657" t="str">
        <f t="shared" si="429"/>
        <v/>
      </c>
      <c r="BZ657" t="str">
        <f t="shared" si="445"/>
        <v/>
      </c>
      <c r="CA657" t="str">
        <f t="shared" si="430"/>
        <v/>
      </c>
      <c r="CB657" t="str">
        <f t="shared" si="413"/>
        <v/>
      </c>
      <c r="CC657" t="str">
        <f t="shared" si="431"/>
        <v/>
      </c>
      <c r="CD657" t="str">
        <f t="shared" si="414"/>
        <v/>
      </c>
      <c r="CE657" t="str">
        <f t="shared" si="432"/>
        <v>Bowles 5th edition</v>
      </c>
      <c r="CF657">
        <f t="shared" si="415"/>
        <v>205</v>
      </c>
      <c r="CG657" t="str">
        <f t="shared" si="433"/>
        <v/>
      </c>
      <c r="CH657" t="str">
        <f t="shared" si="416"/>
        <v/>
      </c>
      <c r="CI657" t="str">
        <f t="shared" si="434"/>
        <v/>
      </c>
      <c r="CJ657" t="str">
        <f t="shared" si="446"/>
        <v/>
      </c>
    </row>
    <row r="658" spans="2:88" x14ac:dyDescent="0.3">
      <c r="B658" t="str">
        <f t="shared" si="447"/>
        <v>36.827767-76.1207</v>
      </c>
      <c r="C658" t="s">
        <v>151</v>
      </c>
      <c r="D658">
        <v>36.827767000000001</v>
      </c>
      <c r="E658">
        <v>-76.120699999999999</v>
      </c>
      <c r="F658">
        <v>5</v>
      </c>
      <c r="G658" t="str">
        <f t="shared" si="448"/>
        <v>-15-1736.827767-76.1207</v>
      </c>
      <c r="H658">
        <v>-15</v>
      </c>
      <c r="I658">
        <f t="shared" si="437"/>
        <v>-17</v>
      </c>
      <c r="J658" s="30" t="s">
        <v>21</v>
      </c>
      <c r="L658" t="s">
        <v>10</v>
      </c>
      <c r="M658">
        <v>13</v>
      </c>
      <c r="S658" t="str">
        <f t="shared" si="411"/>
        <v>Sand</v>
      </c>
      <c r="T658">
        <f t="shared" si="438"/>
        <v>1</v>
      </c>
      <c r="AA658">
        <v>80</v>
      </c>
      <c r="AB658" s="1">
        <f t="shared" si="407"/>
        <v>17</v>
      </c>
      <c r="AC658">
        <f t="shared" si="408"/>
        <v>15</v>
      </c>
      <c r="AD658" t="str">
        <f t="shared" si="439"/>
        <v/>
      </c>
      <c r="AG658" s="21" t="str">
        <f t="shared" si="417"/>
        <v/>
      </c>
      <c r="AI658" s="6" t="str">
        <f t="shared" si="418"/>
        <v/>
      </c>
      <c r="AM658" s="7" t="str">
        <f t="shared" si="419"/>
        <v/>
      </c>
      <c r="AQ658" s="8" t="str">
        <f t="shared" si="420"/>
        <v/>
      </c>
      <c r="AW658" s="25" t="str">
        <f t="shared" si="421"/>
        <v/>
      </c>
      <c r="AZ658" s="12" t="str">
        <f t="shared" si="422"/>
        <v/>
      </c>
      <c r="BI658" s="17" t="str">
        <f t="shared" si="423"/>
        <v/>
      </c>
      <c r="BM658" t="str">
        <f t="shared" si="440"/>
        <v>SPT Relationship</v>
      </c>
      <c r="BN658">
        <f t="shared" si="441"/>
        <v>121</v>
      </c>
      <c r="BO658" t="str">
        <f t="shared" si="424"/>
        <v>Wolff, 1989</v>
      </c>
      <c r="BP658">
        <f t="shared" si="409"/>
        <v>31</v>
      </c>
      <c r="BQ658" t="str">
        <f t="shared" si="425"/>
        <v/>
      </c>
      <c r="BR658" t="str">
        <f t="shared" si="442"/>
        <v/>
      </c>
      <c r="BS658" t="str">
        <f t="shared" si="426"/>
        <v/>
      </c>
      <c r="BT658" t="str">
        <f t="shared" si="410"/>
        <v/>
      </c>
      <c r="BU658" t="str">
        <f t="shared" si="427"/>
        <v/>
      </c>
      <c r="BV658" t="str">
        <f t="shared" si="443"/>
        <v/>
      </c>
      <c r="BW658" t="str">
        <f t="shared" si="428"/>
        <v/>
      </c>
      <c r="BX658" t="str">
        <f t="shared" si="444"/>
        <v/>
      </c>
      <c r="BY658" t="str">
        <f t="shared" si="429"/>
        <v/>
      </c>
      <c r="BZ658" t="str">
        <f t="shared" si="445"/>
        <v/>
      </c>
      <c r="CA658" t="str">
        <f t="shared" si="430"/>
        <v/>
      </c>
      <c r="CB658" t="str">
        <f t="shared" si="413"/>
        <v/>
      </c>
      <c r="CC658" t="str">
        <f t="shared" si="431"/>
        <v/>
      </c>
      <c r="CD658" t="str">
        <f t="shared" si="414"/>
        <v/>
      </c>
      <c r="CE658" t="str">
        <f t="shared" si="432"/>
        <v>Bowles 5th edition</v>
      </c>
      <c r="CF658">
        <f t="shared" si="415"/>
        <v>205</v>
      </c>
      <c r="CG658" t="str">
        <f t="shared" si="433"/>
        <v/>
      </c>
      <c r="CH658" t="str">
        <f t="shared" si="416"/>
        <v/>
      </c>
      <c r="CI658" t="str">
        <f t="shared" si="434"/>
        <v/>
      </c>
      <c r="CJ658" t="str">
        <f t="shared" si="446"/>
        <v/>
      </c>
    </row>
    <row r="659" spans="2:88" x14ac:dyDescent="0.3">
      <c r="B659" t="str">
        <f t="shared" si="447"/>
        <v>36.827767-76.1207</v>
      </c>
      <c r="C659" t="s">
        <v>151</v>
      </c>
      <c r="D659">
        <v>36.827767000000001</v>
      </c>
      <c r="E659">
        <v>-76.120699999999999</v>
      </c>
      <c r="F659">
        <v>5</v>
      </c>
      <c r="G659" t="str">
        <f t="shared" si="448"/>
        <v>-17-1936.827767-76.1207</v>
      </c>
      <c r="H659">
        <v>-17</v>
      </c>
      <c r="I659">
        <f t="shared" si="437"/>
        <v>-19</v>
      </c>
      <c r="J659" s="30" t="s">
        <v>21</v>
      </c>
      <c r="L659" t="s">
        <v>16</v>
      </c>
      <c r="M659">
        <v>14</v>
      </c>
      <c r="S659" t="str">
        <f t="shared" si="411"/>
        <v>Sand</v>
      </c>
      <c r="T659">
        <f t="shared" si="438"/>
        <v>1</v>
      </c>
      <c r="AA659">
        <v>80</v>
      </c>
      <c r="AB659" s="1">
        <f t="shared" ref="AB659:AB722" si="449">IFERROR(ROUND(M659*AA659/60,0),"")</f>
        <v>19</v>
      </c>
      <c r="AC659">
        <f t="shared" ref="AC659:AC722" si="450">IFERROR(ROUNDDOWN(((1/((((F659-I659)*110)*0.047880258888889)/100))^(0.5))*AB659,0),"")</f>
        <v>16</v>
      </c>
      <c r="AD659" t="str">
        <f t="shared" si="439"/>
        <v/>
      </c>
      <c r="AG659" s="21" t="str">
        <f t="shared" si="417"/>
        <v/>
      </c>
      <c r="AI659" s="6" t="str">
        <f t="shared" si="418"/>
        <v/>
      </c>
      <c r="AM659" s="7" t="str">
        <f t="shared" si="419"/>
        <v/>
      </c>
      <c r="AQ659" s="8" t="str">
        <f t="shared" si="420"/>
        <v/>
      </c>
      <c r="AW659" s="25" t="str">
        <f t="shared" si="421"/>
        <v/>
      </c>
      <c r="AZ659" s="12" t="str">
        <f t="shared" si="422"/>
        <v/>
      </c>
      <c r="BI659" s="17" t="str">
        <f t="shared" si="423"/>
        <v/>
      </c>
      <c r="BM659" t="str">
        <f t="shared" si="440"/>
        <v>SPT Relationship</v>
      </c>
      <c r="BN659">
        <f t="shared" si="441"/>
        <v>122</v>
      </c>
      <c r="BO659" t="str">
        <f t="shared" si="424"/>
        <v>Wolff, 1989</v>
      </c>
      <c r="BP659">
        <f t="shared" si="409"/>
        <v>31</v>
      </c>
      <c r="BQ659" t="str">
        <f t="shared" si="425"/>
        <v/>
      </c>
      <c r="BR659" t="str">
        <f t="shared" si="442"/>
        <v/>
      </c>
      <c r="BS659" t="str">
        <f t="shared" si="426"/>
        <v/>
      </c>
      <c r="BT659" t="str">
        <f t="shared" si="410"/>
        <v/>
      </c>
      <c r="BU659" t="str">
        <f t="shared" si="427"/>
        <v/>
      </c>
      <c r="BV659" t="str">
        <f t="shared" si="443"/>
        <v/>
      </c>
      <c r="BW659" t="str">
        <f t="shared" si="428"/>
        <v/>
      </c>
      <c r="BX659" t="str">
        <f t="shared" si="444"/>
        <v/>
      </c>
      <c r="BY659" t="str">
        <f t="shared" si="429"/>
        <v/>
      </c>
      <c r="BZ659" t="str">
        <f t="shared" si="445"/>
        <v/>
      </c>
      <c r="CA659" t="str">
        <f t="shared" si="430"/>
        <v/>
      </c>
      <c r="CB659" t="str">
        <f t="shared" si="413"/>
        <v/>
      </c>
      <c r="CC659" t="str">
        <f t="shared" si="431"/>
        <v/>
      </c>
      <c r="CD659" t="str">
        <f t="shared" si="414"/>
        <v/>
      </c>
      <c r="CE659" t="str">
        <f t="shared" si="432"/>
        <v>Bowles 5th edition</v>
      </c>
      <c r="CF659">
        <f t="shared" si="415"/>
        <v>218</v>
      </c>
      <c r="CG659" t="str">
        <f t="shared" si="433"/>
        <v/>
      </c>
      <c r="CH659" t="str">
        <f t="shared" si="416"/>
        <v/>
      </c>
      <c r="CI659" t="str">
        <f t="shared" si="434"/>
        <v/>
      </c>
      <c r="CJ659" t="str">
        <f t="shared" si="446"/>
        <v/>
      </c>
    </row>
    <row r="660" spans="2:88" x14ac:dyDescent="0.3">
      <c r="B660" t="str">
        <f t="shared" si="447"/>
        <v>36.827767-76.1207</v>
      </c>
      <c r="C660" t="s">
        <v>151</v>
      </c>
      <c r="D660">
        <v>36.827767000000001</v>
      </c>
      <c r="E660">
        <v>-76.120699999999999</v>
      </c>
      <c r="F660">
        <v>5</v>
      </c>
      <c r="G660" t="str">
        <f t="shared" si="448"/>
        <v>-19-2136.827767-76.1207</v>
      </c>
      <c r="H660">
        <v>-19</v>
      </c>
      <c r="I660">
        <f t="shared" si="437"/>
        <v>-21</v>
      </c>
      <c r="J660" s="30" t="s">
        <v>21</v>
      </c>
      <c r="L660" t="s">
        <v>16</v>
      </c>
      <c r="M660">
        <v>15</v>
      </c>
      <c r="S660" t="str">
        <f t="shared" si="411"/>
        <v>Sand</v>
      </c>
      <c r="T660">
        <f t="shared" si="438"/>
        <v>1</v>
      </c>
      <c r="AA660">
        <v>80</v>
      </c>
      <c r="AB660" s="1">
        <f t="shared" si="449"/>
        <v>20</v>
      </c>
      <c r="AC660">
        <f t="shared" si="450"/>
        <v>17</v>
      </c>
      <c r="AD660" t="str">
        <f t="shared" si="439"/>
        <v/>
      </c>
      <c r="AG660" s="21" t="str">
        <f t="shared" si="417"/>
        <v/>
      </c>
      <c r="AI660" s="6" t="str">
        <f t="shared" si="418"/>
        <v/>
      </c>
      <c r="AM660" s="7" t="str">
        <f t="shared" si="419"/>
        <v/>
      </c>
      <c r="AQ660" s="8" t="str">
        <f t="shared" si="420"/>
        <v/>
      </c>
      <c r="AW660" s="25" t="str">
        <f t="shared" si="421"/>
        <v/>
      </c>
      <c r="AZ660" s="12" t="str">
        <f t="shared" si="422"/>
        <v/>
      </c>
      <c r="BI660" s="17" t="str">
        <f t="shared" si="423"/>
        <v/>
      </c>
      <c r="BM660" t="str">
        <f t="shared" si="440"/>
        <v>SPT Relationship</v>
      </c>
      <c r="BN660">
        <f t="shared" si="441"/>
        <v>123</v>
      </c>
      <c r="BO660" t="str">
        <f t="shared" si="424"/>
        <v>Wolff, 1989</v>
      </c>
      <c r="BP660">
        <f t="shared" si="409"/>
        <v>32</v>
      </c>
      <c r="BQ660" t="str">
        <f t="shared" si="425"/>
        <v/>
      </c>
      <c r="BR660" t="str">
        <f t="shared" si="442"/>
        <v/>
      </c>
      <c r="BS660" t="str">
        <f t="shared" si="426"/>
        <v/>
      </c>
      <c r="BT660" t="str">
        <f t="shared" si="410"/>
        <v/>
      </c>
      <c r="BU660" t="str">
        <f t="shared" si="427"/>
        <v/>
      </c>
      <c r="BV660" t="str">
        <f t="shared" si="443"/>
        <v/>
      </c>
      <c r="BW660" t="str">
        <f t="shared" si="428"/>
        <v/>
      </c>
      <c r="BX660" t="str">
        <f t="shared" si="444"/>
        <v/>
      </c>
      <c r="BY660" t="str">
        <f t="shared" si="429"/>
        <v/>
      </c>
      <c r="BZ660" t="str">
        <f t="shared" si="445"/>
        <v/>
      </c>
      <c r="CA660" t="str">
        <f t="shared" si="430"/>
        <v/>
      </c>
      <c r="CB660" t="str">
        <f t="shared" si="413"/>
        <v/>
      </c>
      <c r="CC660" t="str">
        <f t="shared" si="431"/>
        <v/>
      </c>
      <c r="CD660" t="str">
        <f t="shared" si="414"/>
        <v/>
      </c>
      <c r="CE660" t="str">
        <f t="shared" si="432"/>
        <v>Bowles 5th edition</v>
      </c>
      <c r="CF660">
        <f t="shared" si="415"/>
        <v>224</v>
      </c>
      <c r="CG660" t="str">
        <f t="shared" si="433"/>
        <v/>
      </c>
      <c r="CH660" t="str">
        <f t="shared" si="416"/>
        <v/>
      </c>
      <c r="CI660" t="str">
        <f t="shared" si="434"/>
        <v/>
      </c>
      <c r="CJ660" t="str">
        <f t="shared" si="446"/>
        <v/>
      </c>
    </row>
    <row r="661" spans="2:88" x14ac:dyDescent="0.3">
      <c r="B661" t="str">
        <f t="shared" si="447"/>
        <v>36.827767-76.1207</v>
      </c>
      <c r="C661" t="s">
        <v>151</v>
      </c>
      <c r="D661">
        <v>36.827767000000001</v>
      </c>
      <c r="E661">
        <v>-76.120699999999999</v>
      </c>
      <c r="F661">
        <v>5</v>
      </c>
      <c r="G661" t="str">
        <f t="shared" si="448"/>
        <v>-21-2336.827767-76.1207</v>
      </c>
      <c r="H661">
        <v>-21</v>
      </c>
      <c r="I661">
        <f t="shared" si="437"/>
        <v>-23</v>
      </c>
      <c r="J661" s="30" t="s">
        <v>21</v>
      </c>
      <c r="L661" t="s">
        <v>8</v>
      </c>
      <c r="M661">
        <v>1</v>
      </c>
      <c r="S661" t="str">
        <f t="shared" si="411"/>
        <v>Sand</v>
      </c>
      <c r="T661">
        <f t="shared" si="438"/>
        <v>1</v>
      </c>
      <c r="AA661">
        <v>80</v>
      </c>
      <c r="AB661" s="1">
        <f t="shared" si="449"/>
        <v>1</v>
      </c>
      <c r="AC661">
        <f t="shared" si="450"/>
        <v>0</v>
      </c>
      <c r="AD661" t="str">
        <f t="shared" si="439"/>
        <v/>
      </c>
      <c r="AG661" s="21" t="str">
        <f t="shared" si="417"/>
        <v/>
      </c>
      <c r="AI661" s="6" t="str">
        <f t="shared" si="418"/>
        <v/>
      </c>
      <c r="AM661" s="7" t="str">
        <f t="shared" si="419"/>
        <v/>
      </c>
      <c r="AQ661" s="8" t="str">
        <f t="shared" si="420"/>
        <v/>
      </c>
      <c r="AW661" s="25" t="str">
        <f t="shared" si="421"/>
        <v/>
      </c>
      <c r="AZ661" s="12" t="str">
        <f t="shared" si="422"/>
        <v/>
      </c>
      <c r="BI661" s="17" t="str">
        <f t="shared" si="423"/>
        <v/>
      </c>
      <c r="BM661" t="str">
        <f t="shared" si="440"/>
        <v>SPT Relationship</v>
      </c>
      <c r="BN661">
        <f t="shared" si="441"/>
        <v>95</v>
      </c>
      <c r="BO661" t="str">
        <f t="shared" si="424"/>
        <v>Wolff, 1989</v>
      </c>
      <c r="BP661">
        <f t="shared" si="409"/>
        <v>27</v>
      </c>
      <c r="BQ661" t="str">
        <f t="shared" si="425"/>
        <v/>
      </c>
      <c r="BR661" t="str">
        <f t="shared" si="442"/>
        <v/>
      </c>
      <c r="BS661" t="str">
        <f t="shared" si="426"/>
        <v/>
      </c>
      <c r="BT661" t="str">
        <f t="shared" si="410"/>
        <v/>
      </c>
      <c r="BU661" t="str">
        <f t="shared" si="427"/>
        <v/>
      </c>
      <c r="BV661" t="str">
        <f t="shared" si="443"/>
        <v/>
      </c>
      <c r="BW661" t="str">
        <f t="shared" si="428"/>
        <v/>
      </c>
      <c r="BX661" t="str">
        <f t="shared" si="444"/>
        <v/>
      </c>
      <c r="BY661" t="str">
        <f t="shared" si="429"/>
        <v/>
      </c>
      <c r="BZ661" t="str">
        <f t="shared" si="445"/>
        <v/>
      </c>
      <c r="CA661" t="str">
        <f t="shared" si="430"/>
        <v/>
      </c>
      <c r="CB661" t="str">
        <f t="shared" si="413"/>
        <v/>
      </c>
      <c r="CC661" t="str">
        <f t="shared" si="431"/>
        <v/>
      </c>
      <c r="CD661" t="str">
        <f t="shared" si="414"/>
        <v/>
      </c>
      <c r="CE661" t="str">
        <f t="shared" si="432"/>
        <v>Bowles 5th edition</v>
      </c>
      <c r="CF661">
        <f t="shared" si="415"/>
        <v>102</v>
      </c>
      <c r="CG661" t="str">
        <f t="shared" si="433"/>
        <v/>
      </c>
      <c r="CH661" t="str">
        <f t="shared" si="416"/>
        <v/>
      </c>
      <c r="CI661" t="str">
        <f t="shared" si="434"/>
        <v/>
      </c>
      <c r="CJ661" t="str">
        <f t="shared" si="446"/>
        <v/>
      </c>
    </row>
    <row r="662" spans="2:88" x14ac:dyDescent="0.3">
      <c r="B662" t="str">
        <f t="shared" si="447"/>
        <v>36.827767-76.1207</v>
      </c>
      <c r="C662" t="s">
        <v>151</v>
      </c>
      <c r="D662">
        <v>36.827767000000001</v>
      </c>
      <c r="E662">
        <v>-76.120699999999999</v>
      </c>
      <c r="F662">
        <v>5</v>
      </c>
      <c r="G662" t="str">
        <f t="shared" si="448"/>
        <v>-23-2536.827767-76.1207</v>
      </c>
      <c r="H662">
        <v>-23</v>
      </c>
      <c r="I662">
        <f t="shared" si="437"/>
        <v>-25</v>
      </c>
      <c r="J662" s="30" t="s">
        <v>21</v>
      </c>
      <c r="L662" t="s">
        <v>8</v>
      </c>
      <c r="M662">
        <v>5</v>
      </c>
      <c r="S662" t="str">
        <f t="shared" si="411"/>
        <v>Sand</v>
      </c>
      <c r="T662">
        <f t="shared" si="438"/>
        <v>1</v>
      </c>
      <c r="AA662">
        <v>80</v>
      </c>
      <c r="AB662" s="1">
        <f t="shared" si="449"/>
        <v>7</v>
      </c>
      <c r="AC662">
        <f t="shared" si="450"/>
        <v>5</v>
      </c>
      <c r="AD662" t="str">
        <f t="shared" si="439"/>
        <v/>
      </c>
      <c r="AG662" s="21" t="str">
        <f t="shared" si="417"/>
        <v/>
      </c>
      <c r="AI662" s="6" t="str">
        <f t="shared" si="418"/>
        <v/>
      </c>
      <c r="AM662" s="7" t="str">
        <f t="shared" si="419"/>
        <v/>
      </c>
      <c r="AQ662" s="8" t="str">
        <f t="shared" si="420"/>
        <v/>
      </c>
      <c r="AW662" s="25" t="str">
        <f t="shared" si="421"/>
        <v/>
      </c>
      <c r="AZ662" s="12" t="str">
        <f t="shared" si="422"/>
        <v/>
      </c>
      <c r="BI662" s="17" t="str">
        <f t="shared" si="423"/>
        <v/>
      </c>
      <c r="BM662" t="str">
        <f t="shared" si="440"/>
        <v>SPT Relationship</v>
      </c>
      <c r="BN662">
        <f t="shared" si="441"/>
        <v>111</v>
      </c>
      <c r="BO662" t="str">
        <f t="shared" si="424"/>
        <v>Wolff, 1989</v>
      </c>
      <c r="BP662">
        <f t="shared" si="409"/>
        <v>28</v>
      </c>
      <c r="BQ662" t="str">
        <f t="shared" si="425"/>
        <v/>
      </c>
      <c r="BR662" t="str">
        <f t="shared" si="442"/>
        <v/>
      </c>
      <c r="BS662" t="str">
        <f t="shared" si="426"/>
        <v/>
      </c>
      <c r="BT662" t="str">
        <f t="shared" si="410"/>
        <v/>
      </c>
      <c r="BU662" t="str">
        <f t="shared" si="427"/>
        <v/>
      </c>
      <c r="BV662" t="str">
        <f t="shared" si="443"/>
        <v/>
      </c>
      <c r="BW662" t="str">
        <f t="shared" si="428"/>
        <v/>
      </c>
      <c r="BX662" t="str">
        <f t="shared" si="444"/>
        <v/>
      </c>
      <c r="BY662" t="str">
        <f t="shared" si="429"/>
        <v/>
      </c>
      <c r="BZ662" t="str">
        <f t="shared" si="445"/>
        <v/>
      </c>
      <c r="CA662" t="str">
        <f t="shared" si="430"/>
        <v/>
      </c>
      <c r="CB662" t="str">
        <f t="shared" si="413"/>
        <v/>
      </c>
      <c r="CC662" t="str">
        <f t="shared" si="431"/>
        <v/>
      </c>
      <c r="CD662" t="str">
        <f t="shared" si="414"/>
        <v/>
      </c>
      <c r="CE662" t="str">
        <f t="shared" si="432"/>
        <v>Bowles 5th edition</v>
      </c>
      <c r="CF662">
        <f t="shared" si="415"/>
        <v>141</v>
      </c>
      <c r="CG662" t="str">
        <f t="shared" si="433"/>
        <v/>
      </c>
      <c r="CH662" t="str">
        <f t="shared" si="416"/>
        <v/>
      </c>
      <c r="CI662" t="str">
        <f t="shared" si="434"/>
        <v/>
      </c>
      <c r="CJ662" t="str">
        <f t="shared" si="446"/>
        <v/>
      </c>
    </row>
    <row r="663" spans="2:88" x14ac:dyDescent="0.3">
      <c r="T663">
        <f t="shared" si="438"/>
        <v>1</v>
      </c>
      <c r="AA663">
        <v>80</v>
      </c>
      <c r="AB663" s="1">
        <f t="shared" si="449"/>
        <v>0</v>
      </c>
      <c r="AC663" t="str">
        <f t="shared" si="450"/>
        <v/>
      </c>
      <c r="AD663" t="str">
        <f t="shared" si="439"/>
        <v/>
      </c>
      <c r="AG663" s="21" t="str">
        <f t="shared" si="417"/>
        <v/>
      </c>
      <c r="AI663" s="6" t="str">
        <f t="shared" si="418"/>
        <v/>
      </c>
      <c r="AM663" s="7" t="str">
        <f t="shared" si="419"/>
        <v/>
      </c>
      <c r="AQ663" s="8" t="str">
        <f t="shared" si="420"/>
        <v/>
      </c>
      <c r="AW663" s="25" t="str">
        <f t="shared" si="421"/>
        <v/>
      </c>
      <c r="AZ663" s="12" t="str">
        <f t="shared" si="422"/>
        <v/>
      </c>
      <c r="BI663" s="17" t="str">
        <f t="shared" si="423"/>
        <v/>
      </c>
      <c r="BM663" t="str">
        <f t="shared" si="440"/>
        <v>SPT Relationship</v>
      </c>
      <c r="BN663">
        <f t="shared" si="441"/>
        <v>95</v>
      </c>
      <c r="BO663" t="str">
        <f t="shared" si="424"/>
        <v/>
      </c>
      <c r="BP663" t="str">
        <f t="shared" si="409"/>
        <v/>
      </c>
      <c r="BQ663" t="str">
        <f t="shared" si="425"/>
        <v/>
      </c>
      <c r="BR663" t="str">
        <f t="shared" si="442"/>
        <v/>
      </c>
      <c r="BS663" t="str">
        <f t="shared" si="426"/>
        <v/>
      </c>
      <c r="BT663" t="str">
        <f t="shared" si="410"/>
        <v/>
      </c>
      <c r="BU663" t="str">
        <f t="shared" si="427"/>
        <v/>
      </c>
      <c r="BV663" t="str">
        <f t="shared" si="443"/>
        <v/>
      </c>
      <c r="BW663" t="str">
        <f t="shared" si="428"/>
        <v/>
      </c>
      <c r="BX663" t="str">
        <f t="shared" si="444"/>
        <v/>
      </c>
      <c r="BY663" t="str">
        <f t="shared" si="429"/>
        <v/>
      </c>
      <c r="BZ663" t="str">
        <f t="shared" si="445"/>
        <v/>
      </c>
      <c r="CA663" t="str">
        <f t="shared" si="430"/>
        <v/>
      </c>
      <c r="CB663" t="str">
        <f t="shared" si="413"/>
        <v/>
      </c>
      <c r="CC663" t="str">
        <f t="shared" si="431"/>
        <v/>
      </c>
      <c r="CD663" t="str">
        <f t="shared" si="414"/>
        <v/>
      </c>
      <c r="CE663" t="str">
        <f t="shared" si="432"/>
        <v>Bowles 5th edition</v>
      </c>
      <c r="CF663">
        <f t="shared" si="415"/>
        <v>96</v>
      </c>
      <c r="CG663" t="str">
        <f t="shared" si="433"/>
        <v/>
      </c>
      <c r="CH663" t="str">
        <f t="shared" si="416"/>
        <v/>
      </c>
      <c r="CI663" t="str">
        <f t="shared" si="434"/>
        <v/>
      </c>
      <c r="CJ663" t="str">
        <f t="shared" si="446"/>
        <v/>
      </c>
    </row>
    <row r="664" spans="2:88" x14ac:dyDescent="0.3">
      <c r="T664">
        <f t="shared" si="438"/>
        <v>1</v>
      </c>
      <c r="AA664">
        <v>80</v>
      </c>
      <c r="AB664" s="1">
        <f t="shared" si="449"/>
        <v>0</v>
      </c>
      <c r="AC664" t="str">
        <f t="shared" si="450"/>
        <v/>
      </c>
      <c r="AD664" t="str">
        <f t="shared" si="439"/>
        <v/>
      </c>
      <c r="AG664" s="21" t="str">
        <f t="shared" si="417"/>
        <v/>
      </c>
      <c r="AI664" s="6" t="str">
        <f t="shared" si="418"/>
        <v/>
      </c>
      <c r="AM664" s="7" t="str">
        <f t="shared" si="419"/>
        <v/>
      </c>
      <c r="AQ664" s="8" t="str">
        <f t="shared" si="420"/>
        <v/>
      </c>
      <c r="AW664" s="25" t="str">
        <f t="shared" si="421"/>
        <v/>
      </c>
      <c r="AZ664" s="12" t="str">
        <f t="shared" si="422"/>
        <v/>
      </c>
      <c r="BI664" s="17" t="str">
        <f t="shared" si="423"/>
        <v/>
      </c>
      <c r="BM664" t="str">
        <f t="shared" si="440"/>
        <v>SPT Relationship</v>
      </c>
      <c r="BN664">
        <f t="shared" si="441"/>
        <v>95</v>
      </c>
      <c r="BO664" t="str">
        <f t="shared" si="424"/>
        <v/>
      </c>
      <c r="BP664" t="str">
        <f t="shared" si="409"/>
        <v/>
      </c>
      <c r="BQ664" t="str">
        <f t="shared" si="425"/>
        <v/>
      </c>
      <c r="BR664" t="str">
        <f t="shared" si="442"/>
        <v/>
      </c>
      <c r="BS664" t="str">
        <f t="shared" si="426"/>
        <v/>
      </c>
      <c r="BT664" t="str">
        <f t="shared" si="410"/>
        <v/>
      </c>
      <c r="BU664" t="str">
        <f t="shared" si="427"/>
        <v/>
      </c>
      <c r="BV664" t="str">
        <f t="shared" si="443"/>
        <v/>
      </c>
      <c r="BW664" t="str">
        <f t="shared" si="428"/>
        <v/>
      </c>
      <c r="BX664" t="str">
        <f t="shared" si="444"/>
        <v/>
      </c>
      <c r="BY664" t="str">
        <f t="shared" si="429"/>
        <v/>
      </c>
      <c r="BZ664" t="str">
        <f t="shared" si="445"/>
        <v/>
      </c>
      <c r="CA664" t="str">
        <f t="shared" si="430"/>
        <v/>
      </c>
      <c r="CB664" t="str">
        <f t="shared" si="413"/>
        <v/>
      </c>
      <c r="CC664" t="str">
        <f t="shared" si="431"/>
        <v/>
      </c>
      <c r="CD664" t="str">
        <f t="shared" si="414"/>
        <v/>
      </c>
      <c r="CE664" t="str">
        <f t="shared" si="432"/>
        <v>Bowles 5th edition</v>
      </c>
      <c r="CF664">
        <f t="shared" si="415"/>
        <v>96</v>
      </c>
      <c r="CG664" t="str">
        <f t="shared" si="433"/>
        <v/>
      </c>
      <c r="CH664" t="str">
        <f t="shared" si="416"/>
        <v/>
      </c>
      <c r="CI664" t="str">
        <f t="shared" si="434"/>
        <v/>
      </c>
      <c r="CJ664" t="str">
        <f t="shared" si="446"/>
        <v/>
      </c>
    </row>
    <row r="665" spans="2:88" x14ac:dyDescent="0.3">
      <c r="T665">
        <f t="shared" si="438"/>
        <v>1</v>
      </c>
      <c r="AA665">
        <v>80</v>
      </c>
      <c r="AB665" s="1">
        <f t="shared" si="449"/>
        <v>0</v>
      </c>
      <c r="AC665" t="str">
        <f t="shared" si="450"/>
        <v/>
      </c>
      <c r="AD665" t="str">
        <f t="shared" si="439"/>
        <v/>
      </c>
      <c r="AG665" s="21" t="str">
        <f t="shared" si="417"/>
        <v/>
      </c>
      <c r="AI665" s="6" t="str">
        <f t="shared" si="418"/>
        <v/>
      </c>
      <c r="AM665" s="7" t="str">
        <f t="shared" si="419"/>
        <v/>
      </c>
      <c r="AQ665" s="8" t="str">
        <f t="shared" si="420"/>
        <v/>
      </c>
      <c r="AW665" s="25" t="str">
        <f t="shared" si="421"/>
        <v/>
      </c>
      <c r="AZ665" s="12" t="str">
        <f t="shared" si="422"/>
        <v/>
      </c>
      <c r="BI665" s="17" t="str">
        <f t="shared" si="423"/>
        <v/>
      </c>
      <c r="BM665" t="str">
        <f t="shared" si="440"/>
        <v>SPT Relationship</v>
      </c>
      <c r="BN665">
        <f t="shared" si="441"/>
        <v>95</v>
      </c>
      <c r="BO665" t="str">
        <f t="shared" si="424"/>
        <v/>
      </c>
      <c r="BP665" t="str">
        <f t="shared" si="409"/>
        <v/>
      </c>
      <c r="BQ665" t="str">
        <f t="shared" si="425"/>
        <v/>
      </c>
      <c r="BR665" t="str">
        <f t="shared" si="442"/>
        <v/>
      </c>
      <c r="BS665" t="str">
        <f t="shared" si="426"/>
        <v/>
      </c>
      <c r="BT665" t="str">
        <f t="shared" si="410"/>
        <v/>
      </c>
      <c r="BU665" t="str">
        <f t="shared" si="427"/>
        <v/>
      </c>
      <c r="BV665" t="str">
        <f t="shared" si="443"/>
        <v/>
      </c>
      <c r="BW665" t="str">
        <f t="shared" si="428"/>
        <v/>
      </c>
      <c r="BX665" t="str">
        <f t="shared" si="444"/>
        <v/>
      </c>
      <c r="BY665" t="str">
        <f t="shared" si="429"/>
        <v/>
      </c>
      <c r="BZ665" t="str">
        <f t="shared" si="445"/>
        <v/>
      </c>
      <c r="CA665" t="str">
        <f t="shared" si="430"/>
        <v/>
      </c>
      <c r="CB665" t="str">
        <f t="shared" si="413"/>
        <v/>
      </c>
      <c r="CC665" t="str">
        <f t="shared" si="431"/>
        <v/>
      </c>
      <c r="CD665" t="str">
        <f t="shared" si="414"/>
        <v/>
      </c>
      <c r="CE665" t="str">
        <f t="shared" si="432"/>
        <v>Bowles 5th edition</v>
      </c>
      <c r="CF665">
        <f t="shared" si="415"/>
        <v>96</v>
      </c>
      <c r="CG665" t="str">
        <f t="shared" si="433"/>
        <v/>
      </c>
      <c r="CH665" t="str">
        <f t="shared" si="416"/>
        <v/>
      </c>
      <c r="CI665" t="str">
        <f t="shared" si="434"/>
        <v/>
      </c>
      <c r="CJ665" t="str">
        <f t="shared" si="446"/>
        <v/>
      </c>
    </row>
    <row r="666" spans="2:88" x14ac:dyDescent="0.3">
      <c r="T666">
        <f t="shared" si="438"/>
        <v>1</v>
      </c>
      <c r="AA666">
        <v>80</v>
      </c>
      <c r="AB666" s="1">
        <f t="shared" si="449"/>
        <v>0</v>
      </c>
      <c r="AC666" t="str">
        <f t="shared" si="450"/>
        <v/>
      </c>
      <c r="AD666" t="str">
        <f t="shared" si="439"/>
        <v/>
      </c>
      <c r="AG666" s="21" t="str">
        <f t="shared" si="417"/>
        <v/>
      </c>
      <c r="AI666" s="6" t="str">
        <f t="shared" si="418"/>
        <v/>
      </c>
      <c r="AM666" s="7" t="str">
        <f t="shared" si="419"/>
        <v/>
      </c>
      <c r="AQ666" s="8" t="str">
        <f t="shared" si="420"/>
        <v/>
      </c>
      <c r="AW666" s="25" t="str">
        <f t="shared" si="421"/>
        <v/>
      </c>
      <c r="AZ666" s="12" t="str">
        <f t="shared" si="422"/>
        <v/>
      </c>
      <c r="BI666" s="17" t="str">
        <f t="shared" si="423"/>
        <v/>
      </c>
      <c r="BM666" t="str">
        <f t="shared" si="440"/>
        <v>SPT Relationship</v>
      </c>
      <c r="BN666">
        <f t="shared" si="441"/>
        <v>95</v>
      </c>
      <c r="BO666" t="str">
        <f t="shared" si="424"/>
        <v/>
      </c>
      <c r="BP666" t="str">
        <f t="shared" si="409"/>
        <v/>
      </c>
      <c r="BQ666" t="str">
        <f t="shared" si="425"/>
        <v/>
      </c>
      <c r="BR666" t="str">
        <f t="shared" si="442"/>
        <v/>
      </c>
      <c r="BS666" t="str">
        <f t="shared" si="426"/>
        <v/>
      </c>
      <c r="BT666" t="str">
        <f t="shared" si="410"/>
        <v/>
      </c>
      <c r="BU666" t="str">
        <f t="shared" si="427"/>
        <v/>
      </c>
      <c r="BV666" t="str">
        <f t="shared" si="443"/>
        <v/>
      </c>
      <c r="BW666" t="str">
        <f t="shared" si="428"/>
        <v/>
      </c>
      <c r="BX666" t="str">
        <f t="shared" si="444"/>
        <v/>
      </c>
      <c r="BY666" t="str">
        <f t="shared" si="429"/>
        <v/>
      </c>
      <c r="BZ666" t="str">
        <f t="shared" si="445"/>
        <v/>
      </c>
      <c r="CA666" t="str">
        <f t="shared" si="430"/>
        <v/>
      </c>
      <c r="CB666" t="str">
        <f t="shared" si="413"/>
        <v/>
      </c>
      <c r="CC666" t="str">
        <f t="shared" si="431"/>
        <v/>
      </c>
      <c r="CD666" t="str">
        <f t="shared" si="414"/>
        <v/>
      </c>
      <c r="CE666" t="str">
        <f t="shared" si="432"/>
        <v>Bowles 5th edition</v>
      </c>
      <c r="CF666">
        <f t="shared" si="415"/>
        <v>96</v>
      </c>
      <c r="CG666" t="str">
        <f t="shared" si="433"/>
        <v/>
      </c>
      <c r="CH666" t="str">
        <f t="shared" si="416"/>
        <v/>
      </c>
      <c r="CI666" t="str">
        <f t="shared" si="434"/>
        <v/>
      </c>
      <c r="CJ666" t="str">
        <f t="shared" si="446"/>
        <v/>
      </c>
    </row>
    <row r="667" spans="2:88" x14ac:dyDescent="0.3">
      <c r="T667">
        <f t="shared" si="438"/>
        <v>1</v>
      </c>
      <c r="AA667">
        <v>80</v>
      </c>
      <c r="AB667" s="1">
        <f t="shared" si="449"/>
        <v>0</v>
      </c>
      <c r="AC667" t="str">
        <f t="shared" si="450"/>
        <v/>
      </c>
      <c r="AD667" t="str">
        <f t="shared" si="439"/>
        <v/>
      </c>
      <c r="AG667" s="21" t="str">
        <f t="shared" si="417"/>
        <v/>
      </c>
      <c r="AI667" s="6" t="str">
        <f t="shared" si="418"/>
        <v/>
      </c>
      <c r="AM667" s="7" t="str">
        <f t="shared" si="419"/>
        <v/>
      </c>
      <c r="AQ667" s="8" t="str">
        <f t="shared" si="420"/>
        <v/>
      </c>
      <c r="AW667" s="25" t="str">
        <f t="shared" si="421"/>
        <v/>
      </c>
      <c r="AZ667" s="12" t="str">
        <f t="shared" si="422"/>
        <v/>
      </c>
      <c r="BI667" s="17" t="str">
        <f t="shared" si="423"/>
        <v/>
      </c>
      <c r="BM667" t="str">
        <f t="shared" si="440"/>
        <v>SPT Relationship</v>
      </c>
      <c r="BN667">
        <f t="shared" si="441"/>
        <v>95</v>
      </c>
      <c r="BO667" t="str">
        <f t="shared" si="424"/>
        <v/>
      </c>
      <c r="BP667" t="str">
        <f t="shared" si="409"/>
        <v/>
      </c>
      <c r="BQ667" t="str">
        <f t="shared" si="425"/>
        <v/>
      </c>
      <c r="BR667" t="str">
        <f t="shared" si="442"/>
        <v/>
      </c>
      <c r="BS667" t="str">
        <f t="shared" si="426"/>
        <v/>
      </c>
      <c r="BT667" t="str">
        <f t="shared" si="410"/>
        <v/>
      </c>
      <c r="BU667" t="str">
        <f t="shared" si="427"/>
        <v/>
      </c>
      <c r="BV667" t="str">
        <f t="shared" si="443"/>
        <v/>
      </c>
      <c r="BW667" t="str">
        <f t="shared" si="428"/>
        <v/>
      </c>
      <c r="BX667" t="str">
        <f t="shared" si="444"/>
        <v/>
      </c>
      <c r="BY667" t="str">
        <f t="shared" si="429"/>
        <v/>
      </c>
      <c r="BZ667" t="str">
        <f t="shared" si="445"/>
        <v/>
      </c>
      <c r="CA667" t="str">
        <f t="shared" si="430"/>
        <v/>
      </c>
      <c r="CB667" t="str">
        <f t="shared" si="413"/>
        <v/>
      </c>
      <c r="CC667" t="str">
        <f t="shared" si="431"/>
        <v/>
      </c>
      <c r="CD667" t="str">
        <f t="shared" si="414"/>
        <v/>
      </c>
      <c r="CE667" t="str">
        <f t="shared" si="432"/>
        <v>Bowles 5th edition</v>
      </c>
      <c r="CF667">
        <f t="shared" si="415"/>
        <v>96</v>
      </c>
      <c r="CG667" t="str">
        <f t="shared" si="433"/>
        <v/>
      </c>
      <c r="CH667" t="str">
        <f t="shared" si="416"/>
        <v/>
      </c>
      <c r="CI667" t="str">
        <f t="shared" si="434"/>
        <v/>
      </c>
      <c r="CJ667" t="str">
        <f t="shared" si="446"/>
        <v/>
      </c>
    </row>
    <row r="668" spans="2:88" x14ac:dyDescent="0.3">
      <c r="T668">
        <f t="shared" si="438"/>
        <v>1</v>
      </c>
      <c r="AA668">
        <v>80</v>
      </c>
      <c r="AB668" s="1">
        <f t="shared" si="449"/>
        <v>0</v>
      </c>
      <c r="AC668" t="str">
        <f t="shared" si="450"/>
        <v/>
      </c>
      <c r="AD668" t="str">
        <f t="shared" si="439"/>
        <v/>
      </c>
      <c r="AG668" s="21" t="str">
        <f t="shared" si="417"/>
        <v/>
      </c>
      <c r="AI668" s="6" t="str">
        <f t="shared" si="418"/>
        <v/>
      </c>
      <c r="AM668" s="7" t="str">
        <f t="shared" si="419"/>
        <v/>
      </c>
      <c r="AQ668" s="8" t="str">
        <f t="shared" si="420"/>
        <v/>
      </c>
      <c r="AW668" s="25" t="str">
        <f t="shared" si="421"/>
        <v/>
      </c>
      <c r="AZ668" s="12" t="str">
        <f t="shared" si="422"/>
        <v/>
      </c>
      <c r="BI668" s="17" t="str">
        <f t="shared" si="423"/>
        <v/>
      </c>
      <c r="BM668" t="str">
        <f t="shared" si="440"/>
        <v>SPT Relationship</v>
      </c>
      <c r="BN668">
        <f t="shared" si="441"/>
        <v>95</v>
      </c>
      <c r="BO668" t="str">
        <f t="shared" si="424"/>
        <v/>
      </c>
      <c r="BP668" t="str">
        <f t="shared" si="409"/>
        <v/>
      </c>
      <c r="BQ668" t="str">
        <f t="shared" si="425"/>
        <v/>
      </c>
      <c r="BR668" t="str">
        <f t="shared" si="442"/>
        <v/>
      </c>
      <c r="BS668" t="str">
        <f t="shared" si="426"/>
        <v/>
      </c>
      <c r="BT668" t="str">
        <f t="shared" si="410"/>
        <v/>
      </c>
      <c r="BU668" t="str">
        <f t="shared" si="427"/>
        <v/>
      </c>
      <c r="BV668" t="str">
        <f t="shared" si="443"/>
        <v/>
      </c>
      <c r="BW668" t="str">
        <f t="shared" si="428"/>
        <v/>
      </c>
      <c r="BX668" t="str">
        <f t="shared" si="444"/>
        <v/>
      </c>
      <c r="BY668" t="str">
        <f t="shared" si="429"/>
        <v/>
      </c>
      <c r="BZ668" t="str">
        <f t="shared" si="445"/>
        <v/>
      </c>
      <c r="CA668" t="str">
        <f t="shared" si="430"/>
        <v/>
      </c>
      <c r="CB668" t="str">
        <f t="shared" si="413"/>
        <v/>
      </c>
      <c r="CC668" t="str">
        <f t="shared" si="431"/>
        <v/>
      </c>
      <c r="CD668" t="str">
        <f t="shared" si="414"/>
        <v/>
      </c>
      <c r="CE668" t="str">
        <f t="shared" si="432"/>
        <v>Bowles 5th edition</v>
      </c>
      <c r="CF668">
        <f t="shared" si="415"/>
        <v>96</v>
      </c>
      <c r="CG668" t="str">
        <f t="shared" si="433"/>
        <v/>
      </c>
      <c r="CH668" t="str">
        <f t="shared" si="416"/>
        <v/>
      </c>
      <c r="CI668" t="str">
        <f t="shared" si="434"/>
        <v/>
      </c>
      <c r="CJ668" t="str">
        <f t="shared" si="446"/>
        <v/>
      </c>
    </row>
    <row r="669" spans="2:88" x14ac:dyDescent="0.3">
      <c r="T669">
        <f t="shared" si="438"/>
        <v>1</v>
      </c>
      <c r="AA669">
        <v>80</v>
      </c>
      <c r="AB669" s="1">
        <f t="shared" si="449"/>
        <v>0</v>
      </c>
      <c r="AC669" t="str">
        <f t="shared" si="450"/>
        <v/>
      </c>
      <c r="AD669" t="str">
        <f t="shared" si="439"/>
        <v/>
      </c>
      <c r="AG669" s="21" t="str">
        <f t="shared" si="417"/>
        <v/>
      </c>
      <c r="AI669" s="6" t="str">
        <f t="shared" si="418"/>
        <v/>
      </c>
      <c r="AM669" s="7" t="str">
        <f t="shared" si="419"/>
        <v/>
      </c>
      <c r="AQ669" s="8" t="str">
        <f t="shared" si="420"/>
        <v/>
      </c>
      <c r="AW669" s="25" t="str">
        <f t="shared" si="421"/>
        <v/>
      </c>
      <c r="AZ669" s="12" t="str">
        <f t="shared" si="422"/>
        <v/>
      </c>
      <c r="BI669" s="17" t="str">
        <f t="shared" si="423"/>
        <v/>
      </c>
      <c r="BM669" t="str">
        <f t="shared" si="440"/>
        <v>SPT Relationship</v>
      </c>
      <c r="BN669">
        <f t="shared" si="441"/>
        <v>95</v>
      </c>
      <c r="BO669" t="str">
        <f t="shared" si="424"/>
        <v/>
      </c>
      <c r="BP669" t="str">
        <f t="shared" si="409"/>
        <v/>
      </c>
      <c r="BQ669" t="str">
        <f t="shared" si="425"/>
        <v/>
      </c>
      <c r="BR669" t="str">
        <f t="shared" si="442"/>
        <v/>
      </c>
      <c r="BS669" t="str">
        <f t="shared" si="426"/>
        <v/>
      </c>
      <c r="BT669" t="str">
        <f t="shared" si="410"/>
        <v/>
      </c>
      <c r="BU669" t="str">
        <f t="shared" si="427"/>
        <v/>
      </c>
      <c r="BV669" t="str">
        <f t="shared" si="443"/>
        <v/>
      </c>
      <c r="BW669" t="str">
        <f t="shared" si="428"/>
        <v/>
      </c>
      <c r="BX669" t="str">
        <f t="shared" si="444"/>
        <v/>
      </c>
      <c r="BY669" t="str">
        <f t="shared" si="429"/>
        <v/>
      </c>
      <c r="BZ669" t="str">
        <f t="shared" si="445"/>
        <v/>
      </c>
      <c r="CA669" t="str">
        <f t="shared" si="430"/>
        <v/>
      </c>
      <c r="CB669" t="str">
        <f t="shared" si="413"/>
        <v/>
      </c>
      <c r="CC669" t="str">
        <f t="shared" si="431"/>
        <v/>
      </c>
      <c r="CD669" t="str">
        <f t="shared" si="414"/>
        <v/>
      </c>
      <c r="CE669" t="str">
        <f t="shared" si="432"/>
        <v>Bowles 5th edition</v>
      </c>
      <c r="CF669">
        <f t="shared" si="415"/>
        <v>96</v>
      </c>
      <c r="CG669" t="str">
        <f t="shared" si="433"/>
        <v/>
      </c>
      <c r="CH669" t="str">
        <f t="shared" si="416"/>
        <v/>
      </c>
      <c r="CI669" t="str">
        <f t="shared" si="434"/>
        <v/>
      </c>
      <c r="CJ669" t="str">
        <f t="shared" si="446"/>
        <v/>
      </c>
    </row>
    <row r="670" spans="2:88" x14ac:dyDescent="0.3">
      <c r="T670">
        <f t="shared" si="438"/>
        <v>1</v>
      </c>
      <c r="AA670">
        <v>80</v>
      </c>
      <c r="AB670" s="1">
        <f t="shared" si="449"/>
        <v>0</v>
      </c>
      <c r="AC670" t="str">
        <f t="shared" si="450"/>
        <v/>
      </c>
      <c r="AD670" t="str">
        <f t="shared" si="439"/>
        <v/>
      </c>
      <c r="AG670" s="21" t="str">
        <f t="shared" si="417"/>
        <v/>
      </c>
      <c r="AI670" s="6" t="str">
        <f t="shared" si="418"/>
        <v/>
      </c>
      <c r="AM670" s="7" t="str">
        <f t="shared" si="419"/>
        <v/>
      </c>
      <c r="AQ670" s="8" t="str">
        <f t="shared" si="420"/>
        <v/>
      </c>
      <c r="AW670" s="25" t="str">
        <f t="shared" si="421"/>
        <v/>
      </c>
      <c r="AZ670" s="12" t="str">
        <f t="shared" si="422"/>
        <v/>
      </c>
      <c r="BI670" s="17" t="str">
        <f t="shared" si="423"/>
        <v/>
      </c>
      <c r="BM670" t="str">
        <f t="shared" si="440"/>
        <v>SPT Relationship</v>
      </c>
      <c r="BN670">
        <f t="shared" si="441"/>
        <v>95</v>
      </c>
      <c r="BO670" t="str">
        <f t="shared" si="424"/>
        <v/>
      </c>
      <c r="BP670" t="str">
        <f t="shared" si="409"/>
        <v/>
      </c>
      <c r="BQ670" t="str">
        <f t="shared" si="425"/>
        <v/>
      </c>
      <c r="BR670" t="str">
        <f t="shared" si="442"/>
        <v/>
      </c>
      <c r="BS670" t="str">
        <f t="shared" si="426"/>
        <v/>
      </c>
      <c r="BT670" t="str">
        <f t="shared" si="410"/>
        <v/>
      </c>
      <c r="BU670" t="str">
        <f t="shared" si="427"/>
        <v/>
      </c>
      <c r="BV670" t="str">
        <f t="shared" si="443"/>
        <v/>
      </c>
      <c r="BW670" t="str">
        <f t="shared" si="428"/>
        <v/>
      </c>
      <c r="BX670" t="str">
        <f t="shared" si="444"/>
        <v/>
      </c>
      <c r="BY670" t="str">
        <f t="shared" si="429"/>
        <v/>
      </c>
      <c r="BZ670" t="str">
        <f t="shared" si="445"/>
        <v/>
      </c>
      <c r="CA670" t="str">
        <f t="shared" si="430"/>
        <v/>
      </c>
      <c r="CB670" t="str">
        <f t="shared" si="413"/>
        <v/>
      </c>
      <c r="CC670" t="str">
        <f t="shared" si="431"/>
        <v/>
      </c>
      <c r="CD670" t="str">
        <f t="shared" si="414"/>
        <v/>
      </c>
      <c r="CE670" t="str">
        <f t="shared" si="432"/>
        <v>Bowles 5th edition</v>
      </c>
      <c r="CF670">
        <f t="shared" si="415"/>
        <v>96</v>
      </c>
      <c r="CG670" t="str">
        <f t="shared" si="433"/>
        <v/>
      </c>
      <c r="CH670" t="str">
        <f t="shared" si="416"/>
        <v/>
      </c>
      <c r="CI670" t="str">
        <f t="shared" si="434"/>
        <v/>
      </c>
      <c r="CJ670" t="str">
        <f t="shared" si="446"/>
        <v/>
      </c>
    </row>
    <row r="671" spans="2:88" x14ac:dyDescent="0.3">
      <c r="T671">
        <f t="shared" si="438"/>
        <v>1</v>
      </c>
      <c r="AA671">
        <v>80</v>
      </c>
      <c r="AB671" s="1">
        <f t="shared" si="449"/>
        <v>0</v>
      </c>
      <c r="AC671" t="str">
        <f t="shared" si="450"/>
        <v/>
      </c>
      <c r="AD671" t="str">
        <f t="shared" si="439"/>
        <v/>
      </c>
      <c r="AG671" s="21" t="str">
        <f t="shared" si="417"/>
        <v/>
      </c>
      <c r="AI671" s="6" t="str">
        <f t="shared" si="418"/>
        <v/>
      </c>
      <c r="AM671" s="7" t="str">
        <f t="shared" si="419"/>
        <v/>
      </c>
      <c r="AQ671" s="8" t="str">
        <f t="shared" si="420"/>
        <v/>
      </c>
      <c r="AW671" s="25" t="str">
        <f t="shared" si="421"/>
        <v/>
      </c>
      <c r="AZ671" s="12" t="str">
        <f t="shared" si="422"/>
        <v/>
      </c>
      <c r="BI671" s="17" t="str">
        <f t="shared" si="423"/>
        <v/>
      </c>
      <c r="BM671" t="str">
        <f t="shared" si="440"/>
        <v>SPT Relationship</v>
      </c>
      <c r="BN671">
        <f t="shared" si="441"/>
        <v>95</v>
      </c>
      <c r="BO671" t="str">
        <f t="shared" si="424"/>
        <v/>
      </c>
      <c r="BP671" t="str">
        <f t="shared" si="409"/>
        <v/>
      </c>
      <c r="BQ671" t="str">
        <f t="shared" si="425"/>
        <v/>
      </c>
      <c r="BR671" t="str">
        <f t="shared" si="442"/>
        <v/>
      </c>
      <c r="BS671" t="str">
        <f t="shared" si="426"/>
        <v/>
      </c>
      <c r="BT671" t="str">
        <f t="shared" si="410"/>
        <v/>
      </c>
      <c r="BU671" t="str">
        <f t="shared" si="427"/>
        <v/>
      </c>
      <c r="BV671" t="str">
        <f t="shared" si="443"/>
        <v/>
      </c>
      <c r="BW671" t="str">
        <f t="shared" si="428"/>
        <v/>
      </c>
      <c r="BX671" t="str">
        <f t="shared" si="444"/>
        <v/>
      </c>
      <c r="BY671" t="str">
        <f t="shared" si="429"/>
        <v/>
      </c>
      <c r="BZ671" t="str">
        <f t="shared" si="445"/>
        <v/>
      </c>
      <c r="CA671" t="str">
        <f t="shared" si="430"/>
        <v/>
      </c>
      <c r="CB671" t="str">
        <f t="shared" si="413"/>
        <v/>
      </c>
      <c r="CC671" t="str">
        <f t="shared" si="431"/>
        <v/>
      </c>
      <c r="CD671" t="str">
        <f t="shared" si="414"/>
        <v/>
      </c>
      <c r="CE671" t="str">
        <f t="shared" si="432"/>
        <v>Bowles 5th edition</v>
      </c>
      <c r="CF671">
        <f t="shared" si="415"/>
        <v>96</v>
      </c>
      <c r="CG671" t="str">
        <f t="shared" si="433"/>
        <v/>
      </c>
      <c r="CH671" t="str">
        <f t="shared" si="416"/>
        <v/>
      </c>
      <c r="CI671" t="str">
        <f t="shared" si="434"/>
        <v/>
      </c>
      <c r="CJ671" t="str">
        <f t="shared" si="446"/>
        <v/>
      </c>
    </row>
    <row r="672" spans="2:88" x14ac:dyDescent="0.3">
      <c r="T672">
        <f t="shared" si="438"/>
        <v>1</v>
      </c>
      <c r="AA672">
        <v>80</v>
      </c>
      <c r="AB672" s="1">
        <f t="shared" si="449"/>
        <v>0</v>
      </c>
      <c r="AC672" t="str">
        <f t="shared" si="450"/>
        <v/>
      </c>
      <c r="AD672" t="str">
        <f t="shared" si="439"/>
        <v/>
      </c>
      <c r="AG672" s="21" t="str">
        <f t="shared" si="417"/>
        <v/>
      </c>
      <c r="AI672" s="6" t="str">
        <f t="shared" si="418"/>
        <v/>
      </c>
      <c r="AM672" s="7" t="str">
        <f t="shared" si="419"/>
        <v/>
      </c>
      <c r="AQ672" s="8" t="str">
        <f t="shared" si="420"/>
        <v/>
      </c>
      <c r="AW672" s="25" t="str">
        <f t="shared" si="421"/>
        <v/>
      </c>
      <c r="AZ672" s="12" t="str">
        <f t="shared" si="422"/>
        <v/>
      </c>
      <c r="BI672" s="17" t="str">
        <f t="shared" si="423"/>
        <v/>
      </c>
      <c r="BM672" t="str">
        <f t="shared" si="440"/>
        <v>SPT Relationship</v>
      </c>
      <c r="BN672">
        <f t="shared" si="441"/>
        <v>95</v>
      </c>
      <c r="BO672" t="str">
        <f t="shared" si="424"/>
        <v/>
      </c>
      <c r="BP672" t="str">
        <f t="shared" si="409"/>
        <v/>
      </c>
      <c r="BQ672" t="str">
        <f t="shared" si="425"/>
        <v/>
      </c>
      <c r="BR672" t="str">
        <f t="shared" si="442"/>
        <v/>
      </c>
      <c r="BS672" t="str">
        <f t="shared" si="426"/>
        <v/>
      </c>
      <c r="BT672" t="str">
        <f t="shared" si="410"/>
        <v/>
      </c>
      <c r="BU672" t="str">
        <f t="shared" si="427"/>
        <v/>
      </c>
      <c r="BV672" t="str">
        <f t="shared" si="443"/>
        <v/>
      </c>
      <c r="BW672" t="str">
        <f t="shared" si="428"/>
        <v/>
      </c>
      <c r="BX672" t="str">
        <f t="shared" si="444"/>
        <v/>
      </c>
      <c r="BY672" t="str">
        <f t="shared" si="429"/>
        <v/>
      </c>
      <c r="BZ672" t="str">
        <f t="shared" si="445"/>
        <v/>
      </c>
      <c r="CA672" t="str">
        <f t="shared" si="430"/>
        <v/>
      </c>
      <c r="CB672" t="str">
        <f t="shared" si="413"/>
        <v/>
      </c>
      <c r="CC672" t="str">
        <f t="shared" si="431"/>
        <v/>
      </c>
      <c r="CD672" t="str">
        <f t="shared" si="414"/>
        <v/>
      </c>
      <c r="CE672" t="str">
        <f t="shared" si="432"/>
        <v>Bowles 5th edition</v>
      </c>
      <c r="CF672">
        <f t="shared" si="415"/>
        <v>96</v>
      </c>
      <c r="CG672" t="str">
        <f t="shared" si="433"/>
        <v/>
      </c>
      <c r="CH672" t="str">
        <f t="shared" si="416"/>
        <v/>
      </c>
      <c r="CI672" t="str">
        <f t="shared" si="434"/>
        <v/>
      </c>
      <c r="CJ672" t="str">
        <f t="shared" si="446"/>
        <v/>
      </c>
    </row>
    <row r="673" spans="20:88" x14ac:dyDescent="0.3">
      <c r="T673">
        <f t="shared" si="438"/>
        <v>1</v>
      </c>
      <c r="AA673">
        <v>80</v>
      </c>
      <c r="AB673" s="1">
        <f t="shared" si="449"/>
        <v>0</v>
      </c>
      <c r="AC673" t="str">
        <f t="shared" si="450"/>
        <v/>
      </c>
      <c r="AD673" t="str">
        <f t="shared" si="439"/>
        <v/>
      </c>
      <c r="AG673" s="21" t="str">
        <f t="shared" si="417"/>
        <v/>
      </c>
      <c r="AI673" s="6" t="str">
        <f t="shared" si="418"/>
        <v/>
      </c>
      <c r="AM673" s="7" t="str">
        <f t="shared" si="419"/>
        <v/>
      </c>
      <c r="AQ673" s="8" t="str">
        <f t="shared" si="420"/>
        <v/>
      </c>
      <c r="AW673" s="25" t="str">
        <f t="shared" si="421"/>
        <v/>
      </c>
      <c r="AZ673" s="12" t="str">
        <f t="shared" si="422"/>
        <v/>
      </c>
      <c r="BI673" s="17" t="str">
        <f t="shared" si="423"/>
        <v/>
      </c>
      <c r="BM673" t="str">
        <f t="shared" si="440"/>
        <v>SPT Relationship</v>
      </c>
      <c r="BN673">
        <f t="shared" si="441"/>
        <v>95</v>
      </c>
      <c r="BO673" t="str">
        <f t="shared" si="424"/>
        <v/>
      </c>
      <c r="BP673" t="str">
        <f t="shared" si="409"/>
        <v/>
      </c>
      <c r="BQ673" t="str">
        <f t="shared" si="425"/>
        <v/>
      </c>
      <c r="BR673" t="str">
        <f t="shared" si="442"/>
        <v/>
      </c>
      <c r="BS673" t="str">
        <f t="shared" si="426"/>
        <v/>
      </c>
      <c r="BT673" t="str">
        <f t="shared" si="410"/>
        <v/>
      </c>
      <c r="BU673" t="str">
        <f t="shared" si="427"/>
        <v/>
      </c>
      <c r="BV673" t="str">
        <f t="shared" si="443"/>
        <v/>
      </c>
      <c r="BW673" t="str">
        <f t="shared" si="428"/>
        <v/>
      </c>
      <c r="BX673" t="str">
        <f t="shared" si="444"/>
        <v/>
      </c>
      <c r="BY673" t="str">
        <f t="shared" si="429"/>
        <v/>
      </c>
      <c r="BZ673" t="str">
        <f t="shared" si="445"/>
        <v/>
      </c>
      <c r="CA673" t="str">
        <f t="shared" si="430"/>
        <v/>
      </c>
      <c r="CB673" t="str">
        <f t="shared" si="413"/>
        <v/>
      </c>
      <c r="CC673" t="str">
        <f t="shared" si="431"/>
        <v/>
      </c>
      <c r="CD673" t="str">
        <f t="shared" si="414"/>
        <v/>
      </c>
      <c r="CE673" t="str">
        <f t="shared" si="432"/>
        <v>Bowles 5th edition</v>
      </c>
      <c r="CF673">
        <f t="shared" si="415"/>
        <v>96</v>
      </c>
      <c r="CG673" t="str">
        <f t="shared" si="433"/>
        <v/>
      </c>
      <c r="CH673" t="str">
        <f t="shared" si="416"/>
        <v/>
      </c>
      <c r="CI673" t="str">
        <f t="shared" si="434"/>
        <v/>
      </c>
      <c r="CJ673" t="str">
        <f t="shared" si="446"/>
        <v/>
      </c>
    </row>
    <row r="674" spans="20:88" x14ac:dyDescent="0.3">
      <c r="T674">
        <f t="shared" si="438"/>
        <v>1</v>
      </c>
      <c r="AA674">
        <v>80</v>
      </c>
      <c r="AB674" s="1">
        <f t="shared" si="449"/>
        <v>0</v>
      </c>
      <c r="AC674" t="str">
        <f t="shared" si="450"/>
        <v/>
      </c>
      <c r="AD674" t="str">
        <f t="shared" si="439"/>
        <v/>
      </c>
      <c r="AG674" s="21" t="str">
        <f t="shared" si="417"/>
        <v/>
      </c>
      <c r="AI674" s="6" t="str">
        <f t="shared" si="418"/>
        <v/>
      </c>
      <c r="AM674" s="7" t="str">
        <f t="shared" si="419"/>
        <v/>
      </c>
      <c r="AQ674" s="8" t="str">
        <f t="shared" si="420"/>
        <v/>
      </c>
      <c r="AW674" s="25" t="str">
        <f t="shared" si="421"/>
        <v/>
      </c>
      <c r="AZ674" s="12" t="str">
        <f t="shared" si="422"/>
        <v/>
      </c>
      <c r="BI674" s="17" t="str">
        <f t="shared" si="423"/>
        <v/>
      </c>
      <c r="BM674" t="str">
        <f t="shared" si="440"/>
        <v>SPT Relationship</v>
      </c>
      <c r="BN674">
        <f t="shared" si="441"/>
        <v>95</v>
      </c>
      <c r="BO674" t="str">
        <f t="shared" si="424"/>
        <v/>
      </c>
      <c r="BP674" t="str">
        <f t="shared" si="409"/>
        <v/>
      </c>
      <c r="BQ674" t="str">
        <f t="shared" si="425"/>
        <v/>
      </c>
      <c r="BR674" t="str">
        <f t="shared" si="442"/>
        <v/>
      </c>
      <c r="BS674" t="str">
        <f t="shared" si="426"/>
        <v/>
      </c>
      <c r="BT674" t="str">
        <f t="shared" si="410"/>
        <v/>
      </c>
      <c r="BU674" t="str">
        <f t="shared" si="427"/>
        <v/>
      </c>
      <c r="BV674" t="str">
        <f t="shared" si="443"/>
        <v/>
      </c>
      <c r="BW674" t="str">
        <f t="shared" si="428"/>
        <v/>
      </c>
      <c r="BX674" t="str">
        <f t="shared" si="444"/>
        <v/>
      </c>
      <c r="BY674" t="str">
        <f t="shared" si="429"/>
        <v/>
      </c>
      <c r="BZ674" t="str">
        <f t="shared" si="445"/>
        <v/>
      </c>
      <c r="CA674" t="str">
        <f t="shared" si="430"/>
        <v/>
      </c>
      <c r="CB674" t="str">
        <f t="shared" si="413"/>
        <v/>
      </c>
      <c r="CC674" t="str">
        <f t="shared" si="431"/>
        <v/>
      </c>
      <c r="CD674" t="str">
        <f t="shared" si="414"/>
        <v/>
      </c>
      <c r="CE674" t="str">
        <f t="shared" si="432"/>
        <v>Bowles 5th edition</v>
      </c>
      <c r="CF674">
        <f t="shared" si="415"/>
        <v>96</v>
      </c>
      <c r="CG674" t="str">
        <f t="shared" si="433"/>
        <v/>
      </c>
      <c r="CH674" t="str">
        <f t="shared" si="416"/>
        <v/>
      </c>
      <c r="CI674" t="str">
        <f t="shared" si="434"/>
        <v/>
      </c>
      <c r="CJ674" t="str">
        <f t="shared" si="446"/>
        <v/>
      </c>
    </row>
    <row r="675" spans="20:88" x14ac:dyDescent="0.3">
      <c r="T675">
        <f t="shared" si="438"/>
        <v>1</v>
      </c>
      <c r="AA675">
        <v>80</v>
      </c>
      <c r="AB675" s="1">
        <f t="shared" si="449"/>
        <v>0</v>
      </c>
      <c r="AC675" t="str">
        <f t="shared" si="450"/>
        <v/>
      </c>
      <c r="AD675" t="str">
        <f t="shared" si="439"/>
        <v/>
      </c>
      <c r="AG675" s="21" t="str">
        <f t="shared" si="417"/>
        <v/>
      </c>
      <c r="AI675" s="6" t="str">
        <f t="shared" si="418"/>
        <v/>
      </c>
      <c r="AM675" s="7" t="str">
        <f t="shared" si="419"/>
        <v/>
      </c>
      <c r="AQ675" s="8" t="str">
        <f t="shared" si="420"/>
        <v/>
      </c>
      <c r="AW675" s="25" t="str">
        <f t="shared" si="421"/>
        <v/>
      </c>
      <c r="AZ675" s="12" t="str">
        <f t="shared" si="422"/>
        <v/>
      </c>
      <c r="BI675" s="17" t="str">
        <f t="shared" si="423"/>
        <v/>
      </c>
      <c r="BM675" t="str">
        <f t="shared" si="440"/>
        <v>SPT Relationship</v>
      </c>
      <c r="BN675">
        <f t="shared" si="441"/>
        <v>95</v>
      </c>
      <c r="BO675" t="str">
        <f t="shared" si="424"/>
        <v/>
      </c>
      <c r="BP675" t="str">
        <f t="shared" si="409"/>
        <v/>
      </c>
      <c r="BQ675" t="str">
        <f t="shared" si="425"/>
        <v/>
      </c>
      <c r="BR675" t="str">
        <f t="shared" si="442"/>
        <v/>
      </c>
      <c r="BS675" t="str">
        <f t="shared" si="426"/>
        <v/>
      </c>
      <c r="BT675" t="str">
        <f t="shared" si="410"/>
        <v/>
      </c>
      <c r="BU675" t="str">
        <f t="shared" si="427"/>
        <v/>
      </c>
      <c r="BV675" t="str">
        <f t="shared" si="443"/>
        <v/>
      </c>
      <c r="BW675" t="str">
        <f t="shared" si="428"/>
        <v/>
      </c>
      <c r="BX675" t="str">
        <f t="shared" si="444"/>
        <v/>
      </c>
      <c r="BY675" t="str">
        <f t="shared" si="429"/>
        <v/>
      </c>
      <c r="BZ675" t="str">
        <f t="shared" si="445"/>
        <v/>
      </c>
      <c r="CA675" t="str">
        <f t="shared" si="430"/>
        <v/>
      </c>
      <c r="CB675" t="str">
        <f t="shared" si="413"/>
        <v/>
      </c>
      <c r="CC675" t="str">
        <f t="shared" si="431"/>
        <v/>
      </c>
      <c r="CD675" t="str">
        <f t="shared" si="414"/>
        <v/>
      </c>
      <c r="CE675" t="str">
        <f t="shared" si="432"/>
        <v>Bowles 5th edition</v>
      </c>
      <c r="CF675">
        <f t="shared" si="415"/>
        <v>96</v>
      </c>
      <c r="CG675" t="str">
        <f t="shared" si="433"/>
        <v/>
      </c>
      <c r="CH675" t="str">
        <f t="shared" si="416"/>
        <v/>
      </c>
      <c r="CI675" t="str">
        <f t="shared" si="434"/>
        <v/>
      </c>
      <c r="CJ675" t="str">
        <f t="shared" si="446"/>
        <v/>
      </c>
    </row>
    <row r="676" spans="20:88" x14ac:dyDescent="0.3">
      <c r="T676">
        <f t="shared" si="438"/>
        <v>1</v>
      </c>
      <c r="AA676">
        <v>80</v>
      </c>
      <c r="AB676" s="1">
        <f t="shared" si="449"/>
        <v>0</v>
      </c>
      <c r="AC676" t="str">
        <f t="shared" si="450"/>
        <v/>
      </c>
      <c r="AD676" t="str">
        <f t="shared" si="439"/>
        <v/>
      </c>
      <c r="AG676" s="21" t="str">
        <f t="shared" si="417"/>
        <v/>
      </c>
      <c r="AI676" s="6" t="str">
        <f t="shared" si="418"/>
        <v/>
      </c>
      <c r="AM676" s="7" t="str">
        <f t="shared" si="419"/>
        <v/>
      </c>
      <c r="AQ676" s="8" t="str">
        <f t="shared" si="420"/>
        <v/>
      </c>
      <c r="AW676" s="25" t="str">
        <f t="shared" si="421"/>
        <v/>
      </c>
      <c r="AZ676" s="12" t="str">
        <f t="shared" si="422"/>
        <v/>
      </c>
      <c r="BI676" s="17" t="str">
        <f t="shared" si="423"/>
        <v/>
      </c>
      <c r="BM676" t="str">
        <f t="shared" si="440"/>
        <v>SPT Relationship</v>
      </c>
      <c r="BN676">
        <f t="shared" si="441"/>
        <v>95</v>
      </c>
      <c r="BO676" t="str">
        <f t="shared" si="424"/>
        <v/>
      </c>
      <c r="BP676" t="str">
        <f t="shared" ref="BP676:BP739" si="451">IFERROR(ROUNDDOWN(27.1+0.3*AC676-0.00054*AC676^2,0),"")</f>
        <v/>
      </c>
      <c r="BQ676" t="str">
        <f t="shared" si="425"/>
        <v/>
      </c>
      <c r="BR676" t="str">
        <f t="shared" si="442"/>
        <v/>
      </c>
      <c r="BS676" t="str">
        <f t="shared" si="426"/>
        <v/>
      </c>
      <c r="BT676" t="str">
        <f t="shared" ref="BT676:BT739" si="452">IFERROR(IF(S676="Clay",ROUND((3.5*AB676)*20.885434273039,0),""),"")</f>
        <v/>
      </c>
      <c r="BU676" t="str">
        <f t="shared" si="427"/>
        <v/>
      </c>
      <c r="BV676" t="str">
        <f t="shared" si="443"/>
        <v/>
      </c>
      <c r="BW676" t="str">
        <f t="shared" si="428"/>
        <v/>
      </c>
      <c r="BX676" t="str">
        <f t="shared" si="444"/>
        <v/>
      </c>
      <c r="BY676" t="str">
        <f t="shared" si="429"/>
        <v/>
      </c>
      <c r="BZ676" t="str">
        <f t="shared" si="445"/>
        <v/>
      </c>
      <c r="CA676" t="str">
        <f t="shared" si="430"/>
        <v/>
      </c>
      <c r="CB676" t="str">
        <f t="shared" si="413"/>
        <v/>
      </c>
      <c r="CC676" t="str">
        <f t="shared" si="431"/>
        <v/>
      </c>
      <c r="CD676" t="str">
        <f t="shared" si="414"/>
        <v/>
      </c>
      <c r="CE676" t="str">
        <f t="shared" si="432"/>
        <v>Bowles 5th edition</v>
      </c>
      <c r="CF676">
        <f t="shared" si="415"/>
        <v>96</v>
      </c>
      <c r="CG676" t="str">
        <f t="shared" si="433"/>
        <v/>
      </c>
      <c r="CH676" t="str">
        <f t="shared" si="416"/>
        <v/>
      </c>
      <c r="CI676" t="str">
        <f t="shared" si="434"/>
        <v/>
      </c>
      <c r="CJ676" t="str">
        <f t="shared" si="446"/>
        <v/>
      </c>
    </row>
    <row r="677" spans="20:88" x14ac:dyDescent="0.3">
      <c r="T677">
        <f t="shared" si="438"/>
        <v>1</v>
      </c>
      <c r="AA677">
        <v>80</v>
      </c>
      <c r="AB677" s="1">
        <f t="shared" si="449"/>
        <v>0</v>
      </c>
      <c r="AC677" t="str">
        <f t="shared" si="450"/>
        <v/>
      </c>
      <c r="AD677" t="str">
        <f t="shared" si="439"/>
        <v/>
      </c>
      <c r="AG677" s="21" t="str">
        <f t="shared" si="417"/>
        <v/>
      </c>
      <c r="AI677" s="6" t="str">
        <f t="shared" si="418"/>
        <v/>
      </c>
      <c r="AM677" s="7" t="str">
        <f t="shared" si="419"/>
        <v/>
      </c>
      <c r="AQ677" s="8" t="str">
        <f t="shared" si="420"/>
        <v/>
      </c>
      <c r="AW677" s="25" t="str">
        <f t="shared" si="421"/>
        <v/>
      </c>
      <c r="AZ677" s="12" t="str">
        <f t="shared" si="422"/>
        <v/>
      </c>
      <c r="BI677" s="17" t="str">
        <f t="shared" si="423"/>
        <v/>
      </c>
      <c r="BM677" t="str">
        <f t="shared" si="440"/>
        <v>SPT Relationship</v>
      </c>
      <c r="BN677">
        <f t="shared" si="441"/>
        <v>95</v>
      </c>
      <c r="BO677" t="str">
        <f t="shared" si="424"/>
        <v/>
      </c>
      <c r="BP677" t="str">
        <f t="shared" si="451"/>
        <v/>
      </c>
      <c r="BQ677" t="str">
        <f t="shared" si="425"/>
        <v/>
      </c>
      <c r="BR677" t="str">
        <f t="shared" si="442"/>
        <v/>
      </c>
      <c r="BS677" t="str">
        <f t="shared" si="426"/>
        <v/>
      </c>
      <c r="BT677" t="str">
        <f t="shared" si="452"/>
        <v/>
      </c>
      <c r="BU677" t="str">
        <f t="shared" si="427"/>
        <v/>
      </c>
      <c r="BV677" t="str">
        <f t="shared" si="443"/>
        <v/>
      </c>
      <c r="BW677" t="str">
        <f t="shared" si="428"/>
        <v/>
      </c>
      <c r="BX677" t="str">
        <f t="shared" si="444"/>
        <v/>
      </c>
      <c r="BY677" t="str">
        <f t="shared" si="429"/>
        <v/>
      </c>
      <c r="BZ677" t="str">
        <f t="shared" si="445"/>
        <v/>
      </c>
      <c r="CA677" t="str">
        <f t="shared" si="430"/>
        <v/>
      </c>
      <c r="CB677" t="str">
        <f t="shared" si="413"/>
        <v/>
      </c>
      <c r="CC677" t="str">
        <f t="shared" si="431"/>
        <v/>
      </c>
      <c r="CD677" t="str">
        <f t="shared" si="414"/>
        <v/>
      </c>
      <c r="CE677" t="str">
        <f t="shared" si="432"/>
        <v>Bowles 5th edition</v>
      </c>
      <c r="CF677">
        <f t="shared" si="415"/>
        <v>96</v>
      </c>
      <c r="CG677" t="str">
        <f t="shared" si="433"/>
        <v/>
      </c>
      <c r="CH677" t="str">
        <f t="shared" si="416"/>
        <v/>
      </c>
      <c r="CI677" t="str">
        <f t="shared" si="434"/>
        <v/>
      </c>
      <c r="CJ677" t="str">
        <f t="shared" si="446"/>
        <v/>
      </c>
    </row>
    <row r="678" spans="20:88" x14ac:dyDescent="0.3">
      <c r="T678">
        <f t="shared" si="438"/>
        <v>1</v>
      </c>
      <c r="AA678">
        <v>80</v>
      </c>
      <c r="AB678" s="1">
        <f t="shared" si="449"/>
        <v>0</v>
      </c>
      <c r="AC678" t="str">
        <f t="shared" si="450"/>
        <v/>
      </c>
      <c r="AD678" t="str">
        <f t="shared" si="439"/>
        <v/>
      </c>
      <c r="AG678" s="21" t="str">
        <f t="shared" si="417"/>
        <v/>
      </c>
      <c r="AI678" s="6" t="str">
        <f t="shared" si="418"/>
        <v/>
      </c>
      <c r="AM678" s="7" t="str">
        <f t="shared" si="419"/>
        <v/>
      </c>
      <c r="AQ678" s="8" t="str">
        <f t="shared" si="420"/>
        <v/>
      </c>
      <c r="AW678" s="25" t="str">
        <f t="shared" si="421"/>
        <v/>
      </c>
      <c r="AZ678" s="12" t="str">
        <f t="shared" si="422"/>
        <v/>
      </c>
      <c r="BI678" s="17" t="str">
        <f t="shared" si="423"/>
        <v/>
      </c>
      <c r="BM678" t="str">
        <f t="shared" si="440"/>
        <v>SPT Relationship</v>
      </c>
      <c r="BN678">
        <f t="shared" si="441"/>
        <v>95</v>
      </c>
      <c r="BO678" t="str">
        <f t="shared" si="424"/>
        <v/>
      </c>
      <c r="BP678" t="str">
        <f t="shared" si="451"/>
        <v/>
      </c>
      <c r="BQ678" t="str">
        <f t="shared" si="425"/>
        <v/>
      </c>
      <c r="BR678" t="str">
        <f t="shared" si="442"/>
        <v/>
      </c>
      <c r="BS678" t="str">
        <f t="shared" si="426"/>
        <v/>
      </c>
      <c r="BT678" t="str">
        <f t="shared" si="452"/>
        <v/>
      </c>
      <c r="BU678" t="str">
        <f t="shared" si="427"/>
        <v/>
      </c>
      <c r="BV678" t="str">
        <f t="shared" si="443"/>
        <v/>
      </c>
      <c r="BW678" t="str">
        <f t="shared" si="428"/>
        <v/>
      </c>
      <c r="BX678" t="str">
        <f t="shared" si="444"/>
        <v/>
      </c>
      <c r="BY678" t="str">
        <f t="shared" si="429"/>
        <v/>
      </c>
      <c r="BZ678" t="str">
        <f t="shared" si="445"/>
        <v/>
      </c>
      <c r="CA678" t="str">
        <f t="shared" si="430"/>
        <v/>
      </c>
      <c r="CB678" t="str">
        <f t="shared" si="413"/>
        <v/>
      </c>
      <c r="CC678" t="str">
        <f t="shared" si="431"/>
        <v/>
      </c>
      <c r="CD678" t="str">
        <f t="shared" si="414"/>
        <v/>
      </c>
      <c r="CE678" t="str">
        <f t="shared" si="432"/>
        <v>Bowles 5th edition</v>
      </c>
      <c r="CF678">
        <f t="shared" si="415"/>
        <v>96</v>
      </c>
      <c r="CG678" t="str">
        <f t="shared" si="433"/>
        <v/>
      </c>
      <c r="CH678" t="str">
        <f t="shared" si="416"/>
        <v/>
      </c>
      <c r="CI678" t="str">
        <f t="shared" si="434"/>
        <v/>
      </c>
      <c r="CJ678" t="str">
        <f t="shared" si="446"/>
        <v/>
      </c>
    </row>
    <row r="679" spans="20:88" x14ac:dyDescent="0.3">
      <c r="T679">
        <f t="shared" si="438"/>
        <v>1</v>
      </c>
      <c r="AA679">
        <v>80</v>
      </c>
      <c r="AB679" s="1">
        <f t="shared" si="449"/>
        <v>0</v>
      </c>
      <c r="AC679" t="str">
        <f t="shared" si="450"/>
        <v/>
      </c>
      <c r="AD679" t="str">
        <f t="shared" si="439"/>
        <v/>
      </c>
      <c r="AG679" s="21" t="str">
        <f t="shared" si="417"/>
        <v/>
      </c>
      <c r="AI679" s="6" t="str">
        <f t="shared" si="418"/>
        <v/>
      </c>
      <c r="AM679" s="7" t="str">
        <f t="shared" si="419"/>
        <v/>
      </c>
      <c r="AQ679" s="8" t="str">
        <f t="shared" si="420"/>
        <v/>
      </c>
      <c r="AW679" s="25" t="str">
        <f t="shared" si="421"/>
        <v/>
      </c>
      <c r="AZ679" s="12" t="str">
        <f t="shared" si="422"/>
        <v/>
      </c>
      <c r="BI679" s="17" t="str">
        <f t="shared" si="423"/>
        <v/>
      </c>
      <c r="BM679" t="str">
        <f t="shared" si="440"/>
        <v>SPT Relationship</v>
      </c>
      <c r="BN679">
        <f t="shared" si="441"/>
        <v>95</v>
      </c>
      <c r="BO679" t="str">
        <f t="shared" si="424"/>
        <v/>
      </c>
      <c r="BP679" t="str">
        <f t="shared" si="451"/>
        <v/>
      </c>
      <c r="BQ679" t="str">
        <f t="shared" si="425"/>
        <v/>
      </c>
      <c r="BR679" t="str">
        <f t="shared" si="442"/>
        <v/>
      </c>
      <c r="BS679" t="str">
        <f t="shared" si="426"/>
        <v/>
      </c>
      <c r="BT679" t="str">
        <f t="shared" si="452"/>
        <v/>
      </c>
      <c r="BU679" t="str">
        <f t="shared" si="427"/>
        <v/>
      </c>
      <c r="BV679" t="str">
        <f t="shared" si="443"/>
        <v/>
      </c>
      <c r="BW679" t="str">
        <f t="shared" si="428"/>
        <v/>
      </c>
      <c r="BX679" t="str">
        <f t="shared" si="444"/>
        <v/>
      </c>
      <c r="BY679" t="str">
        <f t="shared" si="429"/>
        <v/>
      </c>
      <c r="BZ679" t="str">
        <f t="shared" si="445"/>
        <v/>
      </c>
      <c r="CA679" t="str">
        <f t="shared" si="430"/>
        <v/>
      </c>
      <c r="CB679" t="str">
        <f t="shared" si="413"/>
        <v/>
      </c>
      <c r="CC679" t="str">
        <f t="shared" si="431"/>
        <v/>
      </c>
      <c r="CD679" t="str">
        <f t="shared" si="414"/>
        <v/>
      </c>
      <c r="CE679" t="str">
        <f t="shared" si="432"/>
        <v>Bowles 5th edition</v>
      </c>
      <c r="CF679">
        <f t="shared" si="415"/>
        <v>96</v>
      </c>
      <c r="CG679" t="str">
        <f t="shared" si="433"/>
        <v/>
      </c>
      <c r="CH679" t="str">
        <f t="shared" si="416"/>
        <v/>
      </c>
      <c r="CI679" t="str">
        <f t="shared" si="434"/>
        <v/>
      </c>
      <c r="CJ679" t="str">
        <f t="shared" si="446"/>
        <v/>
      </c>
    </row>
    <row r="680" spans="20:88" x14ac:dyDescent="0.3">
      <c r="T680">
        <f t="shared" si="438"/>
        <v>1</v>
      </c>
      <c r="AA680">
        <v>80</v>
      </c>
      <c r="AB680" s="1">
        <f t="shared" si="449"/>
        <v>0</v>
      </c>
      <c r="AC680" t="str">
        <f t="shared" si="450"/>
        <v/>
      </c>
      <c r="AD680" t="str">
        <f t="shared" si="439"/>
        <v/>
      </c>
      <c r="AG680" s="21" t="str">
        <f t="shared" si="417"/>
        <v/>
      </c>
      <c r="AI680" s="6" t="str">
        <f t="shared" si="418"/>
        <v/>
      </c>
      <c r="AM680" s="7" t="str">
        <f t="shared" si="419"/>
        <v/>
      </c>
      <c r="AQ680" s="8" t="str">
        <f t="shared" si="420"/>
        <v/>
      </c>
      <c r="AW680" s="25" t="str">
        <f t="shared" si="421"/>
        <v/>
      </c>
      <c r="AZ680" s="12" t="str">
        <f t="shared" si="422"/>
        <v/>
      </c>
      <c r="BI680" s="17" t="str">
        <f t="shared" si="423"/>
        <v/>
      </c>
      <c r="BM680" t="str">
        <f t="shared" si="440"/>
        <v>SPT Relationship</v>
      </c>
      <c r="BN680">
        <f t="shared" si="441"/>
        <v>95</v>
      </c>
      <c r="BO680" t="str">
        <f t="shared" si="424"/>
        <v/>
      </c>
      <c r="BP680" t="str">
        <f t="shared" si="451"/>
        <v/>
      </c>
      <c r="BQ680" t="str">
        <f t="shared" si="425"/>
        <v/>
      </c>
      <c r="BR680" t="str">
        <f t="shared" si="442"/>
        <v/>
      </c>
      <c r="BS680" t="str">
        <f t="shared" si="426"/>
        <v/>
      </c>
      <c r="BT680" t="str">
        <f t="shared" si="452"/>
        <v/>
      </c>
      <c r="BU680" t="str">
        <f t="shared" si="427"/>
        <v/>
      </c>
      <c r="BV680" t="str">
        <f t="shared" si="443"/>
        <v/>
      </c>
      <c r="BW680" t="str">
        <f t="shared" si="428"/>
        <v/>
      </c>
      <c r="BX680" t="str">
        <f t="shared" si="444"/>
        <v/>
      </c>
      <c r="BY680" t="str">
        <f t="shared" si="429"/>
        <v/>
      </c>
      <c r="BZ680" t="str">
        <f t="shared" si="445"/>
        <v/>
      </c>
      <c r="CA680" t="str">
        <f t="shared" si="430"/>
        <v/>
      </c>
      <c r="CB680" t="str">
        <f t="shared" si="413"/>
        <v/>
      </c>
      <c r="CC680" t="str">
        <f t="shared" si="431"/>
        <v/>
      </c>
      <c r="CD680" t="str">
        <f t="shared" si="414"/>
        <v/>
      </c>
      <c r="CE680" t="str">
        <f t="shared" si="432"/>
        <v>Bowles 5th edition</v>
      </c>
      <c r="CF680">
        <f t="shared" si="415"/>
        <v>96</v>
      </c>
      <c r="CG680" t="str">
        <f t="shared" si="433"/>
        <v/>
      </c>
      <c r="CH680" t="str">
        <f t="shared" si="416"/>
        <v/>
      </c>
      <c r="CI680" t="str">
        <f t="shared" si="434"/>
        <v/>
      </c>
      <c r="CJ680" t="str">
        <f t="shared" si="446"/>
        <v/>
      </c>
    </row>
    <row r="681" spans="20:88" x14ac:dyDescent="0.3">
      <c r="T681">
        <f t="shared" si="438"/>
        <v>1</v>
      </c>
      <c r="AA681">
        <v>80</v>
      </c>
      <c r="AB681" s="1">
        <f t="shared" si="449"/>
        <v>0</v>
      </c>
      <c r="AC681" t="str">
        <f t="shared" si="450"/>
        <v/>
      </c>
      <c r="AD681" t="str">
        <f t="shared" si="439"/>
        <v/>
      </c>
      <c r="AG681" s="21" t="str">
        <f t="shared" si="417"/>
        <v/>
      </c>
      <c r="AI681" s="6" t="str">
        <f t="shared" si="418"/>
        <v/>
      </c>
      <c r="AM681" s="7" t="str">
        <f t="shared" si="419"/>
        <v/>
      </c>
      <c r="AQ681" s="8" t="str">
        <f t="shared" si="420"/>
        <v/>
      </c>
      <c r="AW681" s="25" t="str">
        <f t="shared" si="421"/>
        <v/>
      </c>
      <c r="AZ681" s="12" t="str">
        <f t="shared" si="422"/>
        <v/>
      </c>
      <c r="BI681" s="17" t="str">
        <f t="shared" si="423"/>
        <v/>
      </c>
      <c r="BM681" t="str">
        <f t="shared" si="440"/>
        <v>SPT Relationship</v>
      </c>
      <c r="BN681">
        <f t="shared" si="441"/>
        <v>95</v>
      </c>
      <c r="BO681" t="str">
        <f t="shared" si="424"/>
        <v/>
      </c>
      <c r="BP681" t="str">
        <f t="shared" si="451"/>
        <v/>
      </c>
      <c r="BQ681" t="str">
        <f t="shared" si="425"/>
        <v/>
      </c>
      <c r="BR681" t="str">
        <f t="shared" si="442"/>
        <v/>
      </c>
      <c r="BS681" t="str">
        <f t="shared" si="426"/>
        <v/>
      </c>
      <c r="BT681" t="str">
        <f t="shared" si="452"/>
        <v/>
      </c>
      <c r="BU681" t="str">
        <f t="shared" si="427"/>
        <v/>
      </c>
      <c r="BV681" t="str">
        <f t="shared" si="443"/>
        <v/>
      </c>
      <c r="BW681" t="str">
        <f t="shared" si="428"/>
        <v/>
      </c>
      <c r="BX681" t="str">
        <f t="shared" si="444"/>
        <v/>
      </c>
      <c r="BY681" t="str">
        <f t="shared" si="429"/>
        <v/>
      </c>
      <c r="BZ681" t="str">
        <f t="shared" si="445"/>
        <v/>
      </c>
      <c r="CA681" t="str">
        <f t="shared" si="430"/>
        <v/>
      </c>
      <c r="CB681" t="str">
        <f t="shared" si="413"/>
        <v/>
      </c>
      <c r="CC681" t="str">
        <f t="shared" si="431"/>
        <v/>
      </c>
      <c r="CD681" t="str">
        <f t="shared" si="414"/>
        <v/>
      </c>
      <c r="CE681" t="str">
        <f t="shared" si="432"/>
        <v>Bowles 5th edition</v>
      </c>
      <c r="CF681">
        <f t="shared" si="415"/>
        <v>96</v>
      </c>
      <c r="CG681" t="str">
        <f t="shared" si="433"/>
        <v/>
      </c>
      <c r="CH681" t="str">
        <f t="shared" si="416"/>
        <v/>
      </c>
      <c r="CI681" t="str">
        <f t="shared" si="434"/>
        <v/>
      </c>
      <c r="CJ681" t="str">
        <f t="shared" si="446"/>
        <v/>
      </c>
    </row>
    <row r="682" spans="20:88" x14ac:dyDescent="0.3">
      <c r="T682">
        <f t="shared" si="438"/>
        <v>1</v>
      </c>
      <c r="AA682">
        <v>80</v>
      </c>
      <c r="AB682" s="1">
        <f t="shared" si="449"/>
        <v>0</v>
      </c>
      <c r="AC682" t="str">
        <f t="shared" si="450"/>
        <v/>
      </c>
      <c r="AD682" t="str">
        <f t="shared" si="439"/>
        <v/>
      </c>
      <c r="AG682" s="21" t="str">
        <f t="shared" si="417"/>
        <v/>
      </c>
      <c r="AI682" s="6" t="str">
        <f t="shared" si="418"/>
        <v/>
      </c>
      <c r="AM682" s="7" t="str">
        <f t="shared" si="419"/>
        <v/>
      </c>
      <c r="AQ682" s="8" t="str">
        <f t="shared" si="420"/>
        <v/>
      </c>
      <c r="AW682" s="25" t="str">
        <f t="shared" si="421"/>
        <v/>
      </c>
      <c r="AZ682" s="12" t="str">
        <f t="shared" si="422"/>
        <v/>
      </c>
      <c r="BI682" s="17" t="str">
        <f t="shared" si="423"/>
        <v/>
      </c>
      <c r="BM682" t="str">
        <f t="shared" si="440"/>
        <v>SPT Relationship</v>
      </c>
      <c r="BN682">
        <f t="shared" si="441"/>
        <v>95</v>
      </c>
      <c r="BO682" t="str">
        <f t="shared" si="424"/>
        <v/>
      </c>
      <c r="BP682" t="str">
        <f t="shared" si="451"/>
        <v/>
      </c>
      <c r="BQ682" t="str">
        <f t="shared" si="425"/>
        <v/>
      </c>
      <c r="BR682" t="str">
        <f t="shared" si="442"/>
        <v/>
      </c>
      <c r="BS682" t="str">
        <f t="shared" si="426"/>
        <v/>
      </c>
      <c r="BT682" t="str">
        <f t="shared" si="452"/>
        <v/>
      </c>
      <c r="BU682" t="str">
        <f t="shared" si="427"/>
        <v/>
      </c>
      <c r="BV682" t="str">
        <f t="shared" si="443"/>
        <v/>
      </c>
      <c r="BW682" t="str">
        <f t="shared" si="428"/>
        <v/>
      </c>
      <c r="BX682" t="str">
        <f t="shared" si="444"/>
        <v/>
      </c>
      <c r="BY682" t="str">
        <f t="shared" si="429"/>
        <v/>
      </c>
      <c r="BZ682" t="str">
        <f t="shared" si="445"/>
        <v/>
      </c>
      <c r="CA682" t="str">
        <f t="shared" si="430"/>
        <v/>
      </c>
      <c r="CB682" t="str">
        <f t="shared" si="413"/>
        <v/>
      </c>
      <c r="CC682" t="str">
        <f t="shared" si="431"/>
        <v/>
      </c>
      <c r="CD682" t="str">
        <f t="shared" si="414"/>
        <v/>
      </c>
      <c r="CE682" t="str">
        <f t="shared" si="432"/>
        <v>Bowles 5th edition</v>
      </c>
      <c r="CF682">
        <f t="shared" si="415"/>
        <v>96</v>
      </c>
      <c r="CG682" t="str">
        <f t="shared" si="433"/>
        <v/>
      </c>
      <c r="CH682" t="str">
        <f t="shared" si="416"/>
        <v/>
      </c>
      <c r="CI682" t="str">
        <f t="shared" si="434"/>
        <v/>
      </c>
      <c r="CJ682" t="str">
        <f t="shared" si="446"/>
        <v/>
      </c>
    </row>
    <row r="683" spans="20:88" x14ac:dyDescent="0.3">
      <c r="T683">
        <f t="shared" si="438"/>
        <v>1</v>
      </c>
      <c r="AA683">
        <v>80</v>
      </c>
      <c r="AB683" s="1">
        <f t="shared" si="449"/>
        <v>0</v>
      </c>
      <c r="AC683" t="str">
        <f t="shared" si="450"/>
        <v/>
      </c>
      <c r="AD683" t="str">
        <f t="shared" si="439"/>
        <v/>
      </c>
      <c r="AG683" s="21" t="str">
        <f t="shared" si="417"/>
        <v/>
      </c>
      <c r="AI683" s="6" t="str">
        <f t="shared" si="418"/>
        <v/>
      </c>
      <c r="AM683" s="7" t="str">
        <f t="shared" si="419"/>
        <v/>
      </c>
      <c r="AQ683" s="8" t="str">
        <f t="shared" si="420"/>
        <v/>
      </c>
      <c r="AW683" s="25" t="str">
        <f t="shared" si="421"/>
        <v/>
      </c>
      <c r="AZ683" s="12" t="str">
        <f t="shared" si="422"/>
        <v/>
      </c>
      <c r="BI683" s="17" t="str">
        <f t="shared" si="423"/>
        <v/>
      </c>
      <c r="BM683" t="str">
        <f t="shared" si="440"/>
        <v>SPT Relationship</v>
      </c>
      <c r="BN683">
        <f t="shared" si="441"/>
        <v>95</v>
      </c>
      <c r="BO683" t="str">
        <f t="shared" si="424"/>
        <v/>
      </c>
      <c r="BP683" t="str">
        <f t="shared" si="451"/>
        <v/>
      </c>
      <c r="BQ683" t="str">
        <f t="shared" si="425"/>
        <v/>
      </c>
      <c r="BR683" t="str">
        <f t="shared" si="442"/>
        <v/>
      </c>
      <c r="BS683" t="str">
        <f t="shared" si="426"/>
        <v/>
      </c>
      <c r="BT683" t="str">
        <f t="shared" si="452"/>
        <v/>
      </c>
      <c r="BU683" t="str">
        <f t="shared" si="427"/>
        <v/>
      </c>
      <c r="BV683" t="str">
        <f t="shared" si="443"/>
        <v/>
      </c>
      <c r="BW683" t="str">
        <f t="shared" si="428"/>
        <v/>
      </c>
      <c r="BX683" t="str">
        <f t="shared" si="444"/>
        <v/>
      </c>
      <c r="BY683" t="str">
        <f t="shared" si="429"/>
        <v/>
      </c>
      <c r="BZ683" t="str">
        <f t="shared" si="445"/>
        <v/>
      </c>
      <c r="CA683" t="str">
        <f t="shared" si="430"/>
        <v/>
      </c>
      <c r="CB683" t="str">
        <f t="shared" si="413"/>
        <v/>
      </c>
      <c r="CC683" t="str">
        <f t="shared" si="431"/>
        <v/>
      </c>
      <c r="CD683" t="str">
        <f t="shared" si="414"/>
        <v/>
      </c>
      <c r="CE683" t="str">
        <f t="shared" si="432"/>
        <v>Bowles 5th edition</v>
      </c>
      <c r="CF683">
        <f t="shared" si="415"/>
        <v>96</v>
      </c>
      <c r="CG683" t="str">
        <f t="shared" si="433"/>
        <v/>
      </c>
      <c r="CH683" t="str">
        <f t="shared" si="416"/>
        <v/>
      </c>
      <c r="CI683" t="str">
        <f t="shared" si="434"/>
        <v/>
      </c>
      <c r="CJ683" t="str">
        <f t="shared" si="446"/>
        <v/>
      </c>
    </row>
    <row r="684" spans="20:88" x14ac:dyDescent="0.3">
      <c r="T684">
        <f t="shared" si="438"/>
        <v>1</v>
      </c>
      <c r="AA684">
        <v>80</v>
      </c>
      <c r="AB684" s="1">
        <f t="shared" si="449"/>
        <v>0</v>
      </c>
      <c r="AC684" t="str">
        <f t="shared" si="450"/>
        <v/>
      </c>
      <c r="AD684" t="str">
        <f t="shared" si="439"/>
        <v/>
      </c>
      <c r="AG684" s="21" t="str">
        <f t="shared" si="417"/>
        <v/>
      </c>
      <c r="AI684" s="6" t="str">
        <f t="shared" si="418"/>
        <v/>
      </c>
      <c r="AM684" s="7" t="str">
        <f t="shared" si="419"/>
        <v/>
      </c>
      <c r="AQ684" s="8" t="str">
        <f t="shared" si="420"/>
        <v/>
      </c>
      <c r="AW684" s="25" t="str">
        <f t="shared" si="421"/>
        <v/>
      </c>
      <c r="AZ684" s="12" t="str">
        <f t="shared" si="422"/>
        <v/>
      </c>
      <c r="BI684" s="17" t="str">
        <f t="shared" si="423"/>
        <v/>
      </c>
      <c r="BM684" t="str">
        <f t="shared" si="440"/>
        <v>SPT Relationship</v>
      </c>
      <c r="BN684">
        <f t="shared" si="441"/>
        <v>95</v>
      </c>
      <c r="BO684" t="str">
        <f t="shared" si="424"/>
        <v/>
      </c>
      <c r="BP684" t="str">
        <f t="shared" si="451"/>
        <v/>
      </c>
      <c r="BQ684" t="str">
        <f t="shared" si="425"/>
        <v/>
      </c>
      <c r="BR684" t="str">
        <f t="shared" si="442"/>
        <v/>
      </c>
      <c r="BS684" t="str">
        <f t="shared" si="426"/>
        <v/>
      </c>
      <c r="BT684" t="str">
        <f t="shared" si="452"/>
        <v/>
      </c>
      <c r="BU684" t="str">
        <f t="shared" si="427"/>
        <v/>
      </c>
      <c r="BV684" t="str">
        <f t="shared" si="443"/>
        <v/>
      </c>
      <c r="BW684" t="str">
        <f t="shared" si="428"/>
        <v/>
      </c>
      <c r="BX684" t="str">
        <f t="shared" si="444"/>
        <v/>
      </c>
      <c r="BY684" t="str">
        <f t="shared" si="429"/>
        <v/>
      </c>
      <c r="BZ684" t="str">
        <f t="shared" si="445"/>
        <v/>
      </c>
      <c r="CA684" t="str">
        <f t="shared" si="430"/>
        <v/>
      </c>
      <c r="CB684" t="str">
        <f t="shared" si="413"/>
        <v/>
      </c>
      <c r="CC684" t="str">
        <f t="shared" si="431"/>
        <v/>
      </c>
      <c r="CD684" t="str">
        <f t="shared" si="414"/>
        <v/>
      </c>
      <c r="CE684" t="str">
        <f t="shared" si="432"/>
        <v>Bowles 5th edition</v>
      </c>
      <c r="CF684">
        <f t="shared" si="415"/>
        <v>96</v>
      </c>
      <c r="CG684" t="str">
        <f t="shared" si="433"/>
        <v/>
      </c>
      <c r="CH684" t="str">
        <f t="shared" si="416"/>
        <v/>
      </c>
      <c r="CI684" t="str">
        <f t="shared" si="434"/>
        <v/>
      </c>
      <c r="CJ684" t="str">
        <f t="shared" si="446"/>
        <v/>
      </c>
    </row>
    <row r="685" spans="20:88" x14ac:dyDescent="0.3">
      <c r="T685">
        <f t="shared" si="438"/>
        <v>1</v>
      </c>
      <c r="AA685">
        <v>80</v>
      </c>
      <c r="AB685" s="1">
        <f t="shared" si="449"/>
        <v>0</v>
      </c>
      <c r="AC685" t="str">
        <f t="shared" si="450"/>
        <v/>
      </c>
      <c r="AD685" t="str">
        <f t="shared" si="439"/>
        <v/>
      </c>
      <c r="AG685" s="21" t="str">
        <f t="shared" si="417"/>
        <v/>
      </c>
      <c r="AI685" s="6" t="str">
        <f t="shared" si="418"/>
        <v/>
      </c>
      <c r="AM685" s="7" t="str">
        <f t="shared" si="419"/>
        <v/>
      </c>
      <c r="AQ685" s="8" t="str">
        <f t="shared" si="420"/>
        <v/>
      </c>
      <c r="AW685" s="25" t="str">
        <f t="shared" si="421"/>
        <v/>
      </c>
      <c r="AZ685" s="12" t="str">
        <f t="shared" si="422"/>
        <v/>
      </c>
      <c r="BI685" s="17" t="str">
        <f t="shared" si="423"/>
        <v/>
      </c>
      <c r="BM685" t="str">
        <f t="shared" si="440"/>
        <v>SPT Relationship</v>
      </c>
      <c r="BN685">
        <f t="shared" si="441"/>
        <v>95</v>
      </c>
      <c r="BO685" t="str">
        <f t="shared" si="424"/>
        <v/>
      </c>
      <c r="BP685" t="str">
        <f t="shared" si="451"/>
        <v/>
      </c>
      <c r="BQ685" t="str">
        <f t="shared" si="425"/>
        <v/>
      </c>
      <c r="BR685" t="str">
        <f t="shared" si="442"/>
        <v/>
      </c>
      <c r="BS685" t="str">
        <f t="shared" si="426"/>
        <v/>
      </c>
      <c r="BT685" t="str">
        <f t="shared" si="452"/>
        <v/>
      </c>
      <c r="BU685" t="str">
        <f t="shared" si="427"/>
        <v/>
      </c>
      <c r="BV685" t="str">
        <f t="shared" si="443"/>
        <v/>
      </c>
      <c r="BW685" t="str">
        <f t="shared" si="428"/>
        <v/>
      </c>
      <c r="BX685" t="str">
        <f t="shared" si="444"/>
        <v/>
      </c>
      <c r="BY685" t="str">
        <f t="shared" si="429"/>
        <v/>
      </c>
      <c r="BZ685" t="str">
        <f t="shared" si="445"/>
        <v/>
      </c>
      <c r="CA685" t="str">
        <f t="shared" si="430"/>
        <v/>
      </c>
      <c r="CB685" t="str">
        <f t="shared" si="413"/>
        <v/>
      </c>
      <c r="CC685" t="str">
        <f t="shared" si="431"/>
        <v/>
      </c>
      <c r="CD685" t="str">
        <f t="shared" si="414"/>
        <v/>
      </c>
      <c r="CE685" t="str">
        <f t="shared" si="432"/>
        <v>Bowles 5th edition</v>
      </c>
      <c r="CF685">
        <f t="shared" si="415"/>
        <v>96</v>
      </c>
      <c r="CG685" t="str">
        <f t="shared" si="433"/>
        <v/>
      </c>
      <c r="CH685" t="str">
        <f t="shared" si="416"/>
        <v/>
      </c>
      <c r="CI685" t="str">
        <f t="shared" si="434"/>
        <v/>
      </c>
      <c r="CJ685" t="str">
        <f t="shared" si="446"/>
        <v/>
      </c>
    </row>
    <row r="686" spans="20:88" x14ac:dyDescent="0.3">
      <c r="T686">
        <f t="shared" si="438"/>
        <v>1</v>
      </c>
      <c r="AA686">
        <v>80</v>
      </c>
      <c r="AB686" s="1">
        <f t="shared" si="449"/>
        <v>0</v>
      </c>
      <c r="AC686" t="str">
        <f t="shared" si="450"/>
        <v/>
      </c>
      <c r="AD686" t="str">
        <f t="shared" si="439"/>
        <v/>
      </c>
      <c r="AG686" s="21" t="str">
        <f t="shared" si="417"/>
        <v/>
      </c>
      <c r="AI686" s="6" t="str">
        <f t="shared" si="418"/>
        <v/>
      </c>
      <c r="AM686" s="7" t="str">
        <f t="shared" si="419"/>
        <v/>
      </c>
      <c r="AQ686" s="8" t="str">
        <f t="shared" si="420"/>
        <v/>
      </c>
      <c r="AW686" s="25" t="str">
        <f t="shared" si="421"/>
        <v/>
      </c>
      <c r="AZ686" s="12" t="str">
        <f t="shared" si="422"/>
        <v/>
      </c>
      <c r="BI686" s="17" t="str">
        <f t="shared" si="423"/>
        <v/>
      </c>
      <c r="BM686" t="str">
        <f t="shared" si="440"/>
        <v>SPT Relationship</v>
      </c>
      <c r="BN686">
        <f t="shared" si="441"/>
        <v>95</v>
      </c>
      <c r="BO686" t="str">
        <f t="shared" si="424"/>
        <v/>
      </c>
      <c r="BP686" t="str">
        <f t="shared" si="451"/>
        <v/>
      </c>
      <c r="BQ686" t="str">
        <f t="shared" si="425"/>
        <v/>
      </c>
      <c r="BR686" t="str">
        <f t="shared" si="442"/>
        <v/>
      </c>
      <c r="BS686" t="str">
        <f t="shared" si="426"/>
        <v/>
      </c>
      <c r="BT686" t="str">
        <f t="shared" si="452"/>
        <v/>
      </c>
      <c r="BU686" t="str">
        <f t="shared" si="427"/>
        <v/>
      </c>
      <c r="BV686" t="str">
        <f t="shared" si="443"/>
        <v/>
      </c>
      <c r="BW686" t="str">
        <f t="shared" si="428"/>
        <v/>
      </c>
      <c r="BX686" t="str">
        <f t="shared" si="444"/>
        <v/>
      </c>
      <c r="BY686" t="str">
        <f t="shared" si="429"/>
        <v/>
      </c>
      <c r="BZ686" t="str">
        <f t="shared" si="445"/>
        <v/>
      </c>
      <c r="CA686" t="str">
        <f t="shared" si="430"/>
        <v/>
      </c>
      <c r="CB686" t="str">
        <f t="shared" si="413"/>
        <v/>
      </c>
      <c r="CC686" t="str">
        <f t="shared" si="431"/>
        <v/>
      </c>
      <c r="CD686" t="str">
        <f t="shared" si="414"/>
        <v/>
      </c>
      <c r="CE686" t="str">
        <f t="shared" si="432"/>
        <v>Bowles 5th edition</v>
      </c>
      <c r="CF686">
        <f t="shared" si="415"/>
        <v>96</v>
      </c>
      <c r="CG686" t="str">
        <f t="shared" si="433"/>
        <v/>
      </c>
      <c r="CH686" t="str">
        <f t="shared" si="416"/>
        <v/>
      </c>
      <c r="CI686" t="str">
        <f t="shared" si="434"/>
        <v/>
      </c>
      <c r="CJ686" t="str">
        <f t="shared" si="446"/>
        <v/>
      </c>
    </row>
    <row r="687" spans="20:88" x14ac:dyDescent="0.3">
      <c r="T687">
        <f t="shared" si="438"/>
        <v>1</v>
      </c>
      <c r="AA687">
        <v>80</v>
      </c>
      <c r="AB687" s="1">
        <f t="shared" si="449"/>
        <v>0</v>
      </c>
      <c r="AC687" t="str">
        <f t="shared" si="450"/>
        <v/>
      </c>
      <c r="AD687" t="str">
        <f t="shared" si="439"/>
        <v/>
      </c>
      <c r="AG687" s="21" t="str">
        <f t="shared" si="417"/>
        <v/>
      </c>
      <c r="AI687" s="6" t="str">
        <f t="shared" si="418"/>
        <v/>
      </c>
      <c r="AM687" s="7" t="str">
        <f t="shared" si="419"/>
        <v/>
      </c>
      <c r="AQ687" s="8" t="str">
        <f t="shared" si="420"/>
        <v/>
      </c>
      <c r="AW687" s="25" t="str">
        <f t="shared" si="421"/>
        <v/>
      </c>
      <c r="AZ687" s="12" t="str">
        <f t="shared" si="422"/>
        <v/>
      </c>
      <c r="BI687" s="17" t="str">
        <f t="shared" si="423"/>
        <v/>
      </c>
      <c r="BM687" t="str">
        <f t="shared" si="440"/>
        <v>SPT Relationship</v>
      </c>
      <c r="BN687">
        <f t="shared" si="441"/>
        <v>95</v>
      </c>
      <c r="BO687" t="str">
        <f t="shared" si="424"/>
        <v/>
      </c>
      <c r="BP687" t="str">
        <f t="shared" si="451"/>
        <v/>
      </c>
      <c r="BQ687" t="str">
        <f t="shared" si="425"/>
        <v/>
      </c>
      <c r="BR687" t="str">
        <f t="shared" si="442"/>
        <v/>
      </c>
      <c r="BS687" t="str">
        <f t="shared" si="426"/>
        <v/>
      </c>
      <c r="BT687" t="str">
        <f t="shared" si="452"/>
        <v/>
      </c>
      <c r="BU687" t="str">
        <f t="shared" si="427"/>
        <v/>
      </c>
      <c r="BV687" t="str">
        <f t="shared" si="443"/>
        <v/>
      </c>
      <c r="BW687" t="str">
        <f t="shared" si="428"/>
        <v/>
      </c>
      <c r="BX687" t="str">
        <f t="shared" si="444"/>
        <v/>
      </c>
      <c r="BY687" t="str">
        <f t="shared" si="429"/>
        <v/>
      </c>
      <c r="BZ687" t="str">
        <f t="shared" si="445"/>
        <v/>
      </c>
      <c r="CA687" t="str">
        <f t="shared" si="430"/>
        <v/>
      </c>
      <c r="CB687" t="str">
        <f t="shared" si="413"/>
        <v/>
      </c>
      <c r="CC687" t="str">
        <f t="shared" si="431"/>
        <v/>
      </c>
      <c r="CD687" t="str">
        <f t="shared" si="414"/>
        <v/>
      </c>
      <c r="CE687" t="str">
        <f t="shared" si="432"/>
        <v>Bowles 5th edition</v>
      </c>
      <c r="CF687">
        <f t="shared" si="415"/>
        <v>96</v>
      </c>
      <c r="CG687" t="str">
        <f t="shared" si="433"/>
        <v/>
      </c>
      <c r="CH687" t="str">
        <f t="shared" si="416"/>
        <v/>
      </c>
      <c r="CI687" t="str">
        <f t="shared" si="434"/>
        <v/>
      </c>
      <c r="CJ687" t="str">
        <f t="shared" si="446"/>
        <v/>
      </c>
    </row>
    <row r="688" spans="20:88" x14ac:dyDescent="0.3">
      <c r="T688">
        <f t="shared" si="438"/>
        <v>1</v>
      </c>
      <c r="AA688">
        <v>80</v>
      </c>
      <c r="AB688" s="1">
        <f t="shared" si="449"/>
        <v>0</v>
      </c>
      <c r="AC688" t="str">
        <f t="shared" si="450"/>
        <v/>
      </c>
      <c r="AD688" t="str">
        <f t="shared" si="439"/>
        <v/>
      </c>
      <c r="AG688" s="21" t="str">
        <f t="shared" si="417"/>
        <v/>
      </c>
      <c r="AI688" s="6" t="str">
        <f t="shared" si="418"/>
        <v/>
      </c>
      <c r="AM688" s="7" t="str">
        <f t="shared" si="419"/>
        <v/>
      </c>
      <c r="AQ688" s="8" t="str">
        <f t="shared" si="420"/>
        <v/>
      </c>
      <c r="AW688" s="25" t="str">
        <f t="shared" si="421"/>
        <v/>
      </c>
      <c r="AZ688" s="12" t="str">
        <f t="shared" si="422"/>
        <v/>
      </c>
      <c r="BI688" s="17" t="str">
        <f t="shared" si="423"/>
        <v/>
      </c>
      <c r="BM688" t="str">
        <f t="shared" si="440"/>
        <v>SPT Relationship</v>
      </c>
      <c r="BN688">
        <f t="shared" si="441"/>
        <v>95</v>
      </c>
      <c r="BO688" t="str">
        <f t="shared" si="424"/>
        <v/>
      </c>
      <c r="BP688" t="str">
        <f t="shared" si="451"/>
        <v/>
      </c>
      <c r="BQ688" t="str">
        <f t="shared" si="425"/>
        <v/>
      </c>
      <c r="BR688" t="str">
        <f t="shared" si="442"/>
        <v/>
      </c>
      <c r="BS688" t="str">
        <f t="shared" si="426"/>
        <v/>
      </c>
      <c r="BT688" t="str">
        <f t="shared" si="452"/>
        <v/>
      </c>
      <c r="BU688" t="str">
        <f t="shared" si="427"/>
        <v/>
      </c>
      <c r="BV688" t="str">
        <f t="shared" si="443"/>
        <v/>
      </c>
      <c r="BW688" t="str">
        <f t="shared" si="428"/>
        <v/>
      </c>
      <c r="BX688" t="str">
        <f t="shared" si="444"/>
        <v/>
      </c>
      <c r="BY688" t="str">
        <f t="shared" si="429"/>
        <v/>
      </c>
      <c r="BZ688" t="str">
        <f t="shared" si="445"/>
        <v/>
      </c>
      <c r="CA688" t="str">
        <f t="shared" si="430"/>
        <v/>
      </c>
      <c r="CB688" t="str">
        <f t="shared" si="413"/>
        <v/>
      </c>
      <c r="CC688" t="str">
        <f t="shared" si="431"/>
        <v/>
      </c>
      <c r="CD688" t="str">
        <f t="shared" si="414"/>
        <v/>
      </c>
      <c r="CE688" t="str">
        <f t="shared" si="432"/>
        <v>Bowles 5th edition</v>
      </c>
      <c r="CF688">
        <f t="shared" si="415"/>
        <v>96</v>
      </c>
      <c r="CG688" t="str">
        <f t="shared" si="433"/>
        <v/>
      </c>
      <c r="CH688" t="str">
        <f t="shared" si="416"/>
        <v/>
      </c>
      <c r="CI688" t="str">
        <f t="shared" si="434"/>
        <v/>
      </c>
      <c r="CJ688" t="str">
        <f t="shared" si="446"/>
        <v/>
      </c>
    </row>
    <row r="689" spans="20:88" x14ac:dyDescent="0.3">
      <c r="T689">
        <f t="shared" si="438"/>
        <v>1</v>
      </c>
      <c r="AA689">
        <v>80</v>
      </c>
      <c r="AB689" s="1">
        <f t="shared" si="449"/>
        <v>0</v>
      </c>
      <c r="AC689" t="str">
        <f t="shared" si="450"/>
        <v/>
      </c>
      <c r="AD689" t="str">
        <f t="shared" si="439"/>
        <v/>
      </c>
      <c r="AG689" s="21" t="str">
        <f t="shared" si="417"/>
        <v/>
      </c>
      <c r="AI689" s="6" t="str">
        <f t="shared" si="418"/>
        <v/>
      </c>
      <c r="AM689" s="7" t="str">
        <f t="shared" si="419"/>
        <v/>
      </c>
      <c r="AQ689" s="8" t="str">
        <f t="shared" si="420"/>
        <v/>
      </c>
      <c r="AW689" s="25" t="str">
        <f t="shared" si="421"/>
        <v/>
      </c>
      <c r="AZ689" s="12" t="str">
        <f t="shared" si="422"/>
        <v/>
      </c>
      <c r="BI689" s="17" t="str">
        <f t="shared" si="423"/>
        <v/>
      </c>
      <c r="BM689" t="str">
        <f t="shared" si="440"/>
        <v>SPT Relationship</v>
      </c>
      <c r="BN689">
        <f t="shared" si="441"/>
        <v>95</v>
      </c>
      <c r="BO689" t="str">
        <f t="shared" si="424"/>
        <v/>
      </c>
      <c r="BP689" t="str">
        <f t="shared" si="451"/>
        <v/>
      </c>
      <c r="BQ689" t="str">
        <f t="shared" si="425"/>
        <v/>
      </c>
      <c r="BR689" t="str">
        <f t="shared" si="442"/>
        <v/>
      </c>
      <c r="BS689" t="str">
        <f t="shared" si="426"/>
        <v/>
      </c>
      <c r="BT689" t="str">
        <f t="shared" si="452"/>
        <v/>
      </c>
      <c r="BU689" t="str">
        <f t="shared" si="427"/>
        <v/>
      </c>
      <c r="BV689" t="str">
        <f t="shared" si="443"/>
        <v/>
      </c>
      <c r="BW689" t="str">
        <f t="shared" si="428"/>
        <v/>
      </c>
      <c r="BX689" t="str">
        <f t="shared" si="444"/>
        <v/>
      </c>
      <c r="BY689" t="str">
        <f t="shared" si="429"/>
        <v/>
      </c>
      <c r="BZ689" t="str">
        <f t="shared" si="445"/>
        <v/>
      </c>
      <c r="CA689" t="str">
        <f t="shared" si="430"/>
        <v/>
      </c>
      <c r="CB689" t="str">
        <f t="shared" si="413"/>
        <v/>
      </c>
      <c r="CC689" t="str">
        <f t="shared" si="431"/>
        <v/>
      </c>
      <c r="CD689" t="str">
        <f t="shared" si="414"/>
        <v/>
      </c>
      <c r="CE689" t="str">
        <f t="shared" si="432"/>
        <v>Bowles 5th edition</v>
      </c>
      <c r="CF689">
        <f t="shared" si="415"/>
        <v>96</v>
      </c>
      <c r="CG689" t="str">
        <f t="shared" si="433"/>
        <v/>
      </c>
      <c r="CH689" t="str">
        <f t="shared" si="416"/>
        <v/>
      </c>
      <c r="CI689" t="str">
        <f t="shared" si="434"/>
        <v/>
      </c>
      <c r="CJ689" t="str">
        <f t="shared" si="446"/>
        <v/>
      </c>
    </row>
    <row r="690" spans="20:88" x14ac:dyDescent="0.3">
      <c r="T690">
        <f t="shared" si="438"/>
        <v>1</v>
      </c>
      <c r="AA690">
        <v>80</v>
      </c>
      <c r="AB690" s="1">
        <f t="shared" si="449"/>
        <v>0</v>
      </c>
      <c r="AC690" t="str">
        <f t="shared" si="450"/>
        <v/>
      </c>
      <c r="AD690" t="str">
        <f t="shared" si="439"/>
        <v/>
      </c>
      <c r="AG690" s="21" t="str">
        <f t="shared" si="417"/>
        <v/>
      </c>
      <c r="AI690" s="6" t="str">
        <f t="shared" si="418"/>
        <v/>
      </c>
      <c r="AM690" s="7" t="str">
        <f t="shared" si="419"/>
        <v/>
      </c>
      <c r="AQ690" s="8" t="str">
        <f t="shared" si="420"/>
        <v/>
      </c>
      <c r="AW690" s="25" t="str">
        <f t="shared" si="421"/>
        <v/>
      </c>
      <c r="AZ690" s="12" t="str">
        <f t="shared" si="422"/>
        <v/>
      </c>
      <c r="BI690" s="17" t="str">
        <f t="shared" si="423"/>
        <v/>
      </c>
      <c r="BM690" t="str">
        <f t="shared" si="440"/>
        <v>SPT Relationship</v>
      </c>
      <c r="BN690">
        <f t="shared" si="441"/>
        <v>95</v>
      </c>
      <c r="BO690" t="str">
        <f t="shared" si="424"/>
        <v/>
      </c>
      <c r="BP690" t="str">
        <f t="shared" si="451"/>
        <v/>
      </c>
      <c r="BQ690" t="str">
        <f t="shared" si="425"/>
        <v/>
      </c>
      <c r="BR690" t="str">
        <f t="shared" si="442"/>
        <v/>
      </c>
      <c r="BS690" t="str">
        <f t="shared" si="426"/>
        <v/>
      </c>
      <c r="BT690" t="str">
        <f t="shared" si="452"/>
        <v/>
      </c>
      <c r="BU690" t="str">
        <f t="shared" si="427"/>
        <v/>
      </c>
      <c r="BV690" t="str">
        <f t="shared" si="443"/>
        <v/>
      </c>
      <c r="BW690" t="str">
        <f t="shared" si="428"/>
        <v/>
      </c>
      <c r="BX690" t="str">
        <f t="shared" si="444"/>
        <v/>
      </c>
      <c r="BY690" t="str">
        <f t="shared" si="429"/>
        <v/>
      </c>
      <c r="BZ690" t="str">
        <f t="shared" si="445"/>
        <v/>
      </c>
      <c r="CA690" t="str">
        <f t="shared" si="430"/>
        <v/>
      </c>
      <c r="CB690" t="str">
        <f t="shared" si="413"/>
        <v/>
      </c>
      <c r="CC690" t="str">
        <f t="shared" si="431"/>
        <v/>
      </c>
      <c r="CD690" t="str">
        <f t="shared" si="414"/>
        <v/>
      </c>
      <c r="CE690" t="str">
        <f t="shared" si="432"/>
        <v>Bowles 5th edition</v>
      </c>
      <c r="CF690">
        <f t="shared" si="415"/>
        <v>96</v>
      </c>
      <c r="CG690" t="str">
        <f t="shared" si="433"/>
        <v/>
      </c>
      <c r="CH690" t="str">
        <f t="shared" si="416"/>
        <v/>
      </c>
      <c r="CI690" t="str">
        <f t="shared" si="434"/>
        <v/>
      </c>
      <c r="CJ690" t="str">
        <f t="shared" si="446"/>
        <v/>
      </c>
    </row>
    <row r="691" spans="20:88" x14ac:dyDescent="0.3">
      <c r="T691">
        <f t="shared" si="438"/>
        <v>1</v>
      </c>
      <c r="AA691">
        <v>80</v>
      </c>
      <c r="AB691" s="1">
        <f t="shared" si="449"/>
        <v>0</v>
      </c>
      <c r="AC691" t="str">
        <f t="shared" si="450"/>
        <v/>
      </c>
      <c r="AD691" t="str">
        <f t="shared" si="439"/>
        <v/>
      </c>
      <c r="AG691" s="21" t="str">
        <f t="shared" si="417"/>
        <v/>
      </c>
      <c r="AI691" s="6" t="str">
        <f t="shared" si="418"/>
        <v/>
      </c>
      <c r="AM691" s="7" t="str">
        <f t="shared" si="419"/>
        <v/>
      </c>
      <c r="AQ691" s="8" t="str">
        <f t="shared" si="420"/>
        <v/>
      </c>
      <c r="AW691" s="25" t="str">
        <f t="shared" si="421"/>
        <v/>
      </c>
      <c r="AZ691" s="12" t="str">
        <f t="shared" si="422"/>
        <v/>
      </c>
      <c r="BI691" s="17" t="str">
        <f t="shared" si="423"/>
        <v/>
      </c>
      <c r="BM691" t="str">
        <f t="shared" si="440"/>
        <v>SPT Relationship</v>
      </c>
      <c r="BN691">
        <f t="shared" si="441"/>
        <v>95</v>
      </c>
      <c r="BO691" t="str">
        <f t="shared" si="424"/>
        <v/>
      </c>
      <c r="BP691" t="str">
        <f t="shared" si="451"/>
        <v/>
      </c>
      <c r="BQ691" t="str">
        <f t="shared" si="425"/>
        <v/>
      </c>
      <c r="BR691" t="str">
        <f t="shared" si="442"/>
        <v/>
      </c>
      <c r="BS691" t="str">
        <f t="shared" si="426"/>
        <v/>
      </c>
      <c r="BT691" t="str">
        <f t="shared" si="452"/>
        <v/>
      </c>
      <c r="BU691" t="str">
        <f t="shared" si="427"/>
        <v/>
      </c>
      <c r="BV691" t="str">
        <f t="shared" si="443"/>
        <v/>
      </c>
      <c r="BW691" t="str">
        <f t="shared" si="428"/>
        <v/>
      </c>
      <c r="BX691" t="str">
        <f t="shared" si="444"/>
        <v/>
      </c>
      <c r="BY691" t="str">
        <f t="shared" si="429"/>
        <v/>
      </c>
      <c r="BZ691" t="str">
        <f t="shared" si="445"/>
        <v/>
      </c>
      <c r="CA691" t="str">
        <f t="shared" si="430"/>
        <v/>
      </c>
      <c r="CB691" t="str">
        <f t="shared" si="413"/>
        <v/>
      </c>
      <c r="CC691" t="str">
        <f t="shared" si="431"/>
        <v/>
      </c>
      <c r="CD691" t="str">
        <f t="shared" si="414"/>
        <v/>
      </c>
      <c r="CE691" t="str">
        <f t="shared" si="432"/>
        <v>Bowles 5th edition</v>
      </c>
      <c r="CF691">
        <f t="shared" si="415"/>
        <v>96</v>
      </c>
      <c r="CG691" t="str">
        <f t="shared" si="433"/>
        <v/>
      </c>
      <c r="CH691" t="str">
        <f t="shared" si="416"/>
        <v/>
      </c>
      <c r="CI691" t="str">
        <f t="shared" si="434"/>
        <v/>
      </c>
      <c r="CJ691" t="str">
        <f t="shared" si="446"/>
        <v/>
      </c>
    </row>
    <row r="692" spans="20:88" x14ac:dyDescent="0.3">
      <c r="T692">
        <f t="shared" si="438"/>
        <v>1</v>
      </c>
      <c r="AA692">
        <v>80</v>
      </c>
      <c r="AB692" s="1">
        <f t="shared" si="449"/>
        <v>0</v>
      </c>
      <c r="AC692" t="str">
        <f t="shared" si="450"/>
        <v/>
      </c>
      <c r="AD692" t="str">
        <f t="shared" si="439"/>
        <v/>
      </c>
      <c r="AG692" s="21" t="str">
        <f t="shared" si="417"/>
        <v/>
      </c>
      <c r="AI692" s="6" t="str">
        <f t="shared" si="418"/>
        <v/>
      </c>
      <c r="AM692" s="7" t="str">
        <f t="shared" si="419"/>
        <v/>
      </c>
      <c r="AQ692" s="8" t="str">
        <f t="shared" si="420"/>
        <v/>
      </c>
      <c r="AW692" s="25" t="str">
        <f t="shared" si="421"/>
        <v/>
      </c>
      <c r="AZ692" s="12" t="str">
        <f t="shared" si="422"/>
        <v/>
      </c>
      <c r="BI692" s="17" t="str">
        <f t="shared" si="423"/>
        <v/>
      </c>
      <c r="BM692" t="str">
        <f t="shared" si="440"/>
        <v>SPT Relationship</v>
      </c>
      <c r="BN692">
        <f t="shared" si="441"/>
        <v>95</v>
      </c>
      <c r="BO692" t="str">
        <f t="shared" si="424"/>
        <v/>
      </c>
      <c r="BP692" t="str">
        <f t="shared" si="451"/>
        <v/>
      </c>
      <c r="BQ692" t="str">
        <f t="shared" si="425"/>
        <v/>
      </c>
      <c r="BR692" t="str">
        <f t="shared" si="442"/>
        <v/>
      </c>
      <c r="BS692" t="str">
        <f t="shared" si="426"/>
        <v/>
      </c>
      <c r="BT692" t="str">
        <f t="shared" si="452"/>
        <v/>
      </c>
      <c r="BU692" t="str">
        <f t="shared" si="427"/>
        <v/>
      </c>
      <c r="BV692" t="str">
        <f t="shared" si="443"/>
        <v/>
      </c>
      <c r="BW692" t="str">
        <f t="shared" si="428"/>
        <v/>
      </c>
      <c r="BX692" t="str">
        <f t="shared" si="444"/>
        <v/>
      </c>
      <c r="BY692" t="str">
        <f t="shared" si="429"/>
        <v/>
      </c>
      <c r="BZ692" t="str">
        <f t="shared" si="445"/>
        <v/>
      </c>
      <c r="CA692" t="str">
        <f t="shared" si="430"/>
        <v/>
      </c>
      <c r="CB692" t="str">
        <f t="shared" si="413"/>
        <v/>
      </c>
      <c r="CC692" t="str">
        <f t="shared" si="431"/>
        <v/>
      </c>
      <c r="CD692" t="str">
        <f t="shared" si="414"/>
        <v/>
      </c>
      <c r="CE692" t="str">
        <f t="shared" si="432"/>
        <v>Bowles 5th edition</v>
      </c>
      <c r="CF692">
        <f t="shared" si="415"/>
        <v>96</v>
      </c>
      <c r="CG692" t="str">
        <f t="shared" si="433"/>
        <v/>
      </c>
      <c r="CH692" t="str">
        <f t="shared" si="416"/>
        <v/>
      </c>
      <c r="CI692" t="str">
        <f t="shared" si="434"/>
        <v/>
      </c>
      <c r="CJ692" t="str">
        <f t="shared" si="446"/>
        <v/>
      </c>
    </row>
    <row r="693" spans="20:88" x14ac:dyDescent="0.3">
      <c r="T693">
        <f t="shared" si="438"/>
        <v>1</v>
      </c>
      <c r="AA693">
        <v>80</v>
      </c>
      <c r="AB693" s="1">
        <f t="shared" si="449"/>
        <v>0</v>
      </c>
      <c r="AC693" t="str">
        <f t="shared" si="450"/>
        <v/>
      </c>
      <c r="AD693" t="str">
        <f t="shared" si="439"/>
        <v/>
      </c>
      <c r="AG693" s="21" t="str">
        <f t="shared" si="417"/>
        <v/>
      </c>
      <c r="AI693" s="6" t="str">
        <f t="shared" si="418"/>
        <v/>
      </c>
      <c r="AM693" s="7" t="str">
        <f t="shared" si="419"/>
        <v/>
      </c>
      <c r="AQ693" s="8" t="str">
        <f t="shared" si="420"/>
        <v/>
      </c>
      <c r="AW693" s="25" t="str">
        <f t="shared" si="421"/>
        <v/>
      </c>
      <c r="AZ693" s="12" t="str">
        <f t="shared" si="422"/>
        <v/>
      </c>
      <c r="BI693" s="17" t="str">
        <f t="shared" si="423"/>
        <v/>
      </c>
      <c r="BM693" t="str">
        <f t="shared" si="440"/>
        <v>SPT Relationship</v>
      </c>
      <c r="BN693">
        <f t="shared" si="441"/>
        <v>95</v>
      </c>
      <c r="BO693" t="str">
        <f t="shared" si="424"/>
        <v/>
      </c>
      <c r="BP693" t="str">
        <f t="shared" si="451"/>
        <v/>
      </c>
      <c r="BQ693" t="str">
        <f t="shared" si="425"/>
        <v/>
      </c>
      <c r="BR693" t="str">
        <f t="shared" si="442"/>
        <v/>
      </c>
      <c r="BS693" t="str">
        <f t="shared" si="426"/>
        <v/>
      </c>
      <c r="BT693" t="str">
        <f t="shared" si="452"/>
        <v/>
      </c>
      <c r="BU693" t="str">
        <f t="shared" si="427"/>
        <v/>
      </c>
      <c r="BV693" t="str">
        <f t="shared" si="443"/>
        <v/>
      </c>
      <c r="BW693" t="str">
        <f t="shared" si="428"/>
        <v/>
      </c>
      <c r="BX693" t="str">
        <f t="shared" si="444"/>
        <v/>
      </c>
      <c r="BY693" t="str">
        <f t="shared" si="429"/>
        <v/>
      </c>
      <c r="BZ693" t="str">
        <f t="shared" si="445"/>
        <v/>
      </c>
      <c r="CA693" t="str">
        <f t="shared" si="430"/>
        <v/>
      </c>
      <c r="CB693" t="str">
        <f t="shared" si="413"/>
        <v/>
      </c>
      <c r="CC693" t="str">
        <f t="shared" si="431"/>
        <v/>
      </c>
      <c r="CD693" t="str">
        <f t="shared" si="414"/>
        <v/>
      </c>
      <c r="CE693" t="str">
        <f t="shared" si="432"/>
        <v>Bowles 5th edition</v>
      </c>
      <c r="CF693">
        <f t="shared" si="415"/>
        <v>96</v>
      </c>
      <c r="CG693" t="str">
        <f t="shared" si="433"/>
        <v/>
      </c>
      <c r="CH693" t="str">
        <f t="shared" si="416"/>
        <v/>
      </c>
      <c r="CI693" t="str">
        <f t="shared" si="434"/>
        <v/>
      </c>
      <c r="CJ693" t="str">
        <f t="shared" si="446"/>
        <v/>
      </c>
    </row>
    <row r="694" spans="20:88" x14ac:dyDescent="0.3">
      <c r="T694">
        <f t="shared" si="438"/>
        <v>1</v>
      </c>
      <c r="AA694">
        <v>80</v>
      </c>
      <c r="AB694" s="1">
        <f t="shared" si="449"/>
        <v>0</v>
      </c>
      <c r="AC694" t="str">
        <f t="shared" si="450"/>
        <v/>
      </c>
      <c r="AD694" t="str">
        <f t="shared" si="439"/>
        <v/>
      </c>
      <c r="AG694" s="21" t="str">
        <f t="shared" si="417"/>
        <v/>
      </c>
      <c r="AI694" s="6" t="str">
        <f t="shared" si="418"/>
        <v/>
      </c>
      <c r="AM694" s="7" t="str">
        <f t="shared" si="419"/>
        <v/>
      </c>
      <c r="AQ694" s="8" t="str">
        <f t="shared" si="420"/>
        <v/>
      </c>
      <c r="AW694" s="25" t="str">
        <f t="shared" si="421"/>
        <v/>
      </c>
      <c r="AZ694" s="12" t="str">
        <f t="shared" si="422"/>
        <v/>
      </c>
      <c r="BI694" s="17" t="str">
        <f t="shared" si="423"/>
        <v/>
      </c>
      <c r="BM694" t="str">
        <f t="shared" si="440"/>
        <v>SPT Relationship</v>
      </c>
      <c r="BN694">
        <f t="shared" si="441"/>
        <v>95</v>
      </c>
      <c r="BO694" t="str">
        <f t="shared" si="424"/>
        <v/>
      </c>
      <c r="BP694" t="str">
        <f t="shared" si="451"/>
        <v/>
      </c>
      <c r="BQ694" t="str">
        <f t="shared" si="425"/>
        <v/>
      </c>
      <c r="BR694" t="str">
        <f t="shared" si="442"/>
        <v/>
      </c>
      <c r="BS694" t="str">
        <f t="shared" si="426"/>
        <v/>
      </c>
      <c r="BT694" t="str">
        <f t="shared" si="452"/>
        <v/>
      </c>
      <c r="BU694" t="str">
        <f t="shared" si="427"/>
        <v/>
      </c>
      <c r="BV694" t="str">
        <f t="shared" si="443"/>
        <v/>
      </c>
      <c r="BW694" t="str">
        <f t="shared" si="428"/>
        <v/>
      </c>
      <c r="BX694" t="str">
        <f t="shared" si="444"/>
        <v/>
      </c>
      <c r="BY694" t="str">
        <f t="shared" si="429"/>
        <v/>
      </c>
      <c r="BZ694" t="str">
        <f t="shared" si="445"/>
        <v/>
      </c>
      <c r="CA694" t="str">
        <f t="shared" si="430"/>
        <v/>
      </c>
      <c r="CB694" t="str">
        <f t="shared" si="413"/>
        <v/>
      </c>
      <c r="CC694" t="str">
        <f t="shared" si="431"/>
        <v/>
      </c>
      <c r="CD694" t="str">
        <f t="shared" si="414"/>
        <v/>
      </c>
      <c r="CE694" t="str">
        <f t="shared" si="432"/>
        <v>Bowles 5th edition</v>
      </c>
      <c r="CF694">
        <f t="shared" si="415"/>
        <v>96</v>
      </c>
      <c r="CG694" t="str">
        <f t="shared" si="433"/>
        <v/>
      </c>
      <c r="CH694" t="str">
        <f t="shared" si="416"/>
        <v/>
      </c>
      <c r="CI694" t="str">
        <f t="shared" si="434"/>
        <v/>
      </c>
      <c r="CJ694" t="str">
        <f t="shared" si="446"/>
        <v/>
      </c>
    </row>
    <row r="695" spans="20:88" x14ac:dyDescent="0.3">
      <c r="T695">
        <f t="shared" si="438"/>
        <v>1</v>
      </c>
      <c r="AA695">
        <v>80</v>
      </c>
      <c r="AB695" s="1">
        <f t="shared" si="449"/>
        <v>0</v>
      </c>
      <c r="AC695" t="str">
        <f t="shared" si="450"/>
        <v/>
      </c>
      <c r="AD695" t="str">
        <f t="shared" si="439"/>
        <v/>
      </c>
      <c r="AG695" s="21" t="str">
        <f t="shared" si="417"/>
        <v/>
      </c>
      <c r="AI695" s="6" t="str">
        <f t="shared" si="418"/>
        <v/>
      </c>
      <c r="AM695" s="7" t="str">
        <f t="shared" si="419"/>
        <v/>
      </c>
      <c r="AQ695" s="8" t="str">
        <f t="shared" si="420"/>
        <v/>
      </c>
      <c r="AW695" s="25" t="str">
        <f t="shared" si="421"/>
        <v/>
      </c>
      <c r="AZ695" s="12" t="str">
        <f t="shared" si="422"/>
        <v/>
      </c>
      <c r="BI695" s="17" t="str">
        <f t="shared" si="423"/>
        <v/>
      </c>
      <c r="BM695" t="str">
        <f t="shared" si="440"/>
        <v>SPT Relationship</v>
      </c>
      <c r="BN695">
        <f t="shared" si="441"/>
        <v>95</v>
      </c>
      <c r="BO695" t="str">
        <f t="shared" si="424"/>
        <v/>
      </c>
      <c r="BP695" t="str">
        <f t="shared" si="451"/>
        <v/>
      </c>
      <c r="BQ695" t="str">
        <f t="shared" si="425"/>
        <v/>
      </c>
      <c r="BR695" t="str">
        <f t="shared" si="442"/>
        <v/>
      </c>
      <c r="BS695" t="str">
        <f t="shared" si="426"/>
        <v/>
      </c>
      <c r="BT695" t="str">
        <f t="shared" si="452"/>
        <v/>
      </c>
      <c r="BU695" t="str">
        <f t="shared" si="427"/>
        <v/>
      </c>
      <c r="BV695" t="str">
        <f t="shared" si="443"/>
        <v/>
      </c>
      <c r="BW695" t="str">
        <f t="shared" si="428"/>
        <v/>
      </c>
      <c r="BX695" t="str">
        <f t="shared" si="444"/>
        <v/>
      </c>
      <c r="BY695" t="str">
        <f t="shared" si="429"/>
        <v/>
      </c>
      <c r="BZ695" t="str">
        <f t="shared" si="445"/>
        <v/>
      </c>
      <c r="CA695" t="str">
        <f t="shared" si="430"/>
        <v/>
      </c>
      <c r="CB695" t="str">
        <f t="shared" si="413"/>
        <v/>
      </c>
      <c r="CC695" t="str">
        <f t="shared" si="431"/>
        <v/>
      </c>
      <c r="CD695" t="str">
        <f t="shared" si="414"/>
        <v/>
      </c>
      <c r="CE695" t="str">
        <f t="shared" si="432"/>
        <v>Bowles 5th edition</v>
      </c>
      <c r="CF695">
        <f t="shared" si="415"/>
        <v>96</v>
      </c>
      <c r="CG695" t="str">
        <f t="shared" si="433"/>
        <v/>
      </c>
      <c r="CH695" t="str">
        <f t="shared" si="416"/>
        <v/>
      </c>
      <c r="CI695" t="str">
        <f t="shared" si="434"/>
        <v/>
      </c>
      <c r="CJ695" t="str">
        <f t="shared" si="446"/>
        <v/>
      </c>
    </row>
    <row r="696" spans="20:88" x14ac:dyDescent="0.3">
      <c r="T696">
        <f t="shared" si="438"/>
        <v>1</v>
      </c>
      <c r="AA696">
        <v>80</v>
      </c>
      <c r="AB696" s="1">
        <f t="shared" si="449"/>
        <v>0</v>
      </c>
      <c r="AC696" t="str">
        <f t="shared" si="450"/>
        <v/>
      </c>
      <c r="AD696" t="str">
        <f t="shared" si="439"/>
        <v/>
      </c>
      <c r="AG696" s="21" t="str">
        <f t="shared" si="417"/>
        <v/>
      </c>
      <c r="AI696" s="6" t="str">
        <f t="shared" si="418"/>
        <v/>
      </c>
      <c r="AM696" s="7" t="str">
        <f t="shared" si="419"/>
        <v/>
      </c>
      <c r="AQ696" s="8" t="str">
        <f t="shared" si="420"/>
        <v/>
      </c>
      <c r="AW696" s="25" t="str">
        <f t="shared" si="421"/>
        <v/>
      </c>
      <c r="AZ696" s="12" t="str">
        <f t="shared" si="422"/>
        <v/>
      </c>
      <c r="BI696" s="17" t="str">
        <f t="shared" si="423"/>
        <v/>
      </c>
      <c r="BM696" t="str">
        <f t="shared" si="440"/>
        <v>SPT Relationship</v>
      </c>
      <c r="BN696">
        <f t="shared" si="441"/>
        <v>95</v>
      </c>
      <c r="BO696" t="str">
        <f t="shared" si="424"/>
        <v/>
      </c>
      <c r="BP696" t="str">
        <f t="shared" si="451"/>
        <v/>
      </c>
      <c r="BQ696" t="str">
        <f t="shared" si="425"/>
        <v/>
      </c>
      <c r="BR696" t="str">
        <f t="shared" si="442"/>
        <v/>
      </c>
      <c r="BS696" t="str">
        <f t="shared" si="426"/>
        <v/>
      </c>
      <c r="BT696" t="str">
        <f t="shared" si="452"/>
        <v/>
      </c>
      <c r="BU696" t="str">
        <f t="shared" si="427"/>
        <v/>
      </c>
      <c r="BV696" t="str">
        <f t="shared" si="443"/>
        <v/>
      </c>
      <c r="BW696" t="str">
        <f t="shared" si="428"/>
        <v/>
      </c>
      <c r="BX696" t="str">
        <f t="shared" si="444"/>
        <v/>
      </c>
      <c r="BY696" t="str">
        <f t="shared" si="429"/>
        <v/>
      </c>
      <c r="BZ696" t="str">
        <f t="shared" si="445"/>
        <v/>
      </c>
      <c r="CA696" t="str">
        <f t="shared" si="430"/>
        <v/>
      </c>
      <c r="CB696" t="str">
        <f t="shared" si="413"/>
        <v/>
      </c>
      <c r="CC696" t="str">
        <f t="shared" si="431"/>
        <v/>
      </c>
      <c r="CD696" t="str">
        <f t="shared" si="414"/>
        <v/>
      </c>
      <c r="CE696" t="str">
        <f t="shared" si="432"/>
        <v>Bowles 5th edition</v>
      </c>
      <c r="CF696">
        <f t="shared" si="415"/>
        <v>96</v>
      </c>
      <c r="CG696" t="str">
        <f t="shared" si="433"/>
        <v/>
      </c>
      <c r="CH696" t="str">
        <f t="shared" si="416"/>
        <v/>
      </c>
      <c r="CI696" t="str">
        <f t="shared" si="434"/>
        <v/>
      </c>
      <c r="CJ696" t="str">
        <f t="shared" si="446"/>
        <v/>
      </c>
    </row>
    <row r="697" spans="20:88" x14ac:dyDescent="0.3">
      <c r="T697">
        <f t="shared" si="438"/>
        <v>1</v>
      </c>
      <c r="AA697">
        <v>80</v>
      </c>
      <c r="AB697" s="1">
        <f t="shared" si="449"/>
        <v>0</v>
      </c>
      <c r="AC697" t="str">
        <f t="shared" si="450"/>
        <v/>
      </c>
      <c r="AD697" t="str">
        <f t="shared" si="439"/>
        <v/>
      </c>
      <c r="AG697" s="21" t="str">
        <f t="shared" si="417"/>
        <v/>
      </c>
      <c r="AI697" s="6" t="str">
        <f t="shared" si="418"/>
        <v/>
      </c>
      <c r="AM697" s="7" t="str">
        <f t="shared" si="419"/>
        <v/>
      </c>
      <c r="AQ697" s="8" t="str">
        <f t="shared" si="420"/>
        <v/>
      </c>
      <c r="AW697" s="25" t="str">
        <f t="shared" si="421"/>
        <v/>
      </c>
      <c r="AZ697" s="12" t="str">
        <f t="shared" si="422"/>
        <v/>
      </c>
      <c r="BI697" s="17" t="str">
        <f t="shared" si="423"/>
        <v/>
      </c>
      <c r="BM697" t="str">
        <f t="shared" si="440"/>
        <v>SPT Relationship</v>
      </c>
      <c r="BN697">
        <f t="shared" si="441"/>
        <v>95</v>
      </c>
      <c r="BO697" t="str">
        <f t="shared" si="424"/>
        <v/>
      </c>
      <c r="BP697" t="str">
        <f t="shared" si="451"/>
        <v/>
      </c>
      <c r="BQ697" t="str">
        <f t="shared" si="425"/>
        <v/>
      </c>
      <c r="BR697" t="str">
        <f t="shared" si="442"/>
        <v/>
      </c>
      <c r="BS697" t="str">
        <f t="shared" si="426"/>
        <v/>
      </c>
      <c r="BT697" t="str">
        <f t="shared" si="452"/>
        <v/>
      </c>
      <c r="BU697" t="str">
        <f t="shared" si="427"/>
        <v/>
      </c>
      <c r="BV697" t="str">
        <f t="shared" si="443"/>
        <v/>
      </c>
      <c r="BW697" t="str">
        <f t="shared" si="428"/>
        <v/>
      </c>
      <c r="BX697" t="str">
        <f t="shared" si="444"/>
        <v/>
      </c>
      <c r="BY697" t="str">
        <f t="shared" si="429"/>
        <v/>
      </c>
      <c r="BZ697" t="str">
        <f t="shared" si="445"/>
        <v/>
      </c>
      <c r="CA697" t="str">
        <f t="shared" si="430"/>
        <v/>
      </c>
      <c r="CB697" t="str">
        <f t="shared" si="413"/>
        <v/>
      </c>
      <c r="CC697" t="str">
        <f t="shared" si="431"/>
        <v/>
      </c>
      <c r="CD697" t="str">
        <f t="shared" si="414"/>
        <v/>
      </c>
      <c r="CE697" t="str">
        <f t="shared" si="432"/>
        <v>Bowles 5th edition</v>
      </c>
      <c r="CF697">
        <f t="shared" si="415"/>
        <v>96</v>
      </c>
      <c r="CG697" t="str">
        <f t="shared" si="433"/>
        <v/>
      </c>
      <c r="CH697" t="str">
        <f t="shared" si="416"/>
        <v/>
      </c>
      <c r="CI697" t="str">
        <f t="shared" si="434"/>
        <v/>
      </c>
      <c r="CJ697" t="str">
        <f t="shared" si="446"/>
        <v/>
      </c>
    </row>
    <row r="698" spans="20:88" x14ac:dyDescent="0.3">
      <c r="T698">
        <f t="shared" si="438"/>
        <v>1</v>
      </c>
      <c r="AA698">
        <v>80</v>
      </c>
      <c r="AB698" s="1">
        <f t="shared" si="449"/>
        <v>0</v>
      </c>
      <c r="AC698" t="str">
        <f t="shared" si="450"/>
        <v/>
      </c>
      <c r="AD698" t="str">
        <f t="shared" si="439"/>
        <v/>
      </c>
      <c r="AG698" s="21" t="str">
        <f t="shared" si="417"/>
        <v/>
      </c>
      <c r="AI698" s="6" t="str">
        <f t="shared" si="418"/>
        <v/>
      </c>
      <c r="AM698" s="7" t="str">
        <f t="shared" si="419"/>
        <v/>
      </c>
      <c r="AQ698" s="8" t="str">
        <f t="shared" si="420"/>
        <v/>
      </c>
      <c r="AW698" s="25" t="str">
        <f t="shared" si="421"/>
        <v/>
      </c>
      <c r="AZ698" s="12" t="str">
        <f t="shared" si="422"/>
        <v/>
      </c>
      <c r="BI698" s="17" t="str">
        <f t="shared" si="423"/>
        <v/>
      </c>
      <c r="BM698" t="str">
        <f t="shared" si="440"/>
        <v>SPT Relationship</v>
      </c>
      <c r="BN698">
        <f t="shared" si="441"/>
        <v>95</v>
      </c>
      <c r="BO698" t="str">
        <f t="shared" si="424"/>
        <v/>
      </c>
      <c r="BP698" t="str">
        <f t="shared" si="451"/>
        <v/>
      </c>
      <c r="BQ698" t="str">
        <f t="shared" si="425"/>
        <v/>
      </c>
      <c r="BR698" t="str">
        <f t="shared" si="442"/>
        <v/>
      </c>
      <c r="BS698" t="str">
        <f t="shared" si="426"/>
        <v/>
      </c>
      <c r="BT698" t="str">
        <f t="shared" si="452"/>
        <v/>
      </c>
      <c r="BU698" t="str">
        <f t="shared" si="427"/>
        <v/>
      </c>
      <c r="BV698" t="str">
        <f t="shared" si="443"/>
        <v/>
      </c>
      <c r="BW698" t="str">
        <f t="shared" si="428"/>
        <v/>
      </c>
      <c r="BX698" t="str">
        <f t="shared" si="444"/>
        <v/>
      </c>
      <c r="BY698" t="str">
        <f t="shared" si="429"/>
        <v/>
      </c>
      <c r="BZ698" t="str">
        <f t="shared" si="445"/>
        <v/>
      </c>
      <c r="CA698" t="str">
        <f t="shared" si="430"/>
        <v/>
      </c>
      <c r="CB698" t="str">
        <f t="shared" si="413"/>
        <v/>
      </c>
      <c r="CC698" t="str">
        <f t="shared" si="431"/>
        <v/>
      </c>
      <c r="CD698" t="str">
        <f t="shared" si="414"/>
        <v/>
      </c>
      <c r="CE698" t="str">
        <f t="shared" si="432"/>
        <v>Bowles 5th edition</v>
      </c>
      <c r="CF698">
        <f t="shared" si="415"/>
        <v>96</v>
      </c>
      <c r="CG698" t="str">
        <f t="shared" si="433"/>
        <v/>
      </c>
      <c r="CH698" t="str">
        <f t="shared" si="416"/>
        <v/>
      </c>
      <c r="CI698" t="str">
        <f t="shared" si="434"/>
        <v/>
      </c>
      <c r="CJ698" t="str">
        <f t="shared" si="446"/>
        <v/>
      </c>
    </row>
    <row r="699" spans="20:88" x14ac:dyDescent="0.3">
      <c r="T699">
        <f t="shared" si="438"/>
        <v>1</v>
      </c>
      <c r="AA699">
        <v>80</v>
      </c>
      <c r="AB699" s="1">
        <f t="shared" si="449"/>
        <v>0</v>
      </c>
      <c r="AC699" t="str">
        <f t="shared" si="450"/>
        <v/>
      </c>
      <c r="AD699" t="str">
        <f t="shared" si="439"/>
        <v/>
      </c>
      <c r="AG699" s="21" t="str">
        <f t="shared" si="417"/>
        <v/>
      </c>
      <c r="AI699" s="6" t="str">
        <f t="shared" si="418"/>
        <v/>
      </c>
      <c r="AM699" s="7" t="str">
        <f t="shared" si="419"/>
        <v/>
      </c>
      <c r="AQ699" s="8" t="str">
        <f t="shared" si="420"/>
        <v/>
      </c>
      <c r="AW699" s="25" t="str">
        <f t="shared" si="421"/>
        <v/>
      </c>
      <c r="AZ699" s="12" t="str">
        <f t="shared" si="422"/>
        <v/>
      </c>
      <c r="BI699" s="17" t="str">
        <f t="shared" si="423"/>
        <v/>
      </c>
      <c r="BM699" t="str">
        <f t="shared" si="440"/>
        <v>SPT Relationship</v>
      </c>
      <c r="BN699">
        <f t="shared" si="441"/>
        <v>95</v>
      </c>
      <c r="BO699" t="str">
        <f t="shared" si="424"/>
        <v/>
      </c>
      <c r="BP699" t="str">
        <f t="shared" si="451"/>
        <v/>
      </c>
      <c r="BQ699" t="str">
        <f t="shared" si="425"/>
        <v/>
      </c>
      <c r="BR699" t="str">
        <f t="shared" si="442"/>
        <v/>
      </c>
      <c r="BS699" t="str">
        <f t="shared" si="426"/>
        <v/>
      </c>
      <c r="BT699" t="str">
        <f t="shared" si="452"/>
        <v/>
      </c>
      <c r="BU699" t="str">
        <f t="shared" si="427"/>
        <v/>
      </c>
      <c r="BV699" t="str">
        <f t="shared" si="443"/>
        <v/>
      </c>
      <c r="BW699" t="str">
        <f t="shared" si="428"/>
        <v/>
      </c>
      <c r="BX699" t="str">
        <f t="shared" si="444"/>
        <v/>
      </c>
      <c r="BY699" t="str">
        <f t="shared" si="429"/>
        <v/>
      </c>
      <c r="BZ699" t="str">
        <f t="shared" si="445"/>
        <v/>
      </c>
      <c r="CA699" t="str">
        <f t="shared" si="430"/>
        <v/>
      </c>
      <c r="CB699" t="str">
        <f t="shared" si="413"/>
        <v/>
      </c>
      <c r="CC699" t="str">
        <f t="shared" si="431"/>
        <v/>
      </c>
      <c r="CD699" t="str">
        <f t="shared" si="414"/>
        <v/>
      </c>
      <c r="CE699" t="str">
        <f t="shared" si="432"/>
        <v>Bowles 5th edition</v>
      </c>
      <c r="CF699">
        <f t="shared" si="415"/>
        <v>96</v>
      </c>
      <c r="CG699" t="str">
        <f t="shared" si="433"/>
        <v/>
      </c>
      <c r="CH699" t="str">
        <f t="shared" si="416"/>
        <v/>
      </c>
      <c r="CI699" t="str">
        <f t="shared" si="434"/>
        <v/>
      </c>
      <c r="CJ699" t="str">
        <f t="shared" si="446"/>
        <v/>
      </c>
    </row>
    <row r="700" spans="20:88" x14ac:dyDescent="0.3">
      <c r="T700">
        <f t="shared" si="438"/>
        <v>1</v>
      </c>
      <c r="AA700">
        <v>80</v>
      </c>
      <c r="AB700" s="1">
        <f t="shared" si="449"/>
        <v>0</v>
      </c>
      <c r="AC700" t="str">
        <f t="shared" si="450"/>
        <v/>
      </c>
      <c r="AD700" t="str">
        <f t="shared" si="439"/>
        <v/>
      </c>
      <c r="AG700" s="21" t="str">
        <f t="shared" si="417"/>
        <v/>
      </c>
      <c r="AI700" s="6" t="str">
        <f t="shared" si="418"/>
        <v/>
      </c>
      <c r="AM700" s="7" t="str">
        <f t="shared" si="419"/>
        <v/>
      </c>
      <c r="AQ700" s="8" t="str">
        <f t="shared" si="420"/>
        <v/>
      </c>
      <c r="AW700" s="25" t="str">
        <f t="shared" si="421"/>
        <v/>
      </c>
      <c r="AZ700" s="12" t="str">
        <f t="shared" si="422"/>
        <v/>
      </c>
      <c r="BI700" s="17" t="str">
        <f t="shared" si="423"/>
        <v/>
      </c>
      <c r="BM700" t="str">
        <f t="shared" si="440"/>
        <v>SPT Relationship</v>
      </c>
      <c r="BN700">
        <f t="shared" si="441"/>
        <v>95</v>
      </c>
      <c r="BO700" t="str">
        <f t="shared" si="424"/>
        <v/>
      </c>
      <c r="BP700" t="str">
        <f t="shared" si="451"/>
        <v/>
      </c>
      <c r="BQ700" t="str">
        <f t="shared" si="425"/>
        <v/>
      </c>
      <c r="BR700" t="str">
        <f t="shared" si="442"/>
        <v/>
      </c>
      <c r="BS700" t="str">
        <f t="shared" si="426"/>
        <v/>
      </c>
      <c r="BT700" t="str">
        <f t="shared" si="452"/>
        <v/>
      </c>
      <c r="BU700" t="str">
        <f t="shared" si="427"/>
        <v/>
      </c>
      <c r="BV700" t="str">
        <f t="shared" si="443"/>
        <v/>
      </c>
      <c r="BW700" t="str">
        <f t="shared" si="428"/>
        <v/>
      </c>
      <c r="BX700" t="str">
        <f t="shared" si="444"/>
        <v/>
      </c>
      <c r="BY700" t="str">
        <f t="shared" si="429"/>
        <v/>
      </c>
      <c r="BZ700" t="str">
        <f t="shared" si="445"/>
        <v/>
      </c>
      <c r="CA700" t="str">
        <f t="shared" si="430"/>
        <v/>
      </c>
      <c r="CB700" t="str">
        <f t="shared" si="413"/>
        <v/>
      </c>
      <c r="CC700" t="str">
        <f t="shared" si="431"/>
        <v/>
      </c>
      <c r="CD700" t="str">
        <f t="shared" si="414"/>
        <v/>
      </c>
      <c r="CE700" t="str">
        <f t="shared" si="432"/>
        <v>Bowles 5th edition</v>
      </c>
      <c r="CF700">
        <f t="shared" si="415"/>
        <v>96</v>
      </c>
      <c r="CG700" t="str">
        <f t="shared" si="433"/>
        <v/>
      </c>
      <c r="CH700" t="str">
        <f t="shared" si="416"/>
        <v/>
      </c>
      <c r="CI700" t="str">
        <f t="shared" si="434"/>
        <v/>
      </c>
      <c r="CJ700" t="str">
        <f t="shared" si="446"/>
        <v/>
      </c>
    </row>
    <row r="701" spans="20:88" x14ac:dyDescent="0.3">
      <c r="T701">
        <f t="shared" si="438"/>
        <v>1</v>
      </c>
      <c r="AA701">
        <v>80</v>
      </c>
      <c r="AB701" s="1">
        <f t="shared" si="449"/>
        <v>0</v>
      </c>
      <c r="AC701" t="str">
        <f t="shared" si="450"/>
        <v/>
      </c>
      <c r="AD701" t="str">
        <f t="shared" si="439"/>
        <v/>
      </c>
      <c r="AG701" s="21" t="str">
        <f t="shared" si="417"/>
        <v/>
      </c>
      <c r="AI701" s="6" t="str">
        <f t="shared" si="418"/>
        <v/>
      </c>
      <c r="AM701" s="7" t="str">
        <f t="shared" si="419"/>
        <v/>
      </c>
      <c r="AQ701" s="8" t="str">
        <f t="shared" si="420"/>
        <v/>
      </c>
      <c r="AW701" s="25" t="str">
        <f t="shared" si="421"/>
        <v/>
      </c>
      <c r="AZ701" s="12" t="str">
        <f t="shared" si="422"/>
        <v/>
      </c>
      <c r="BI701" s="17" t="str">
        <f t="shared" si="423"/>
        <v/>
      </c>
      <c r="BM701" t="str">
        <f t="shared" si="440"/>
        <v>SPT Relationship</v>
      </c>
      <c r="BN701">
        <f t="shared" si="441"/>
        <v>95</v>
      </c>
      <c r="BO701" t="str">
        <f t="shared" si="424"/>
        <v/>
      </c>
      <c r="BP701" t="str">
        <f t="shared" si="451"/>
        <v/>
      </c>
      <c r="BQ701" t="str">
        <f t="shared" si="425"/>
        <v/>
      </c>
      <c r="BR701" t="str">
        <f t="shared" si="442"/>
        <v/>
      </c>
      <c r="BS701" t="str">
        <f t="shared" si="426"/>
        <v/>
      </c>
      <c r="BT701" t="str">
        <f t="shared" si="452"/>
        <v/>
      </c>
      <c r="BU701" t="str">
        <f t="shared" si="427"/>
        <v/>
      </c>
      <c r="BV701" t="str">
        <f t="shared" si="443"/>
        <v/>
      </c>
      <c r="BW701" t="str">
        <f t="shared" si="428"/>
        <v/>
      </c>
      <c r="BX701" t="str">
        <f t="shared" si="444"/>
        <v/>
      </c>
      <c r="BY701" t="str">
        <f t="shared" si="429"/>
        <v/>
      </c>
      <c r="BZ701" t="str">
        <f t="shared" si="445"/>
        <v/>
      </c>
      <c r="CA701" t="str">
        <f t="shared" si="430"/>
        <v/>
      </c>
      <c r="CB701" t="str">
        <f t="shared" si="413"/>
        <v/>
      </c>
      <c r="CC701" t="str">
        <f t="shared" si="431"/>
        <v/>
      </c>
      <c r="CD701" t="str">
        <f t="shared" si="414"/>
        <v/>
      </c>
      <c r="CE701" t="str">
        <f t="shared" si="432"/>
        <v>Bowles 5th edition</v>
      </c>
      <c r="CF701">
        <f t="shared" si="415"/>
        <v>96</v>
      </c>
      <c r="CG701" t="str">
        <f t="shared" si="433"/>
        <v/>
      </c>
      <c r="CH701" t="str">
        <f t="shared" si="416"/>
        <v/>
      </c>
      <c r="CI701" t="str">
        <f t="shared" si="434"/>
        <v/>
      </c>
      <c r="CJ701" t="str">
        <f t="shared" si="446"/>
        <v/>
      </c>
    </row>
    <row r="702" spans="20:88" x14ac:dyDescent="0.3">
      <c r="T702">
        <f t="shared" si="438"/>
        <v>1</v>
      </c>
      <c r="AA702">
        <v>80</v>
      </c>
      <c r="AB702" s="1">
        <f t="shared" si="449"/>
        <v>0</v>
      </c>
      <c r="AC702" t="str">
        <f t="shared" si="450"/>
        <v/>
      </c>
      <c r="AD702" t="str">
        <f t="shared" si="439"/>
        <v/>
      </c>
      <c r="AG702" s="21" t="str">
        <f t="shared" si="417"/>
        <v/>
      </c>
      <c r="AI702" s="6" t="str">
        <f t="shared" si="418"/>
        <v/>
      </c>
      <c r="AM702" s="7" t="str">
        <f t="shared" si="419"/>
        <v/>
      </c>
      <c r="AQ702" s="8" t="str">
        <f t="shared" si="420"/>
        <v/>
      </c>
      <c r="AW702" s="25" t="str">
        <f t="shared" si="421"/>
        <v/>
      </c>
      <c r="AZ702" s="12" t="str">
        <f t="shared" si="422"/>
        <v/>
      </c>
      <c r="BI702" s="17" t="str">
        <f t="shared" si="423"/>
        <v/>
      </c>
      <c r="BM702" t="str">
        <f t="shared" si="440"/>
        <v>SPT Relationship</v>
      </c>
      <c r="BN702">
        <f t="shared" si="441"/>
        <v>95</v>
      </c>
      <c r="BO702" t="str">
        <f t="shared" si="424"/>
        <v/>
      </c>
      <c r="BP702" t="str">
        <f t="shared" si="451"/>
        <v/>
      </c>
      <c r="BQ702" t="str">
        <f t="shared" si="425"/>
        <v/>
      </c>
      <c r="BR702" t="str">
        <f t="shared" si="442"/>
        <v/>
      </c>
      <c r="BS702" t="str">
        <f t="shared" si="426"/>
        <v/>
      </c>
      <c r="BT702" t="str">
        <f t="shared" si="452"/>
        <v/>
      </c>
      <c r="BU702" t="str">
        <f t="shared" si="427"/>
        <v/>
      </c>
      <c r="BV702" t="str">
        <f t="shared" si="443"/>
        <v/>
      </c>
      <c r="BW702" t="str">
        <f t="shared" si="428"/>
        <v/>
      </c>
      <c r="BX702" t="str">
        <f t="shared" si="444"/>
        <v/>
      </c>
      <c r="BY702" t="str">
        <f t="shared" si="429"/>
        <v/>
      </c>
      <c r="BZ702" t="str">
        <f t="shared" si="445"/>
        <v/>
      </c>
      <c r="CA702" t="str">
        <f t="shared" si="430"/>
        <v/>
      </c>
      <c r="CB702" t="str">
        <f t="shared" si="413"/>
        <v/>
      </c>
      <c r="CC702" t="str">
        <f t="shared" si="431"/>
        <v/>
      </c>
      <c r="CD702" t="str">
        <f t="shared" si="414"/>
        <v/>
      </c>
      <c r="CE702" t="str">
        <f t="shared" si="432"/>
        <v>Bowles 5th edition</v>
      </c>
      <c r="CF702">
        <f t="shared" si="415"/>
        <v>96</v>
      </c>
      <c r="CG702" t="str">
        <f t="shared" si="433"/>
        <v/>
      </c>
      <c r="CH702" t="str">
        <f t="shared" si="416"/>
        <v/>
      </c>
      <c r="CI702" t="str">
        <f t="shared" si="434"/>
        <v/>
      </c>
      <c r="CJ702" t="str">
        <f t="shared" si="446"/>
        <v/>
      </c>
    </row>
    <row r="703" spans="20:88" x14ac:dyDescent="0.3">
      <c r="T703">
        <f t="shared" si="438"/>
        <v>1</v>
      </c>
      <c r="AA703">
        <v>80</v>
      </c>
      <c r="AB703" s="1">
        <f t="shared" si="449"/>
        <v>0</v>
      </c>
      <c r="AC703" t="str">
        <f t="shared" si="450"/>
        <v/>
      </c>
      <c r="AD703" t="str">
        <f t="shared" si="439"/>
        <v/>
      </c>
      <c r="AG703" s="21" t="str">
        <f t="shared" si="417"/>
        <v/>
      </c>
      <c r="AI703" s="6" t="str">
        <f t="shared" si="418"/>
        <v/>
      </c>
      <c r="AM703" s="7" t="str">
        <f t="shared" si="419"/>
        <v/>
      </c>
      <c r="AQ703" s="8" t="str">
        <f t="shared" si="420"/>
        <v/>
      </c>
      <c r="AW703" s="25" t="str">
        <f t="shared" si="421"/>
        <v/>
      </c>
      <c r="AZ703" s="12" t="str">
        <f t="shared" si="422"/>
        <v/>
      </c>
      <c r="BI703" s="17" t="str">
        <f t="shared" si="423"/>
        <v/>
      </c>
      <c r="BM703" t="str">
        <f t="shared" si="440"/>
        <v>SPT Relationship</v>
      </c>
      <c r="BN703">
        <f t="shared" si="441"/>
        <v>95</v>
      </c>
      <c r="BO703" t="str">
        <f t="shared" si="424"/>
        <v/>
      </c>
      <c r="BP703" t="str">
        <f t="shared" si="451"/>
        <v/>
      </c>
      <c r="BQ703" t="str">
        <f t="shared" si="425"/>
        <v/>
      </c>
      <c r="BR703" t="str">
        <f t="shared" si="442"/>
        <v/>
      </c>
      <c r="BS703" t="str">
        <f t="shared" si="426"/>
        <v/>
      </c>
      <c r="BT703" t="str">
        <f t="shared" si="452"/>
        <v/>
      </c>
      <c r="BU703" t="str">
        <f t="shared" si="427"/>
        <v/>
      </c>
      <c r="BV703" t="str">
        <f t="shared" si="443"/>
        <v/>
      </c>
      <c r="BW703" t="str">
        <f t="shared" si="428"/>
        <v/>
      </c>
      <c r="BX703" t="str">
        <f t="shared" si="444"/>
        <v/>
      </c>
      <c r="BY703" t="str">
        <f t="shared" si="429"/>
        <v/>
      </c>
      <c r="BZ703" t="str">
        <f t="shared" si="445"/>
        <v/>
      </c>
      <c r="CA703" t="str">
        <f t="shared" si="430"/>
        <v/>
      </c>
      <c r="CB703" t="str">
        <f t="shared" si="413"/>
        <v/>
      </c>
      <c r="CC703" t="str">
        <f t="shared" si="431"/>
        <v/>
      </c>
      <c r="CD703" t="str">
        <f t="shared" si="414"/>
        <v/>
      </c>
      <c r="CE703" t="str">
        <f t="shared" si="432"/>
        <v>Bowles 5th edition</v>
      </c>
      <c r="CF703">
        <f t="shared" si="415"/>
        <v>96</v>
      </c>
      <c r="CG703" t="str">
        <f t="shared" si="433"/>
        <v/>
      </c>
      <c r="CH703" t="str">
        <f t="shared" si="416"/>
        <v/>
      </c>
      <c r="CI703" t="str">
        <f t="shared" si="434"/>
        <v/>
      </c>
      <c r="CJ703" t="str">
        <f t="shared" si="446"/>
        <v/>
      </c>
    </row>
    <row r="704" spans="20:88" x14ac:dyDescent="0.3">
      <c r="T704">
        <f t="shared" si="438"/>
        <v>1</v>
      </c>
      <c r="AA704">
        <v>80</v>
      </c>
      <c r="AB704" s="1">
        <f t="shared" si="449"/>
        <v>0</v>
      </c>
      <c r="AC704" t="str">
        <f t="shared" si="450"/>
        <v/>
      </c>
      <c r="AD704" t="str">
        <f t="shared" si="439"/>
        <v/>
      </c>
      <c r="AG704" s="21" t="str">
        <f t="shared" si="417"/>
        <v/>
      </c>
      <c r="AI704" s="6" t="str">
        <f t="shared" si="418"/>
        <v/>
      </c>
      <c r="AM704" s="7" t="str">
        <f t="shared" si="419"/>
        <v/>
      </c>
      <c r="AQ704" s="8" t="str">
        <f t="shared" si="420"/>
        <v/>
      </c>
      <c r="AW704" s="25" t="str">
        <f t="shared" si="421"/>
        <v/>
      </c>
      <c r="AZ704" s="12" t="str">
        <f t="shared" si="422"/>
        <v/>
      </c>
      <c r="BI704" s="17" t="str">
        <f t="shared" si="423"/>
        <v/>
      </c>
      <c r="BM704" t="str">
        <f t="shared" si="440"/>
        <v>SPT Relationship</v>
      </c>
      <c r="BN704">
        <f t="shared" si="441"/>
        <v>95</v>
      </c>
      <c r="BO704" t="str">
        <f t="shared" si="424"/>
        <v/>
      </c>
      <c r="BP704" t="str">
        <f t="shared" si="451"/>
        <v/>
      </c>
      <c r="BQ704" t="str">
        <f t="shared" si="425"/>
        <v/>
      </c>
      <c r="BR704" t="str">
        <f t="shared" si="442"/>
        <v/>
      </c>
      <c r="BS704" t="str">
        <f t="shared" si="426"/>
        <v/>
      </c>
      <c r="BT704" t="str">
        <f t="shared" si="452"/>
        <v/>
      </c>
      <c r="BU704" t="str">
        <f t="shared" si="427"/>
        <v/>
      </c>
      <c r="BV704" t="str">
        <f t="shared" si="443"/>
        <v/>
      </c>
      <c r="BW704" t="str">
        <f t="shared" si="428"/>
        <v/>
      </c>
      <c r="BX704" t="str">
        <f t="shared" si="444"/>
        <v/>
      </c>
      <c r="BY704" t="str">
        <f t="shared" si="429"/>
        <v/>
      </c>
      <c r="BZ704" t="str">
        <f t="shared" si="445"/>
        <v/>
      </c>
      <c r="CA704" t="str">
        <f t="shared" si="430"/>
        <v/>
      </c>
      <c r="CB704" t="str">
        <f t="shared" ref="CB704:CB749" si="453">IF(P704="","",-0.0000000002*P704^5+0.00000009*P704^4-0.00002*P704^3+0.0019*P704^2-0.0999*P704+2.2178)</f>
        <v/>
      </c>
      <c r="CC704" t="str">
        <f t="shared" si="431"/>
        <v/>
      </c>
      <c r="CD704" t="str">
        <f t="shared" ref="CD704:CD749" si="454">IF(AD704="","",(10^(1.11-1.62*AD704)*100)*20.885434273039)</f>
        <v/>
      </c>
      <c r="CE704" t="str">
        <f t="shared" si="432"/>
        <v>Bowles 5th edition</v>
      </c>
      <c r="CF704">
        <f t="shared" ref="CF704:CF749" si="455">IF(S704="Clay","",IF(AB704="","",ROUND((AB704+15)*6.4,0)))</f>
        <v>96</v>
      </c>
      <c r="CG704" t="str">
        <f t="shared" si="433"/>
        <v/>
      </c>
      <c r="CH704" t="str">
        <f t="shared" ref="CH704:CH749" si="456">IF(N704="","",ROUND(N704/100*2.67,2))</f>
        <v/>
      </c>
      <c r="CI704" t="str">
        <f t="shared" si="434"/>
        <v/>
      </c>
      <c r="CJ704" t="str">
        <f t="shared" si="446"/>
        <v/>
      </c>
    </row>
    <row r="705" spans="20:88" x14ac:dyDescent="0.3">
      <c r="T705">
        <f t="shared" si="438"/>
        <v>1</v>
      </c>
      <c r="AA705">
        <v>80</v>
      </c>
      <c r="AB705" s="1">
        <f t="shared" si="449"/>
        <v>0</v>
      </c>
      <c r="AC705" t="str">
        <f t="shared" si="450"/>
        <v/>
      </c>
      <c r="AD705" t="str">
        <f t="shared" si="439"/>
        <v/>
      </c>
      <c r="AG705" s="21" t="str">
        <f t="shared" si="417"/>
        <v/>
      </c>
      <c r="AI705" s="6" t="str">
        <f t="shared" si="418"/>
        <v/>
      </c>
      <c r="AM705" s="7" t="str">
        <f t="shared" si="419"/>
        <v/>
      </c>
      <c r="AQ705" s="8" t="str">
        <f t="shared" si="420"/>
        <v/>
      </c>
      <c r="AW705" s="25" t="str">
        <f t="shared" si="421"/>
        <v/>
      </c>
      <c r="AZ705" s="12" t="str">
        <f t="shared" si="422"/>
        <v/>
      </c>
      <c r="BI705" s="17" t="str">
        <f t="shared" si="423"/>
        <v/>
      </c>
      <c r="BM705" t="str">
        <f t="shared" si="440"/>
        <v>SPT Relationship</v>
      </c>
      <c r="BN705">
        <f t="shared" si="441"/>
        <v>95</v>
      </c>
      <c r="BO705" t="str">
        <f t="shared" si="424"/>
        <v/>
      </c>
      <c r="BP705" t="str">
        <f t="shared" si="451"/>
        <v/>
      </c>
      <c r="BQ705" t="str">
        <f t="shared" si="425"/>
        <v/>
      </c>
      <c r="BR705" t="str">
        <f t="shared" si="442"/>
        <v/>
      </c>
      <c r="BS705" t="str">
        <f t="shared" si="426"/>
        <v/>
      </c>
      <c r="BT705" t="str">
        <f t="shared" si="452"/>
        <v/>
      </c>
      <c r="BU705" t="str">
        <f t="shared" si="427"/>
        <v/>
      </c>
      <c r="BV705" t="str">
        <f t="shared" si="443"/>
        <v/>
      </c>
      <c r="BW705" t="str">
        <f t="shared" si="428"/>
        <v/>
      </c>
      <c r="BX705" t="str">
        <f t="shared" si="444"/>
        <v/>
      </c>
      <c r="BY705" t="str">
        <f t="shared" si="429"/>
        <v/>
      </c>
      <c r="BZ705" t="str">
        <f t="shared" si="445"/>
        <v/>
      </c>
      <c r="CA705" t="str">
        <f t="shared" si="430"/>
        <v/>
      </c>
      <c r="CB705" t="str">
        <f t="shared" si="453"/>
        <v/>
      </c>
      <c r="CC705" t="str">
        <f t="shared" si="431"/>
        <v/>
      </c>
      <c r="CD705" t="str">
        <f t="shared" si="454"/>
        <v/>
      </c>
      <c r="CE705" t="str">
        <f t="shared" si="432"/>
        <v>Bowles 5th edition</v>
      </c>
      <c r="CF705">
        <f t="shared" si="455"/>
        <v>96</v>
      </c>
      <c r="CG705" t="str">
        <f t="shared" si="433"/>
        <v/>
      </c>
      <c r="CH705" t="str">
        <f t="shared" si="456"/>
        <v/>
      </c>
      <c r="CI705" t="str">
        <f t="shared" si="434"/>
        <v/>
      </c>
      <c r="CJ705" t="str">
        <f t="shared" si="446"/>
        <v/>
      </c>
    </row>
    <row r="706" spans="20:88" x14ac:dyDescent="0.3">
      <c r="T706">
        <f t="shared" si="438"/>
        <v>1</v>
      </c>
      <c r="AA706">
        <v>80</v>
      </c>
      <c r="AB706" s="1">
        <f t="shared" si="449"/>
        <v>0</v>
      </c>
      <c r="AC706" t="str">
        <f t="shared" si="450"/>
        <v/>
      </c>
      <c r="AD706" t="str">
        <f t="shared" si="439"/>
        <v/>
      </c>
      <c r="AG706" s="21" t="str">
        <f t="shared" si="417"/>
        <v/>
      </c>
      <c r="AI706" s="6" t="str">
        <f t="shared" si="418"/>
        <v/>
      </c>
      <c r="AM706" s="7" t="str">
        <f t="shared" si="419"/>
        <v/>
      </c>
      <c r="AQ706" s="8" t="str">
        <f t="shared" si="420"/>
        <v/>
      </c>
      <c r="AW706" s="25" t="str">
        <f t="shared" si="421"/>
        <v/>
      </c>
      <c r="AZ706" s="12" t="str">
        <f t="shared" si="422"/>
        <v/>
      </c>
      <c r="BI706" s="17" t="str">
        <f t="shared" si="423"/>
        <v/>
      </c>
      <c r="BM706" t="str">
        <f t="shared" si="440"/>
        <v>SPT Relationship</v>
      </c>
      <c r="BN706">
        <f t="shared" si="441"/>
        <v>95</v>
      </c>
      <c r="BO706" t="str">
        <f t="shared" si="424"/>
        <v/>
      </c>
      <c r="BP706" t="str">
        <f t="shared" si="451"/>
        <v/>
      </c>
      <c r="BQ706" t="str">
        <f t="shared" si="425"/>
        <v/>
      </c>
      <c r="BR706" t="str">
        <f t="shared" si="442"/>
        <v/>
      </c>
      <c r="BS706" t="str">
        <f t="shared" si="426"/>
        <v/>
      </c>
      <c r="BT706" t="str">
        <f t="shared" si="452"/>
        <v/>
      </c>
      <c r="BU706" t="str">
        <f t="shared" si="427"/>
        <v/>
      </c>
      <c r="BV706" t="str">
        <f t="shared" si="443"/>
        <v/>
      </c>
      <c r="BW706" t="str">
        <f t="shared" si="428"/>
        <v/>
      </c>
      <c r="BX706" t="str">
        <f t="shared" si="444"/>
        <v/>
      </c>
      <c r="BY706" t="str">
        <f t="shared" si="429"/>
        <v/>
      </c>
      <c r="BZ706" t="str">
        <f t="shared" si="445"/>
        <v/>
      </c>
      <c r="CA706" t="str">
        <f t="shared" si="430"/>
        <v/>
      </c>
      <c r="CB706" t="str">
        <f t="shared" si="453"/>
        <v/>
      </c>
      <c r="CC706" t="str">
        <f t="shared" si="431"/>
        <v/>
      </c>
      <c r="CD706" t="str">
        <f t="shared" si="454"/>
        <v/>
      </c>
      <c r="CE706" t="str">
        <f t="shared" si="432"/>
        <v>Bowles 5th edition</v>
      </c>
      <c r="CF706">
        <f t="shared" si="455"/>
        <v>96</v>
      </c>
      <c r="CG706" t="str">
        <f t="shared" si="433"/>
        <v/>
      </c>
      <c r="CH706" t="str">
        <f t="shared" si="456"/>
        <v/>
      </c>
      <c r="CI706" t="str">
        <f t="shared" si="434"/>
        <v/>
      </c>
      <c r="CJ706" t="str">
        <f t="shared" si="446"/>
        <v/>
      </c>
    </row>
    <row r="707" spans="20:88" x14ac:dyDescent="0.3">
      <c r="T707">
        <f t="shared" si="438"/>
        <v>1</v>
      </c>
      <c r="AA707">
        <v>80</v>
      </c>
      <c r="AB707" s="1">
        <f t="shared" si="449"/>
        <v>0</v>
      </c>
      <c r="AC707" t="str">
        <f t="shared" si="450"/>
        <v/>
      </c>
      <c r="AD707" t="str">
        <f t="shared" si="439"/>
        <v/>
      </c>
      <c r="AG707" s="21" t="str">
        <f t="shared" ref="AG707:AG747" si="457">IF(AH707="","","Pocket Pentrometer")</f>
        <v/>
      </c>
      <c r="AI707" s="6" t="str">
        <f t="shared" ref="AI707:AI749" si="458">IF(AJ707="","","Unconfined Compression")</f>
        <v/>
      </c>
      <c r="AM707" s="7" t="str">
        <f t="shared" ref="AM707:AM749" si="459">IF(AN707="","","Undrained Unconsolidated Triaxial")</f>
        <v/>
      </c>
      <c r="AQ707" s="8" t="str">
        <f t="shared" ref="AQ707:AQ739" si="460">IF(AR707="","","Consolidated Undrained Triaxial")</f>
        <v/>
      </c>
      <c r="AW707" s="25" t="str">
        <f t="shared" ref="AW707:AW741" si="461">IF(AX707="","","Direct Shear")</f>
        <v/>
      </c>
      <c r="BI707" s="17" t="str">
        <f t="shared" ref="BI707:BI749" si="462">IF(BJ707="","","Permeability Test")</f>
        <v/>
      </c>
      <c r="BM707" t="str">
        <f t="shared" si="440"/>
        <v>SPT Relationship</v>
      </c>
      <c r="BN707">
        <f t="shared" si="441"/>
        <v>95</v>
      </c>
      <c r="BO707" t="str">
        <f t="shared" ref="BO707:BO749" si="463">IF(BP707="","","Wolff, 1989")</f>
        <v/>
      </c>
      <c r="BP707" t="str">
        <f t="shared" si="451"/>
        <v/>
      </c>
      <c r="BQ707" t="str">
        <f t="shared" ref="BQ707:BQ749" si="464">IF(BR707="","","GTENG-2476")</f>
        <v/>
      </c>
      <c r="BR707" t="str">
        <f t="shared" si="442"/>
        <v/>
      </c>
      <c r="BS707" t="str">
        <f t="shared" ref="BS707:BS749" si="465">IF(BT707="","", "Stroud 1974 (K=3.5)")</f>
        <v/>
      </c>
      <c r="BT707" t="str">
        <f t="shared" si="452"/>
        <v/>
      </c>
      <c r="BU707" t="str">
        <f t="shared" ref="BU707:BU749" si="466">IF(BV707="","","Kulhawy and Mayne 1990")</f>
        <v/>
      </c>
      <c r="BV707" t="str">
        <f t="shared" si="443"/>
        <v/>
      </c>
      <c r="BW707" t="str">
        <f t="shared" ref="BW707:BW749" si="467">IF(BX707="","","Kulhawy and Mayne 1990")</f>
        <v/>
      </c>
      <c r="BX707" t="str">
        <f t="shared" si="444"/>
        <v/>
      </c>
      <c r="BY707" t="str">
        <f t="shared" ref="BY707:BY749" si="468">IF(BZ707="","","Mesri 1990")</f>
        <v/>
      </c>
      <c r="BZ707" t="str">
        <f t="shared" si="445"/>
        <v/>
      </c>
      <c r="CA707" t="str">
        <f t="shared" ref="CA707:CA749" si="469">IF(CB707="","","NAVFAC Vol. 7.1 Figure 4")</f>
        <v/>
      </c>
      <c r="CB707" t="str">
        <f t="shared" si="453"/>
        <v/>
      </c>
      <c r="CC707" t="str">
        <f t="shared" ref="CC707:CC749" si="470">IF(CD707="","","Stas and Kulhawy 1984")</f>
        <v/>
      </c>
      <c r="CD707" t="str">
        <f t="shared" si="454"/>
        <v/>
      </c>
      <c r="CE707" t="str">
        <f t="shared" ref="CE707:CE749" si="471">IF(CF707="","","Bowles 5th edition")</f>
        <v>Bowles 5th edition</v>
      </c>
      <c r="CF707">
        <f t="shared" si="455"/>
        <v>96</v>
      </c>
      <c r="CG707" t="str">
        <f t="shared" ref="CG707:CG749" si="472">IF(CH707="","","Relationship (Gs=2.67)")</f>
        <v/>
      </c>
      <c r="CH707" t="str">
        <f t="shared" si="456"/>
        <v/>
      </c>
      <c r="CI707" t="str">
        <f t="shared" ref="CI707:CI749" si="473">IF(CJ707="","","Hazen, 1911 (c=1.5)")</f>
        <v/>
      </c>
      <c r="CJ707" t="str">
        <f t="shared" si="446"/>
        <v/>
      </c>
    </row>
    <row r="708" spans="20:88" x14ac:dyDescent="0.3">
      <c r="T708">
        <f t="shared" si="438"/>
        <v>1</v>
      </c>
      <c r="AA708">
        <v>80</v>
      </c>
      <c r="AB708" s="1">
        <f t="shared" si="449"/>
        <v>0</v>
      </c>
      <c r="AC708" t="str">
        <f t="shared" si="450"/>
        <v/>
      </c>
      <c r="AD708" t="str">
        <f t="shared" si="439"/>
        <v/>
      </c>
      <c r="AG708" s="21" t="str">
        <f t="shared" si="457"/>
        <v/>
      </c>
      <c r="AI708" s="6" t="str">
        <f t="shared" si="458"/>
        <v/>
      </c>
      <c r="AM708" s="7" t="str">
        <f t="shared" si="459"/>
        <v/>
      </c>
      <c r="AQ708" s="8" t="str">
        <f t="shared" si="460"/>
        <v/>
      </c>
      <c r="AW708" s="25" t="str">
        <f t="shared" si="461"/>
        <v/>
      </c>
      <c r="BI708" s="17" t="str">
        <f t="shared" si="462"/>
        <v/>
      </c>
      <c r="BM708" t="str">
        <f t="shared" si="440"/>
        <v>SPT Relationship</v>
      </c>
      <c r="BN708">
        <f t="shared" si="441"/>
        <v>95</v>
      </c>
      <c r="BO708" t="str">
        <f t="shared" si="463"/>
        <v/>
      </c>
      <c r="BP708" t="str">
        <f t="shared" si="451"/>
        <v/>
      </c>
      <c r="BQ708" t="str">
        <f t="shared" si="464"/>
        <v/>
      </c>
      <c r="BR708" t="str">
        <f t="shared" si="442"/>
        <v/>
      </c>
      <c r="BS708" t="str">
        <f t="shared" si="465"/>
        <v/>
      </c>
      <c r="BT708" t="str">
        <f t="shared" si="452"/>
        <v/>
      </c>
      <c r="BU708" t="str">
        <f t="shared" si="466"/>
        <v/>
      </c>
      <c r="BV708" t="str">
        <f t="shared" si="443"/>
        <v/>
      </c>
      <c r="BW708" t="str">
        <f t="shared" si="467"/>
        <v/>
      </c>
      <c r="BX708" t="str">
        <f t="shared" si="444"/>
        <v/>
      </c>
      <c r="BY708" t="str">
        <f t="shared" si="468"/>
        <v/>
      </c>
      <c r="BZ708" t="str">
        <f t="shared" si="445"/>
        <v/>
      </c>
      <c r="CA708" t="str">
        <f t="shared" si="469"/>
        <v/>
      </c>
      <c r="CB708" t="str">
        <f t="shared" si="453"/>
        <v/>
      </c>
      <c r="CC708" t="str">
        <f t="shared" si="470"/>
        <v/>
      </c>
      <c r="CD708" t="str">
        <f t="shared" si="454"/>
        <v/>
      </c>
      <c r="CE708" t="str">
        <f t="shared" si="471"/>
        <v>Bowles 5th edition</v>
      </c>
      <c r="CF708">
        <f t="shared" si="455"/>
        <v>96</v>
      </c>
      <c r="CG708" t="str">
        <f t="shared" si="472"/>
        <v/>
      </c>
      <c r="CH708" t="str">
        <f t="shared" si="456"/>
        <v/>
      </c>
      <c r="CI708" t="str">
        <f t="shared" si="473"/>
        <v/>
      </c>
      <c r="CJ708" t="str">
        <f t="shared" si="446"/>
        <v/>
      </c>
    </row>
    <row r="709" spans="20:88" x14ac:dyDescent="0.3">
      <c r="T709">
        <f t="shared" si="438"/>
        <v>1</v>
      </c>
      <c r="AA709">
        <v>80</v>
      </c>
      <c r="AB709" s="1">
        <f t="shared" si="449"/>
        <v>0</v>
      </c>
      <c r="AC709" t="str">
        <f t="shared" si="450"/>
        <v/>
      </c>
      <c r="AD709" t="str">
        <f t="shared" si="439"/>
        <v/>
      </c>
      <c r="AG709" s="21" t="str">
        <f t="shared" si="457"/>
        <v/>
      </c>
      <c r="AI709" s="6" t="str">
        <f t="shared" si="458"/>
        <v/>
      </c>
      <c r="AM709" s="7" t="str">
        <f t="shared" si="459"/>
        <v/>
      </c>
      <c r="AQ709" s="8" t="str">
        <f t="shared" si="460"/>
        <v/>
      </c>
      <c r="AW709" s="25" t="str">
        <f t="shared" si="461"/>
        <v/>
      </c>
      <c r="BI709" s="17" t="str">
        <f t="shared" si="462"/>
        <v/>
      </c>
      <c r="BM709" t="str">
        <f t="shared" si="440"/>
        <v>SPT Relationship</v>
      </c>
      <c r="BN709">
        <f t="shared" si="441"/>
        <v>95</v>
      </c>
      <c r="BO709" t="str">
        <f t="shared" si="463"/>
        <v/>
      </c>
      <c r="BP709" t="str">
        <f t="shared" si="451"/>
        <v/>
      </c>
      <c r="BQ709" t="str">
        <f t="shared" si="464"/>
        <v/>
      </c>
      <c r="BR709" t="str">
        <f t="shared" si="442"/>
        <v/>
      </c>
      <c r="BS709" t="str">
        <f t="shared" si="465"/>
        <v/>
      </c>
      <c r="BT709" t="str">
        <f t="shared" si="452"/>
        <v/>
      </c>
      <c r="BU709" t="str">
        <f t="shared" si="466"/>
        <v/>
      </c>
      <c r="BV709" t="str">
        <f t="shared" si="443"/>
        <v/>
      </c>
      <c r="BW709" t="str">
        <f t="shared" si="467"/>
        <v/>
      </c>
      <c r="BX709" t="str">
        <f t="shared" si="444"/>
        <v/>
      </c>
      <c r="BY709" t="str">
        <f t="shared" si="468"/>
        <v/>
      </c>
      <c r="BZ709" t="str">
        <f t="shared" si="445"/>
        <v/>
      </c>
      <c r="CA709" t="str">
        <f t="shared" si="469"/>
        <v/>
      </c>
      <c r="CB709" t="str">
        <f t="shared" si="453"/>
        <v/>
      </c>
      <c r="CC709" t="str">
        <f t="shared" si="470"/>
        <v/>
      </c>
      <c r="CD709" t="str">
        <f t="shared" si="454"/>
        <v/>
      </c>
      <c r="CE709" t="str">
        <f t="shared" si="471"/>
        <v>Bowles 5th edition</v>
      </c>
      <c r="CF709">
        <f t="shared" si="455"/>
        <v>96</v>
      </c>
      <c r="CG709" t="str">
        <f t="shared" si="472"/>
        <v/>
      </c>
      <c r="CH709" t="str">
        <f t="shared" si="456"/>
        <v/>
      </c>
      <c r="CI709" t="str">
        <f t="shared" si="473"/>
        <v/>
      </c>
      <c r="CJ709" t="str">
        <f t="shared" si="446"/>
        <v/>
      </c>
    </row>
    <row r="710" spans="20:88" x14ac:dyDescent="0.3">
      <c r="T710">
        <f t="shared" si="438"/>
        <v>1</v>
      </c>
      <c r="AA710">
        <v>80</v>
      </c>
      <c r="AB710" s="1">
        <f t="shared" si="449"/>
        <v>0</v>
      </c>
      <c r="AC710" t="str">
        <f t="shared" si="450"/>
        <v/>
      </c>
      <c r="AD710" t="str">
        <f t="shared" si="439"/>
        <v/>
      </c>
      <c r="AG710" s="21" t="str">
        <f t="shared" si="457"/>
        <v/>
      </c>
      <c r="AI710" s="6" t="str">
        <f t="shared" si="458"/>
        <v/>
      </c>
      <c r="AM710" s="7" t="str">
        <f t="shared" si="459"/>
        <v/>
      </c>
      <c r="AQ710" s="8" t="str">
        <f t="shared" si="460"/>
        <v/>
      </c>
      <c r="AW710" s="25" t="str">
        <f t="shared" si="461"/>
        <v/>
      </c>
      <c r="BI710" s="17" t="str">
        <f t="shared" si="462"/>
        <v/>
      </c>
      <c r="BM710" t="str">
        <f t="shared" si="440"/>
        <v>SPT Relationship</v>
      </c>
      <c r="BN710">
        <f t="shared" si="441"/>
        <v>95</v>
      </c>
      <c r="BO710" t="str">
        <f t="shared" si="463"/>
        <v/>
      </c>
      <c r="BP710" t="str">
        <f t="shared" si="451"/>
        <v/>
      </c>
      <c r="BQ710" t="str">
        <f t="shared" si="464"/>
        <v/>
      </c>
      <c r="BR710" t="str">
        <f t="shared" si="442"/>
        <v/>
      </c>
      <c r="BS710" t="str">
        <f t="shared" si="465"/>
        <v/>
      </c>
      <c r="BT710" t="str">
        <f t="shared" si="452"/>
        <v/>
      </c>
      <c r="BU710" t="str">
        <f t="shared" si="466"/>
        <v/>
      </c>
      <c r="BV710" t="str">
        <f t="shared" si="443"/>
        <v/>
      </c>
      <c r="BW710" t="str">
        <f t="shared" si="467"/>
        <v/>
      </c>
      <c r="BX710" t="str">
        <f t="shared" si="444"/>
        <v/>
      </c>
      <c r="BY710" t="str">
        <f t="shared" si="468"/>
        <v/>
      </c>
      <c r="BZ710" t="str">
        <f t="shared" si="445"/>
        <v/>
      </c>
      <c r="CA710" t="str">
        <f t="shared" si="469"/>
        <v/>
      </c>
      <c r="CB710" t="str">
        <f t="shared" si="453"/>
        <v/>
      </c>
      <c r="CC710" t="str">
        <f t="shared" si="470"/>
        <v/>
      </c>
      <c r="CD710" t="str">
        <f t="shared" si="454"/>
        <v/>
      </c>
      <c r="CE710" t="str">
        <f t="shared" si="471"/>
        <v>Bowles 5th edition</v>
      </c>
      <c r="CF710">
        <f t="shared" si="455"/>
        <v>96</v>
      </c>
      <c r="CG710" t="str">
        <f t="shared" si="472"/>
        <v/>
      </c>
      <c r="CH710" t="str">
        <f t="shared" si="456"/>
        <v/>
      </c>
      <c r="CI710" t="str">
        <f t="shared" si="473"/>
        <v/>
      </c>
      <c r="CJ710" t="str">
        <f t="shared" si="446"/>
        <v/>
      </c>
    </row>
    <row r="711" spans="20:88" x14ac:dyDescent="0.3">
      <c r="T711">
        <f t="shared" si="438"/>
        <v>1</v>
      </c>
      <c r="AA711">
        <v>80</v>
      </c>
      <c r="AB711" s="1">
        <f t="shared" si="449"/>
        <v>0</v>
      </c>
      <c r="AC711" t="str">
        <f t="shared" si="450"/>
        <v/>
      </c>
      <c r="AD711" t="str">
        <f t="shared" si="439"/>
        <v/>
      </c>
      <c r="AG711" s="21" t="str">
        <f t="shared" si="457"/>
        <v/>
      </c>
      <c r="AI711" s="6" t="str">
        <f t="shared" si="458"/>
        <v/>
      </c>
      <c r="AM711" s="7" t="str">
        <f t="shared" si="459"/>
        <v/>
      </c>
      <c r="AQ711" s="8" t="str">
        <f t="shared" si="460"/>
        <v/>
      </c>
      <c r="AW711" s="25" t="str">
        <f t="shared" si="461"/>
        <v/>
      </c>
      <c r="BI711" s="17" t="str">
        <f t="shared" si="462"/>
        <v/>
      </c>
      <c r="BM711" t="str">
        <f t="shared" si="440"/>
        <v>SPT Relationship</v>
      </c>
      <c r="BN711">
        <f t="shared" si="441"/>
        <v>95</v>
      </c>
      <c r="BO711" t="str">
        <f t="shared" si="463"/>
        <v/>
      </c>
      <c r="BP711" t="str">
        <f t="shared" si="451"/>
        <v/>
      </c>
      <c r="BQ711" t="str">
        <f t="shared" si="464"/>
        <v/>
      </c>
      <c r="BR711" t="str">
        <f t="shared" si="442"/>
        <v/>
      </c>
      <c r="BS711" t="str">
        <f t="shared" si="465"/>
        <v/>
      </c>
      <c r="BT711" t="str">
        <f t="shared" si="452"/>
        <v/>
      </c>
      <c r="BU711" t="str">
        <f t="shared" si="466"/>
        <v/>
      </c>
      <c r="BV711" t="str">
        <f t="shared" si="443"/>
        <v/>
      </c>
      <c r="BW711" t="str">
        <f t="shared" si="467"/>
        <v/>
      </c>
      <c r="BX711" t="str">
        <f t="shared" si="444"/>
        <v/>
      </c>
      <c r="BY711" t="str">
        <f t="shared" si="468"/>
        <v/>
      </c>
      <c r="BZ711" t="str">
        <f t="shared" si="445"/>
        <v/>
      </c>
      <c r="CA711" t="str">
        <f t="shared" si="469"/>
        <v/>
      </c>
      <c r="CB711" t="str">
        <f t="shared" si="453"/>
        <v/>
      </c>
      <c r="CC711" t="str">
        <f t="shared" si="470"/>
        <v/>
      </c>
      <c r="CD711" t="str">
        <f t="shared" si="454"/>
        <v/>
      </c>
      <c r="CE711" t="str">
        <f t="shared" si="471"/>
        <v>Bowles 5th edition</v>
      </c>
      <c r="CF711">
        <f t="shared" si="455"/>
        <v>96</v>
      </c>
      <c r="CG711" t="str">
        <f t="shared" si="472"/>
        <v/>
      </c>
      <c r="CH711" t="str">
        <f t="shared" si="456"/>
        <v/>
      </c>
      <c r="CI711" t="str">
        <f t="shared" si="473"/>
        <v/>
      </c>
      <c r="CJ711" t="str">
        <f t="shared" si="446"/>
        <v/>
      </c>
    </row>
    <row r="712" spans="20:88" x14ac:dyDescent="0.3">
      <c r="T712">
        <f t="shared" si="438"/>
        <v>1</v>
      </c>
      <c r="AA712">
        <v>80</v>
      </c>
      <c r="AB712" s="1">
        <f t="shared" si="449"/>
        <v>0</v>
      </c>
      <c r="AC712" t="str">
        <f t="shared" si="450"/>
        <v/>
      </c>
      <c r="AD712" t="str">
        <f t="shared" si="439"/>
        <v/>
      </c>
      <c r="AG712" s="21" t="str">
        <f t="shared" si="457"/>
        <v/>
      </c>
      <c r="AI712" s="6" t="str">
        <f t="shared" si="458"/>
        <v/>
      </c>
      <c r="AM712" s="7" t="str">
        <f t="shared" si="459"/>
        <v/>
      </c>
      <c r="AQ712" s="8" t="str">
        <f t="shared" si="460"/>
        <v/>
      </c>
      <c r="AW712" s="25" t="str">
        <f t="shared" si="461"/>
        <v/>
      </c>
      <c r="BI712" s="17" t="str">
        <f t="shared" si="462"/>
        <v/>
      </c>
      <c r="BM712" t="str">
        <f t="shared" si="440"/>
        <v>SPT Relationship</v>
      </c>
      <c r="BN712">
        <f t="shared" si="441"/>
        <v>95</v>
      </c>
      <c r="BO712" t="str">
        <f t="shared" si="463"/>
        <v/>
      </c>
      <c r="BP712" t="str">
        <f t="shared" si="451"/>
        <v/>
      </c>
      <c r="BQ712" t="str">
        <f t="shared" si="464"/>
        <v/>
      </c>
      <c r="BR712" t="str">
        <f t="shared" si="442"/>
        <v/>
      </c>
      <c r="BS712" t="str">
        <f t="shared" si="465"/>
        <v/>
      </c>
      <c r="BT712" t="str">
        <f t="shared" si="452"/>
        <v/>
      </c>
      <c r="BU712" t="str">
        <f t="shared" si="466"/>
        <v/>
      </c>
      <c r="BV712" t="str">
        <f t="shared" si="443"/>
        <v/>
      </c>
      <c r="BW712" t="str">
        <f t="shared" si="467"/>
        <v/>
      </c>
      <c r="BX712" t="str">
        <f t="shared" si="444"/>
        <v/>
      </c>
      <c r="BY712" t="str">
        <f t="shared" si="468"/>
        <v/>
      </c>
      <c r="BZ712" t="str">
        <f t="shared" si="445"/>
        <v/>
      </c>
      <c r="CA712" t="str">
        <f t="shared" si="469"/>
        <v/>
      </c>
      <c r="CB712" t="str">
        <f t="shared" si="453"/>
        <v/>
      </c>
      <c r="CC712" t="str">
        <f t="shared" si="470"/>
        <v/>
      </c>
      <c r="CD712" t="str">
        <f t="shared" si="454"/>
        <v/>
      </c>
      <c r="CE712" t="str">
        <f t="shared" si="471"/>
        <v>Bowles 5th edition</v>
      </c>
      <c r="CF712">
        <f t="shared" si="455"/>
        <v>96</v>
      </c>
      <c r="CG712" t="str">
        <f t="shared" si="472"/>
        <v/>
      </c>
      <c r="CH712" t="str">
        <f t="shared" si="456"/>
        <v/>
      </c>
      <c r="CI712" t="str">
        <f t="shared" si="473"/>
        <v/>
      </c>
      <c r="CJ712" t="str">
        <f t="shared" si="446"/>
        <v/>
      </c>
    </row>
    <row r="713" spans="20:88" x14ac:dyDescent="0.3">
      <c r="T713">
        <f t="shared" ref="T713:T749" si="474">IF(OR(Q713&lt;&gt;"",R713&lt;&gt;""),2,1)</f>
        <v>1</v>
      </c>
      <c r="AA713">
        <v>80</v>
      </c>
      <c r="AB713" s="1">
        <f t="shared" si="449"/>
        <v>0</v>
      </c>
      <c r="AC713" t="str">
        <f t="shared" si="450"/>
        <v/>
      </c>
      <c r="AD713" t="str">
        <f t="shared" ref="AD713:AD749" si="475">IF(OR(N713="",O713=""),"",(N713-O713)/(P713-O713))</f>
        <v/>
      </c>
      <c r="AG713" s="21" t="str">
        <f t="shared" si="457"/>
        <v/>
      </c>
      <c r="AI713" s="6" t="str">
        <f t="shared" si="458"/>
        <v/>
      </c>
      <c r="AM713" s="7" t="str">
        <f t="shared" si="459"/>
        <v/>
      </c>
      <c r="AQ713" s="8" t="str">
        <f t="shared" si="460"/>
        <v/>
      </c>
      <c r="AW713" s="25" t="str">
        <f t="shared" si="461"/>
        <v/>
      </c>
      <c r="BI713" s="17" t="str">
        <f t="shared" si="462"/>
        <v/>
      </c>
      <c r="BM713" t="str">
        <f t="shared" ref="BM713:BM749" si="476">IF(BN713="","","SPT Relationship")</f>
        <v>SPT Relationship</v>
      </c>
      <c r="BN713">
        <f t="shared" ref="BN713:BN749" si="477">IFERROR(IF(M713=0,95,ROUND(95*M713^0.095,0)),"")</f>
        <v>95</v>
      </c>
      <c r="BO713" t="str">
        <f t="shared" si="463"/>
        <v/>
      </c>
      <c r="BP713" t="str">
        <f t="shared" si="451"/>
        <v/>
      </c>
      <c r="BQ713" t="str">
        <f t="shared" si="464"/>
        <v/>
      </c>
      <c r="BR713" t="str">
        <f t="shared" ref="BR713:BR749" si="478">IF(P713="","",ROUNDDOWN(28-0.1533*P713+0.000564*P713^2-0.0000008414*P713^3,0))</f>
        <v/>
      </c>
      <c r="BS713" t="str">
        <f t="shared" si="465"/>
        <v/>
      </c>
      <c r="BT713" t="str">
        <f t="shared" si="452"/>
        <v/>
      </c>
      <c r="BU713" t="str">
        <f t="shared" si="466"/>
        <v/>
      </c>
      <c r="BV713" t="str">
        <f t="shared" ref="BV713:BV749" si="479">IF(Q713="","",ROUND(Q713/74,3))</f>
        <v/>
      </c>
      <c r="BW713" t="str">
        <f t="shared" si="467"/>
        <v/>
      </c>
      <c r="BX713" t="str">
        <f t="shared" ref="BX713:BX749" si="480">IF(Q713="","",ROUND(Q713/370,3))</f>
        <v/>
      </c>
      <c r="BY713" t="str">
        <f t="shared" si="468"/>
        <v/>
      </c>
      <c r="BZ713" t="str">
        <f t="shared" ref="BZ713:BZ749" si="481">IF(BV713="","",ROUND(0.03*BV713,4))</f>
        <v/>
      </c>
      <c r="CA713" t="str">
        <f t="shared" si="469"/>
        <v/>
      </c>
      <c r="CB713" t="str">
        <f t="shared" si="453"/>
        <v/>
      </c>
      <c r="CC713" t="str">
        <f t="shared" si="470"/>
        <v/>
      </c>
      <c r="CD713" t="str">
        <f t="shared" si="454"/>
        <v/>
      </c>
      <c r="CE713" t="str">
        <f t="shared" si="471"/>
        <v>Bowles 5th edition</v>
      </c>
      <c r="CF713">
        <f t="shared" si="455"/>
        <v>96</v>
      </c>
      <c r="CG713" t="str">
        <f t="shared" si="472"/>
        <v/>
      </c>
      <c r="CH713" t="str">
        <f t="shared" si="456"/>
        <v/>
      </c>
      <c r="CI713" t="str">
        <f t="shared" si="473"/>
        <v/>
      </c>
      <c r="CJ713" t="str">
        <f t="shared" ref="CJ713:CJ749" si="482">IF(OR(S713="Clay",X713=""),"",1.5*X713^2)</f>
        <v/>
      </c>
    </row>
    <row r="714" spans="20:88" x14ac:dyDescent="0.3">
      <c r="T714">
        <f t="shared" si="474"/>
        <v>1</v>
      </c>
      <c r="AA714">
        <v>80</v>
      </c>
      <c r="AB714" s="1">
        <f t="shared" si="449"/>
        <v>0</v>
      </c>
      <c r="AC714" t="str">
        <f t="shared" si="450"/>
        <v/>
      </c>
      <c r="AD714" t="str">
        <f t="shared" si="475"/>
        <v/>
      </c>
      <c r="AG714" s="21" t="str">
        <f t="shared" si="457"/>
        <v/>
      </c>
      <c r="AI714" s="6" t="str">
        <f t="shared" si="458"/>
        <v/>
      </c>
      <c r="AM714" s="7" t="str">
        <f t="shared" si="459"/>
        <v/>
      </c>
      <c r="AQ714" s="8" t="str">
        <f t="shared" si="460"/>
        <v/>
      </c>
      <c r="AW714" s="25" t="str">
        <f t="shared" si="461"/>
        <v/>
      </c>
      <c r="BI714" s="17" t="str">
        <f t="shared" si="462"/>
        <v/>
      </c>
      <c r="BM714" t="str">
        <f t="shared" si="476"/>
        <v>SPT Relationship</v>
      </c>
      <c r="BN714">
        <f t="shared" si="477"/>
        <v>95</v>
      </c>
      <c r="BO714" t="str">
        <f t="shared" si="463"/>
        <v/>
      </c>
      <c r="BP714" t="str">
        <f t="shared" si="451"/>
        <v/>
      </c>
      <c r="BQ714" t="str">
        <f t="shared" si="464"/>
        <v/>
      </c>
      <c r="BR714" t="str">
        <f t="shared" si="478"/>
        <v/>
      </c>
      <c r="BS714" t="str">
        <f t="shared" si="465"/>
        <v/>
      </c>
      <c r="BT714" t="str">
        <f t="shared" si="452"/>
        <v/>
      </c>
      <c r="BU714" t="str">
        <f t="shared" si="466"/>
        <v/>
      </c>
      <c r="BV714" t="str">
        <f t="shared" si="479"/>
        <v/>
      </c>
      <c r="BW714" t="str">
        <f t="shared" si="467"/>
        <v/>
      </c>
      <c r="BX714" t="str">
        <f t="shared" si="480"/>
        <v/>
      </c>
      <c r="BY714" t="str">
        <f t="shared" si="468"/>
        <v/>
      </c>
      <c r="BZ714" t="str">
        <f t="shared" si="481"/>
        <v/>
      </c>
      <c r="CA714" t="str">
        <f t="shared" si="469"/>
        <v/>
      </c>
      <c r="CB714" t="str">
        <f t="shared" si="453"/>
        <v/>
      </c>
      <c r="CC714" t="str">
        <f t="shared" si="470"/>
        <v/>
      </c>
      <c r="CD714" t="str">
        <f t="shared" si="454"/>
        <v/>
      </c>
      <c r="CE714" t="str">
        <f t="shared" si="471"/>
        <v>Bowles 5th edition</v>
      </c>
      <c r="CF714">
        <f t="shared" si="455"/>
        <v>96</v>
      </c>
      <c r="CG714" t="str">
        <f t="shared" si="472"/>
        <v/>
      </c>
      <c r="CH714" t="str">
        <f t="shared" si="456"/>
        <v/>
      </c>
      <c r="CI714" t="str">
        <f t="shared" si="473"/>
        <v/>
      </c>
      <c r="CJ714" t="str">
        <f t="shared" si="482"/>
        <v/>
      </c>
    </row>
    <row r="715" spans="20:88" x14ac:dyDescent="0.3">
      <c r="T715">
        <f t="shared" si="474"/>
        <v>1</v>
      </c>
      <c r="AA715">
        <v>80</v>
      </c>
      <c r="AB715" s="1">
        <f t="shared" si="449"/>
        <v>0</v>
      </c>
      <c r="AC715" t="str">
        <f t="shared" si="450"/>
        <v/>
      </c>
      <c r="AD715" t="str">
        <f t="shared" si="475"/>
        <v/>
      </c>
      <c r="AG715" s="21" t="str">
        <f t="shared" si="457"/>
        <v/>
      </c>
      <c r="AI715" s="6" t="str">
        <f t="shared" si="458"/>
        <v/>
      </c>
      <c r="AM715" s="7" t="str">
        <f t="shared" si="459"/>
        <v/>
      </c>
      <c r="AQ715" s="8" t="str">
        <f t="shared" si="460"/>
        <v/>
      </c>
      <c r="AW715" s="25" t="str">
        <f t="shared" si="461"/>
        <v/>
      </c>
      <c r="BI715" s="17" t="str">
        <f t="shared" si="462"/>
        <v/>
      </c>
      <c r="BM715" t="str">
        <f t="shared" si="476"/>
        <v>SPT Relationship</v>
      </c>
      <c r="BN715">
        <f t="shared" si="477"/>
        <v>95</v>
      </c>
      <c r="BO715" t="str">
        <f t="shared" si="463"/>
        <v/>
      </c>
      <c r="BP715" t="str">
        <f t="shared" si="451"/>
        <v/>
      </c>
      <c r="BQ715" t="str">
        <f t="shared" si="464"/>
        <v/>
      </c>
      <c r="BR715" t="str">
        <f t="shared" si="478"/>
        <v/>
      </c>
      <c r="BS715" t="str">
        <f t="shared" si="465"/>
        <v/>
      </c>
      <c r="BT715" t="str">
        <f t="shared" si="452"/>
        <v/>
      </c>
      <c r="BU715" t="str">
        <f t="shared" si="466"/>
        <v/>
      </c>
      <c r="BV715" t="str">
        <f t="shared" si="479"/>
        <v/>
      </c>
      <c r="BW715" t="str">
        <f t="shared" si="467"/>
        <v/>
      </c>
      <c r="BX715" t="str">
        <f t="shared" si="480"/>
        <v/>
      </c>
      <c r="BY715" t="str">
        <f t="shared" si="468"/>
        <v/>
      </c>
      <c r="BZ715" t="str">
        <f t="shared" si="481"/>
        <v/>
      </c>
      <c r="CA715" t="str">
        <f t="shared" si="469"/>
        <v/>
      </c>
      <c r="CB715" t="str">
        <f t="shared" si="453"/>
        <v/>
      </c>
      <c r="CC715" t="str">
        <f t="shared" si="470"/>
        <v/>
      </c>
      <c r="CD715" t="str">
        <f t="shared" si="454"/>
        <v/>
      </c>
      <c r="CE715" t="str">
        <f t="shared" si="471"/>
        <v>Bowles 5th edition</v>
      </c>
      <c r="CF715">
        <f t="shared" si="455"/>
        <v>96</v>
      </c>
      <c r="CG715" t="str">
        <f t="shared" si="472"/>
        <v/>
      </c>
      <c r="CH715" t="str">
        <f t="shared" si="456"/>
        <v/>
      </c>
      <c r="CI715" t="str">
        <f t="shared" si="473"/>
        <v/>
      </c>
      <c r="CJ715" t="str">
        <f t="shared" si="482"/>
        <v/>
      </c>
    </row>
    <row r="716" spans="20:88" x14ac:dyDescent="0.3">
      <c r="T716">
        <f t="shared" si="474"/>
        <v>1</v>
      </c>
      <c r="AA716">
        <v>80</v>
      </c>
      <c r="AB716" s="1">
        <f t="shared" si="449"/>
        <v>0</v>
      </c>
      <c r="AC716" t="str">
        <f t="shared" si="450"/>
        <v/>
      </c>
      <c r="AD716" t="str">
        <f t="shared" si="475"/>
        <v/>
      </c>
      <c r="AG716" s="21" t="str">
        <f t="shared" si="457"/>
        <v/>
      </c>
      <c r="AI716" s="6" t="str">
        <f t="shared" si="458"/>
        <v/>
      </c>
      <c r="AM716" s="7" t="str">
        <f t="shared" si="459"/>
        <v/>
      </c>
      <c r="AQ716" s="8" t="str">
        <f t="shared" si="460"/>
        <v/>
      </c>
      <c r="AW716" s="25" t="str">
        <f t="shared" si="461"/>
        <v/>
      </c>
      <c r="BI716" s="17" t="str">
        <f t="shared" si="462"/>
        <v/>
      </c>
      <c r="BM716" t="str">
        <f t="shared" si="476"/>
        <v>SPT Relationship</v>
      </c>
      <c r="BN716">
        <f t="shared" si="477"/>
        <v>95</v>
      </c>
      <c r="BO716" t="str">
        <f t="shared" si="463"/>
        <v/>
      </c>
      <c r="BP716" t="str">
        <f t="shared" si="451"/>
        <v/>
      </c>
      <c r="BQ716" t="str">
        <f t="shared" si="464"/>
        <v/>
      </c>
      <c r="BR716" t="str">
        <f t="shared" si="478"/>
        <v/>
      </c>
      <c r="BS716" t="str">
        <f t="shared" si="465"/>
        <v/>
      </c>
      <c r="BT716" t="str">
        <f t="shared" si="452"/>
        <v/>
      </c>
      <c r="BU716" t="str">
        <f t="shared" si="466"/>
        <v/>
      </c>
      <c r="BV716" t="str">
        <f t="shared" si="479"/>
        <v/>
      </c>
      <c r="BW716" t="str">
        <f t="shared" si="467"/>
        <v/>
      </c>
      <c r="BX716" t="str">
        <f t="shared" si="480"/>
        <v/>
      </c>
      <c r="BY716" t="str">
        <f t="shared" si="468"/>
        <v/>
      </c>
      <c r="BZ716" t="str">
        <f t="shared" si="481"/>
        <v/>
      </c>
      <c r="CA716" t="str">
        <f t="shared" si="469"/>
        <v/>
      </c>
      <c r="CB716" t="str">
        <f t="shared" si="453"/>
        <v/>
      </c>
      <c r="CC716" t="str">
        <f t="shared" si="470"/>
        <v/>
      </c>
      <c r="CD716" t="str">
        <f t="shared" si="454"/>
        <v/>
      </c>
      <c r="CE716" t="str">
        <f t="shared" si="471"/>
        <v>Bowles 5th edition</v>
      </c>
      <c r="CF716">
        <f t="shared" si="455"/>
        <v>96</v>
      </c>
      <c r="CG716" t="str">
        <f t="shared" si="472"/>
        <v/>
      </c>
      <c r="CH716" t="str">
        <f t="shared" si="456"/>
        <v/>
      </c>
      <c r="CI716" t="str">
        <f t="shared" si="473"/>
        <v/>
      </c>
      <c r="CJ716" t="str">
        <f t="shared" si="482"/>
        <v/>
      </c>
    </row>
    <row r="717" spans="20:88" x14ac:dyDescent="0.3">
      <c r="T717">
        <f t="shared" si="474"/>
        <v>1</v>
      </c>
      <c r="AA717">
        <v>80</v>
      </c>
      <c r="AB717" s="1">
        <f t="shared" si="449"/>
        <v>0</v>
      </c>
      <c r="AC717" t="str">
        <f t="shared" si="450"/>
        <v/>
      </c>
      <c r="AD717" t="str">
        <f t="shared" si="475"/>
        <v/>
      </c>
      <c r="AG717" s="21" t="str">
        <f t="shared" si="457"/>
        <v/>
      </c>
      <c r="AI717" s="6" t="str">
        <f t="shared" si="458"/>
        <v/>
      </c>
      <c r="AM717" s="7" t="str">
        <f t="shared" si="459"/>
        <v/>
      </c>
      <c r="AQ717" s="8" t="str">
        <f t="shared" si="460"/>
        <v/>
      </c>
      <c r="AW717" s="25" t="str">
        <f t="shared" si="461"/>
        <v/>
      </c>
      <c r="BI717" s="17" t="str">
        <f t="shared" si="462"/>
        <v/>
      </c>
      <c r="BM717" t="str">
        <f t="shared" si="476"/>
        <v>SPT Relationship</v>
      </c>
      <c r="BN717">
        <f t="shared" si="477"/>
        <v>95</v>
      </c>
      <c r="BO717" t="str">
        <f t="shared" si="463"/>
        <v/>
      </c>
      <c r="BP717" t="str">
        <f t="shared" si="451"/>
        <v/>
      </c>
      <c r="BQ717" t="str">
        <f t="shared" si="464"/>
        <v/>
      </c>
      <c r="BR717" t="str">
        <f t="shared" si="478"/>
        <v/>
      </c>
      <c r="BS717" t="str">
        <f t="shared" si="465"/>
        <v/>
      </c>
      <c r="BT717" t="str">
        <f t="shared" si="452"/>
        <v/>
      </c>
      <c r="BU717" t="str">
        <f t="shared" si="466"/>
        <v/>
      </c>
      <c r="BV717" t="str">
        <f t="shared" si="479"/>
        <v/>
      </c>
      <c r="BW717" t="str">
        <f t="shared" si="467"/>
        <v/>
      </c>
      <c r="BX717" t="str">
        <f t="shared" si="480"/>
        <v/>
      </c>
      <c r="BY717" t="str">
        <f t="shared" si="468"/>
        <v/>
      </c>
      <c r="BZ717" t="str">
        <f t="shared" si="481"/>
        <v/>
      </c>
      <c r="CA717" t="str">
        <f t="shared" si="469"/>
        <v/>
      </c>
      <c r="CB717" t="str">
        <f t="shared" si="453"/>
        <v/>
      </c>
      <c r="CC717" t="str">
        <f t="shared" si="470"/>
        <v/>
      </c>
      <c r="CD717" t="str">
        <f t="shared" si="454"/>
        <v/>
      </c>
      <c r="CE717" t="str">
        <f t="shared" si="471"/>
        <v>Bowles 5th edition</v>
      </c>
      <c r="CF717">
        <f t="shared" si="455"/>
        <v>96</v>
      </c>
      <c r="CG717" t="str">
        <f t="shared" si="472"/>
        <v/>
      </c>
      <c r="CH717" t="str">
        <f t="shared" si="456"/>
        <v/>
      </c>
      <c r="CI717" t="str">
        <f t="shared" si="473"/>
        <v/>
      </c>
      <c r="CJ717" t="str">
        <f t="shared" si="482"/>
        <v/>
      </c>
    </row>
    <row r="718" spans="20:88" x14ac:dyDescent="0.3">
      <c r="T718">
        <f t="shared" si="474"/>
        <v>1</v>
      </c>
      <c r="AA718">
        <v>80</v>
      </c>
      <c r="AB718" s="1">
        <f t="shared" si="449"/>
        <v>0</v>
      </c>
      <c r="AC718" t="str">
        <f t="shared" si="450"/>
        <v/>
      </c>
      <c r="AD718" t="str">
        <f t="shared" si="475"/>
        <v/>
      </c>
      <c r="AG718" s="21" t="str">
        <f t="shared" si="457"/>
        <v/>
      </c>
      <c r="AI718" s="6" t="str">
        <f t="shared" si="458"/>
        <v/>
      </c>
      <c r="AM718" s="7" t="str">
        <f t="shared" si="459"/>
        <v/>
      </c>
      <c r="AQ718" s="8" t="str">
        <f t="shared" si="460"/>
        <v/>
      </c>
      <c r="AW718" s="25" t="str">
        <f t="shared" si="461"/>
        <v/>
      </c>
      <c r="BI718" s="17" t="str">
        <f t="shared" si="462"/>
        <v/>
      </c>
      <c r="BM718" t="str">
        <f t="shared" si="476"/>
        <v>SPT Relationship</v>
      </c>
      <c r="BN718">
        <f t="shared" si="477"/>
        <v>95</v>
      </c>
      <c r="BO718" t="str">
        <f t="shared" si="463"/>
        <v/>
      </c>
      <c r="BP718" t="str">
        <f t="shared" si="451"/>
        <v/>
      </c>
      <c r="BQ718" t="str">
        <f t="shared" si="464"/>
        <v/>
      </c>
      <c r="BR718" t="str">
        <f t="shared" si="478"/>
        <v/>
      </c>
      <c r="BS718" t="str">
        <f t="shared" si="465"/>
        <v/>
      </c>
      <c r="BT718" t="str">
        <f t="shared" si="452"/>
        <v/>
      </c>
      <c r="BU718" t="str">
        <f t="shared" si="466"/>
        <v/>
      </c>
      <c r="BV718" t="str">
        <f t="shared" si="479"/>
        <v/>
      </c>
      <c r="BW718" t="str">
        <f t="shared" si="467"/>
        <v/>
      </c>
      <c r="BX718" t="str">
        <f t="shared" si="480"/>
        <v/>
      </c>
      <c r="BY718" t="str">
        <f t="shared" si="468"/>
        <v/>
      </c>
      <c r="BZ718" t="str">
        <f t="shared" si="481"/>
        <v/>
      </c>
      <c r="CA718" t="str">
        <f t="shared" si="469"/>
        <v/>
      </c>
      <c r="CB718" t="str">
        <f t="shared" si="453"/>
        <v/>
      </c>
      <c r="CC718" t="str">
        <f t="shared" si="470"/>
        <v/>
      </c>
      <c r="CD718" t="str">
        <f t="shared" si="454"/>
        <v/>
      </c>
      <c r="CE718" t="str">
        <f t="shared" si="471"/>
        <v>Bowles 5th edition</v>
      </c>
      <c r="CF718">
        <f t="shared" si="455"/>
        <v>96</v>
      </c>
      <c r="CG718" t="str">
        <f t="shared" si="472"/>
        <v/>
      </c>
      <c r="CH718" t="str">
        <f t="shared" si="456"/>
        <v/>
      </c>
      <c r="CI718" t="str">
        <f t="shared" si="473"/>
        <v/>
      </c>
      <c r="CJ718" t="str">
        <f t="shared" si="482"/>
        <v/>
      </c>
    </row>
    <row r="719" spans="20:88" x14ac:dyDescent="0.3">
      <c r="T719">
        <f t="shared" si="474"/>
        <v>1</v>
      </c>
      <c r="AA719">
        <v>80</v>
      </c>
      <c r="AB719" s="1">
        <f t="shared" si="449"/>
        <v>0</v>
      </c>
      <c r="AC719" t="str">
        <f t="shared" si="450"/>
        <v/>
      </c>
      <c r="AD719" t="str">
        <f t="shared" si="475"/>
        <v/>
      </c>
      <c r="AG719" s="21" t="str">
        <f t="shared" si="457"/>
        <v/>
      </c>
      <c r="AI719" s="6" t="str">
        <f t="shared" si="458"/>
        <v/>
      </c>
      <c r="AM719" s="7" t="str">
        <f t="shared" si="459"/>
        <v/>
      </c>
      <c r="AQ719" s="8" t="str">
        <f t="shared" si="460"/>
        <v/>
      </c>
      <c r="AW719" s="25" t="str">
        <f t="shared" si="461"/>
        <v/>
      </c>
      <c r="BI719" s="17" t="str">
        <f t="shared" si="462"/>
        <v/>
      </c>
      <c r="BM719" t="str">
        <f t="shared" si="476"/>
        <v>SPT Relationship</v>
      </c>
      <c r="BN719">
        <f t="shared" si="477"/>
        <v>95</v>
      </c>
      <c r="BO719" t="str">
        <f t="shared" si="463"/>
        <v/>
      </c>
      <c r="BP719" t="str">
        <f t="shared" si="451"/>
        <v/>
      </c>
      <c r="BQ719" t="str">
        <f t="shared" si="464"/>
        <v/>
      </c>
      <c r="BR719" t="str">
        <f t="shared" si="478"/>
        <v/>
      </c>
      <c r="BS719" t="str">
        <f t="shared" si="465"/>
        <v/>
      </c>
      <c r="BT719" t="str">
        <f t="shared" si="452"/>
        <v/>
      </c>
      <c r="BU719" t="str">
        <f t="shared" si="466"/>
        <v/>
      </c>
      <c r="BV719" t="str">
        <f t="shared" si="479"/>
        <v/>
      </c>
      <c r="BW719" t="str">
        <f t="shared" si="467"/>
        <v/>
      </c>
      <c r="BX719" t="str">
        <f t="shared" si="480"/>
        <v/>
      </c>
      <c r="BY719" t="str">
        <f t="shared" si="468"/>
        <v/>
      </c>
      <c r="BZ719" t="str">
        <f t="shared" si="481"/>
        <v/>
      </c>
      <c r="CA719" t="str">
        <f t="shared" si="469"/>
        <v/>
      </c>
      <c r="CB719" t="str">
        <f t="shared" si="453"/>
        <v/>
      </c>
      <c r="CC719" t="str">
        <f t="shared" si="470"/>
        <v/>
      </c>
      <c r="CD719" t="str">
        <f t="shared" si="454"/>
        <v/>
      </c>
      <c r="CE719" t="str">
        <f t="shared" si="471"/>
        <v>Bowles 5th edition</v>
      </c>
      <c r="CF719">
        <f t="shared" si="455"/>
        <v>96</v>
      </c>
      <c r="CG719" t="str">
        <f t="shared" si="472"/>
        <v/>
      </c>
      <c r="CH719" t="str">
        <f t="shared" si="456"/>
        <v/>
      </c>
      <c r="CI719" t="str">
        <f t="shared" si="473"/>
        <v/>
      </c>
      <c r="CJ719" t="str">
        <f t="shared" si="482"/>
        <v/>
      </c>
    </row>
    <row r="720" spans="20:88" x14ac:dyDescent="0.3">
      <c r="T720">
        <f t="shared" si="474"/>
        <v>1</v>
      </c>
      <c r="AA720">
        <v>80</v>
      </c>
      <c r="AB720" s="1">
        <f t="shared" si="449"/>
        <v>0</v>
      </c>
      <c r="AC720" t="str">
        <f t="shared" si="450"/>
        <v/>
      </c>
      <c r="AD720" t="str">
        <f t="shared" si="475"/>
        <v/>
      </c>
      <c r="AG720" s="21" t="str">
        <f t="shared" si="457"/>
        <v/>
      </c>
      <c r="AI720" s="6" t="str">
        <f t="shared" si="458"/>
        <v/>
      </c>
      <c r="AM720" s="7" t="str">
        <f t="shared" si="459"/>
        <v/>
      </c>
      <c r="AQ720" s="8" t="str">
        <f t="shared" si="460"/>
        <v/>
      </c>
      <c r="AW720" s="25" t="str">
        <f t="shared" si="461"/>
        <v/>
      </c>
      <c r="BI720" s="17" t="str">
        <f t="shared" si="462"/>
        <v/>
      </c>
      <c r="BM720" t="str">
        <f t="shared" si="476"/>
        <v>SPT Relationship</v>
      </c>
      <c r="BN720">
        <f t="shared" si="477"/>
        <v>95</v>
      </c>
      <c r="BO720" t="str">
        <f t="shared" si="463"/>
        <v/>
      </c>
      <c r="BP720" t="str">
        <f t="shared" si="451"/>
        <v/>
      </c>
      <c r="BQ720" t="str">
        <f t="shared" si="464"/>
        <v/>
      </c>
      <c r="BR720" t="str">
        <f t="shared" si="478"/>
        <v/>
      </c>
      <c r="BS720" t="str">
        <f t="shared" si="465"/>
        <v/>
      </c>
      <c r="BT720" t="str">
        <f t="shared" si="452"/>
        <v/>
      </c>
      <c r="BU720" t="str">
        <f t="shared" si="466"/>
        <v/>
      </c>
      <c r="BV720" t="str">
        <f t="shared" si="479"/>
        <v/>
      </c>
      <c r="BW720" t="str">
        <f t="shared" si="467"/>
        <v/>
      </c>
      <c r="BX720" t="str">
        <f t="shared" si="480"/>
        <v/>
      </c>
      <c r="BY720" t="str">
        <f t="shared" si="468"/>
        <v/>
      </c>
      <c r="BZ720" t="str">
        <f t="shared" si="481"/>
        <v/>
      </c>
      <c r="CA720" t="str">
        <f t="shared" si="469"/>
        <v/>
      </c>
      <c r="CB720" t="str">
        <f t="shared" si="453"/>
        <v/>
      </c>
      <c r="CC720" t="str">
        <f t="shared" si="470"/>
        <v/>
      </c>
      <c r="CD720" t="str">
        <f t="shared" si="454"/>
        <v/>
      </c>
      <c r="CE720" t="str">
        <f t="shared" si="471"/>
        <v>Bowles 5th edition</v>
      </c>
      <c r="CF720">
        <f t="shared" si="455"/>
        <v>96</v>
      </c>
      <c r="CG720" t="str">
        <f t="shared" si="472"/>
        <v/>
      </c>
      <c r="CH720" t="str">
        <f t="shared" si="456"/>
        <v/>
      </c>
      <c r="CI720" t="str">
        <f t="shared" si="473"/>
        <v/>
      </c>
      <c r="CJ720" t="str">
        <f t="shared" si="482"/>
        <v/>
      </c>
    </row>
    <row r="721" spans="20:88" x14ac:dyDescent="0.3">
      <c r="T721">
        <f t="shared" si="474"/>
        <v>1</v>
      </c>
      <c r="AA721">
        <v>80</v>
      </c>
      <c r="AB721" s="1">
        <f t="shared" si="449"/>
        <v>0</v>
      </c>
      <c r="AC721" t="str">
        <f t="shared" si="450"/>
        <v/>
      </c>
      <c r="AD721" t="str">
        <f t="shared" si="475"/>
        <v/>
      </c>
      <c r="AG721" s="21" t="str">
        <f t="shared" si="457"/>
        <v/>
      </c>
      <c r="AI721" s="6" t="str">
        <f t="shared" si="458"/>
        <v/>
      </c>
      <c r="AM721" s="7" t="str">
        <f t="shared" si="459"/>
        <v/>
      </c>
      <c r="AQ721" s="8" t="str">
        <f t="shared" si="460"/>
        <v/>
      </c>
      <c r="AW721" s="25" t="str">
        <f t="shared" si="461"/>
        <v/>
      </c>
      <c r="BI721" s="17" t="str">
        <f t="shared" si="462"/>
        <v/>
      </c>
      <c r="BM721" t="str">
        <f t="shared" si="476"/>
        <v>SPT Relationship</v>
      </c>
      <c r="BN721">
        <f t="shared" si="477"/>
        <v>95</v>
      </c>
      <c r="BO721" t="str">
        <f t="shared" si="463"/>
        <v/>
      </c>
      <c r="BP721" t="str">
        <f t="shared" si="451"/>
        <v/>
      </c>
      <c r="BQ721" t="str">
        <f t="shared" si="464"/>
        <v/>
      </c>
      <c r="BR721" t="str">
        <f t="shared" si="478"/>
        <v/>
      </c>
      <c r="BS721" t="str">
        <f t="shared" si="465"/>
        <v/>
      </c>
      <c r="BT721" t="str">
        <f t="shared" si="452"/>
        <v/>
      </c>
      <c r="BU721" t="str">
        <f t="shared" si="466"/>
        <v/>
      </c>
      <c r="BV721" t="str">
        <f t="shared" si="479"/>
        <v/>
      </c>
      <c r="BW721" t="str">
        <f t="shared" si="467"/>
        <v/>
      </c>
      <c r="BX721" t="str">
        <f t="shared" si="480"/>
        <v/>
      </c>
      <c r="BY721" t="str">
        <f t="shared" si="468"/>
        <v/>
      </c>
      <c r="BZ721" t="str">
        <f t="shared" si="481"/>
        <v/>
      </c>
      <c r="CA721" t="str">
        <f t="shared" si="469"/>
        <v/>
      </c>
      <c r="CB721" t="str">
        <f t="shared" si="453"/>
        <v/>
      </c>
      <c r="CC721" t="str">
        <f t="shared" si="470"/>
        <v/>
      </c>
      <c r="CD721" t="str">
        <f t="shared" si="454"/>
        <v/>
      </c>
      <c r="CE721" t="str">
        <f t="shared" si="471"/>
        <v>Bowles 5th edition</v>
      </c>
      <c r="CF721">
        <f t="shared" si="455"/>
        <v>96</v>
      </c>
      <c r="CG721" t="str">
        <f t="shared" si="472"/>
        <v/>
      </c>
      <c r="CH721" t="str">
        <f t="shared" si="456"/>
        <v/>
      </c>
      <c r="CI721" t="str">
        <f t="shared" si="473"/>
        <v/>
      </c>
      <c r="CJ721" t="str">
        <f t="shared" si="482"/>
        <v/>
      </c>
    </row>
    <row r="722" spans="20:88" x14ac:dyDescent="0.3">
      <c r="T722">
        <f t="shared" si="474"/>
        <v>1</v>
      </c>
      <c r="AA722">
        <v>80</v>
      </c>
      <c r="AB722" s="1">
        <f t="shared" si="449"/>
        <v>0</v>
      </c>
      <c r="AC722" t="str">
        <f t="shared" si="450"/>
        <v/>
      </c>
      <c r="AD722" t="str">
        <f t="shared" si="475"/>
        <v/>
      </c>
      <c r="AG722" s="21" t="str">
        <f t="shared" si="457"/>
        <v/>
      </c>
      <c r="AI722" s="6" t="str">
        <f t="shared" si="458"/>
        <v/>
      </c>
      <c r="AM722" s="7" t="str">
        <f t="shared" si="459"/>
        <v/>
      </c>
      <c r="AQ722" s="8" t="str">
        <f t="shared" si="460"/>
        <v/>
      </c>
      <c r="AW722" s="25" t="str">
        <f t="shared" si="461"/>
        <v/>
      </c>
      <c r="BI722" s="17" t="str">
        <f t="shared" si="462"/>
        <v/>
      </c>
      <c r="BM722" t="str">
        <f t="shared" si="476"/>
        <v>SPT Relationship</v>
      </c>
      <c r="BN722">
        <f t="shared" si="477"/>
        <v>95</v>
      </c>
      <c r="BO722" t="str">
        <f t="shared" si="463"/>
        <v/>
      </c>
      <c r="BP722" t="str">
        <f t="shared" si="451"/>
        <v/>
      </c>
      <c r="BQ722" t="str">
        <f t="shared" si="464"/>
        <v/>
      </c>
      <c r="BR722" t="str">
        <f t="shared" si="478"/>
        <v/>
      </c>
      <c r="BS722" t="str">
        <f t="shared" si="465"/>
        <v/>
      </c>
      <c r="BT722" t="str">
        <f t="shared" si="452"/>
        <v/>
      </c>
      <c r="BU722" t="str">
        <f t="shared" si="466"/>
        <v/>
      </c>
      <c r="BV722" t="str">
        <f t="shared" si="479"/>
        <v/>
      </c>
      <c r="BW722" t="str">
        <f t="shared" si="467"/>
        <v/>
      </c>
      <c r="BX722" t="str">
        <f t="shared" si="480"/>
        <v/>
      </c>
      <c r="BY722" t="str">
        <f t="shared" si="468"/>
        <v/>
      </c>
      <c r="BZ722" t="str">
        <f t="shared" si="481"/>
        <v/>
      </c>
      <c r="CA722" t="str">
        <f t="shared" si="469"/>
        <v/>
      </c>
      <c r="CB722" t="str">
        <f t="shared" si="453"/>
        <v/>
      </c>
      <c r="CC722" t="str">
        <f t="shared" si="470"/>
        <v/>
      </c>
      <c r="CD722" t="str">
        <f t="shared" si="454"/>
        <v/>
      </c>
      <c r="CE722" t="str">
        <f t="shared" si="471"/>
        <v>Bowles 5th edition</v>
      </c>
      <c r="CF722">
        <f t="shared" si="455"/>
        <v>96</v>
      </c>
      <c r="CG722" t="str">
        <f t="shared" si="472"/>
        <v/>
      </c>
      <c r="CH722" t="str">
        <f t="shared" si="456"/>
        <v/>
      </c>
      <c r="CI722" t="str">
        <f t="shared" si="473"/>
        <v/>
      </c>
      <c r="CJ722" t="str">
        <f t="shared" si="482"/>
        <v/>
      </c>
    </row>
    <row r="723" spans="20:88" x14ac:dyDescent="0.3">
      <c r="T723">
        <f t="shared" si="474"/>
        <v>1</v>
      </c>
      <c r="AA723">
        <v>80</v>
      </c>
      <c r="AB723" s="1">
        <f t="shared" ref="AB723:AB749" si="483">IFERROR(ROUND(M723*AA723/60,0),"")</f>
        <v>0</v>
      </c>
      <c r="AC723" t="str">
        <f t="shared" ref="AC723:AC749" si="484">IFERROR(ROUNDDOWN(((1/((((F723-I723)*110)*0.047880258888889)/100))^(0.5))*AB723,0),"")</f>
        <v/>
      </c>
      <c r="AD723" t="str">
        <f t="shared" si="475"/>
        <v/>
      </c>
      <c r="AG723" s="21" t="str">
        <f t="shared" si="457"/>
        <v/>
      </c>
      <c r="AI723" s="6" t="str">
        <f t="shared" si="458"/>
        <v/>
      </c>
      <c r="AM723" s="7" t="str">
        <f t="shared" si="459"/>
        <v/>
      </c>
      <c r="AQ723" s="8" t="str">
        <f t="shared" si="460"/>
        <v/>
      </c>
      <c r="AW723" s="25" t="str">
        <f t="shared" si="461"/>
        <v/>
      </c>
      <c r="BI723" s="17" t="str">
        <f t="shared" si="462"/>
        <v/>
      </c>
      <c r="BM723" t="str">
        <f t="shared" si="476"/>
        <v>SPT Relationship</v>
      </c>
      <c r="BN723">
        <f t="shared" si="477"/>
        <v>95</v>
      </c>
      <c r="BO723" t="str">
        <f t="shared" si="463"/>
        <v/>
      </c>
      <c r="BP723" t="str">
        <f t="shared" si="451"/>
        <v/>
      </c>
      <c r="BQ723" t="str">
        <f t="shared" si="464"/>
        <v/>
      </c>
      <c r="BR723" t="str">
        <f t="shared" si="478"/>
        <v/>
      </c>
      <c r="BS723" t="str">
        <f t="shared" si="465"/>
        <v/>
      </c>
      <c r="BT723" t="str">
        <f t="shared" si="452"/>
        <v/>
      </c>
      <c r="BU723" t="str">
        <f t="shared" si="466"/>
        <v/>
      </c>
      <c r="BV723" t="str">
        <f t="shared" si="479"/>
        <v/>
      </c>
      <c r="BW723" t="str">
        <f t="shared" si="467"/>
        <v/>
      </c>
      <c r="BX723" t="str">
        <f t="shared" si="480"/>
        <v/>
      </c>
      <c r="BY723" t="str">
        <f t="shared" si="468"/>
        <v/>
      </c>
      <c r="BZ723" t="str">
        <f t="shared" si="481"/>
        <v/>
      </c>
      <c r="CA723" t="str">
        <f t="shared" si="469"/>
        <v/>
      </c>
      <c r="CB723" t="str">
        <f t="shared" si="453"/>
        <v/>
      </c>
      <c r="CC723" t="str">
        <f t="shared" si="470"/>
        <v/>
      </c>
      <c r="CD723" t="str">
        <f t="shared" si="454"/>
        <v/>
      </c>
      <c r="CE723" t="str">
        <f t="shared" si="471"/>
        <v>Bowles 5th edition</v>
      </c>
      <c r="CF723">
        <f t="shared" si="455"/>
        <v>96</v>
      </c>
      <c r="CG723" t="str">
        <f t="shared" si="472"/>
        <v/>
      </c>
      <c r="CH723" t="str">
        <f t="shared" si="456"/>
        <v/>
      </c>
      <c r="CI723" t="str">
        <f t="shared" si="473"/>
        <v/>
      </c>
      <c r="CJ723" t="str">
        <f t="shared" si="482"/>
        <v/>
      </c>
    </row>
    <row r="724" spans="20:88" x14ac:dyDescent="0.3">
      <c r="T724">
        <f t="shared" si="474"/>
        <v>1</v>
      </c>
      <c r="AA724">
        <v>80</v>
      </c>
      <c r="AB724" s="1">
        <f t="shared" si="483"/>
        <v>0</v>
      </c>
      <c r="AC724" t="str">
        <f t="shared" si="484"/>
        <v/>
      </c>
      <c r="AD724" t="str">
        <f t="shared" si="475"/>
        <v/>
      </c>
      <c r="AG724" s="21" t="str">
        <f t="shared" si="457"/>
        <v/>
      </c>
      <c r="AI724" s="6" t="str">
        <f t="shared" si="458"/>
        <v/>
      </c>
      <c r="AM724" s="7" t="str">
        <f t="shared" si="459"/>
        <v/>
      </c>
      <c r="AQ724" s="8" t="str">
        <f t="shared" si="460"/>
        <v/>
      </c>
      <c r="AW724" s="25" t="str">
        <f t="shared" si="461"/>
        <v/>
      </c>
      <c r="BI724" s="17" t="str">
        <f t="shared" si="462"/>
        <v/>
      </c>
      <c r="BM724" t="str">
        <f t="shared" si="476"/>
        <v>SPT Relationship</v>
      </c>
      <c r="BN724">
        <f t="shared" si="477"/>
        <v>95</v>
      </c>
      <c r="BO724" t="str">
        <f t="shared" si="463"/>
        <v/>
      </c>
      <c r="BP724" t="str">
        <f t="shared" si="451"/>
        <v/>
      </c>
      <c r="BQ724" t="str">
        <f t="shared" si="464"/>
        <v/>
      </c>
      <c r="BR724" t="str">
        <f t="shared" si="478"/>
        <v/>
      </c>
      <c r="BS724" t="str">
        <f t="shared" si="465"/>
        <v/>
      </c>
      <c r="BT724" t="str">
        <f t="shared" si="452"/>
        <v/>
      </c>
      <c r="BU724" t="str">
        <f t="shared" si="466"/>
        <v/>
      </c>
      <c r="BV724" t="str">
        <f t="shared" si="479"/>
        <v/>
      </c>
      <c r="BW724" t="str">
        <f t="shared" si="467"/>
        <v/>
      </c>
      <c r="BX724" t="str">
        <f t="shared" si="480"/>
        <v/>
      </c>
      <c r="BY724" t="str">
        <f t="shared" si="468"/>
        <v/>
      </c>
      <c r="BZ724" t="str">
        <f t="shared" si="481"/>
        <v/>
      </c>
      <c r="CA724" t="str">
        <f t="shared" si="469"/>
        <v/>
      </c>
      <c r="CB724" t="str">
        <f t="shared" si="453"/>
        <v/>
      </c>
      <c r="CC724" t="str">
        <f t="shared" si="470"/>
        <v/>
      </c>
      <c r="CD724" t="str">
        <f t="shared" si="454"/>
        <v/>
      </c>
      <c r="CE724" t="str">
        <f t="shared" si="471"/>
        <v>Bowles 5th edition</v>
      </c>
      <c r="CF724">
        <f t="shared" si="455"/>
        <v>96</v>
      </c>
      <c r="CG724" t="str">
        <f t="shared" si="472"/>
        <v/>
      </c>
      <c r="CH724" t="str">
        <f t="shared" si="456"/>
        <v/>
      </c>
      <c r="CI724" t="str">
        <f t="shared" si="473"/>
        <v/>
      </c>
      <c r="CJ724" t="str">
        <f t="shared" si="482"/>
        <v/>
      </c>
    </row>
    <row r="725" spans="20:88" x14ac:dyDescent="0.3">
      <c r="T725">
        <f t="shared" si="474"/>
        <v>1</v>
      </c>
      <c r="AA725">
        <v>80</v>
      </c>
      <c r="AB725" s="1">
        <f t="shared" si="483"/>
        <v>0</v>
      </c>
      <c r="AC725" t="str">
        <f t="shared" si="484"/>
        <v/>
      </c>
      <c r="AD725" t="str">
        <f t="shared" si="475"/>
        <v/>
      </c>
      <c r="AG725" s="21" t="str">
        <f t="shared" si="457"/>
        <v/>
      </c>
      <c r="AI725" s="6" t="str">
        <f t="shared" si="458"/>
        <v/>
      </c>
      <c r="AM725" s="7" t="str">
        <f t="shared" si="459"/>
        <v/>
      </c>
      <c r="AQ725" s="8" t="str">
        <f t="shared" si="460"/>
        <v/>
      </c>
      <c r="AW725" s="25" t="str">
        <f t="shared" si="461"/>
        <v/>
      </c>
      <c r="BI725" s="17" t="str">
        <f t="shared" si="462"/>
        <v/>
      </c>
      <c r="BM725" t="str">
        <f t="shared" si="476"/>
        <v>SPT Relationship</v>
      </c>
      <c r="BN725">
        <f t="shared" si="477"/>
        <v>95</v>
      </c>
      <c r="BO725" t="str">
        <f t="shared" si="463"/>
        <v/>
      </c>
      <c r="BP725" t="str">
        <f t="shared" si="451"/>
        <v/>
      </c>
      <c r="BQ725" t="str">
        <f t="shared" si="464"/>
        <v/>
      </c>
      <c r="BR725" t="str">
        <f t="shared" si="478"/>
        <v/>
      </c>
      <c r="BS725" t="str">
        <f t="shared" si="465"/>
        <v/>
      </c>
      <c r="BT725" t="str">
        <f t="shared" si="452"/>
        <v/>
      </c>
      <c r="BU725" t="str">
        <f t="shared" si="466"/>
        <v/>
      </c>
      <c r="BV725" t="str">
        <f t="shared" si="479"/>
        <v/>
      </c>
      <c r="BW725" t="str">
        <f t="shared" si="467"/>
        <v/>
      </c>
      <c r="BX725" t="str">
        <f t="shared" si="480"/>
        <v/>
      </c>
      <c r="BY725" t="str">
        <f t="shared" si="468"/>
        <v/>
      </c>
      <c r="BZ725" t="str">
        <f t="shared" si="481"/>
        <v/>
      </c>
      <c r="CA725" t="str">
        <f t="shared" si="469"/>
        <v/>
      </c>
      <c r="CB725" t="str">
        <f t="shared" si="453"/>
        <v/>
      </c>
      <c r="CC725" t="str">
        <f t="shared" si="470"/>
        <v/>
      </c>
      <c r="CD725" t="str">
        <f t="shared" si="454"/>
        <v/>
      </c>
      <c r="CE725" t="str">
        <f t="shared" si="471"/>
        <v>Bowles 5th edition</v>
      </c>
      <c r="CF725">
        <f t="shared" si="455"/>
        <v>96</v>
      </c>
      <c r="CG725" t="str">
        <f t="shared" si="472"/>
        <v/>
      </c>
      <c r="CH725" t="str">
        <f t="shared" si="456"/>
        <v/>
      </c>
      <c r="CI725" t="str">
        <f t="shared" si="473"/>
        <v/>
      </c>
      <c r="CJ725" t="str">
        <f t="shared" si="482"/>
        <v/>
      </c>
    </row>
    <row r="726" spans="20:88" x14ac:dyDescent="0.3">
      <c r="T726">
        <f t="shared" si="474"/>
        <v>1</v>
      </c>
      <c r="AA726">
        <v>80</v>
      </c>
      <c r="AB726" s="1">
        <f t="shared" si="483"/>
        <v>0</v>
      </c>
      <c r="AC726" t="str">
        <f t="shared" si="484"/>
        <v/>
      </c>
      <c r="AD726" t="str">
        <f t="shared" si="475"/>
        <v/>
      </c>
      <c r="AG726" s="21" t="str">
        <f t="shared" si="457"/>
        <v/>
      </c>
      <c r="AI726" s="6" t="str">
        <f t="shared" si="458"/>
        <v/>
      </c>
      <c r="AM726" s="7" t="str">
        <f t="shared" si="459"/>
        <v/>
      </c>
      <c r="AQ726" s="8" t="str">
        <f t="shared" si="460"/>
        <v/>
      </c>
      <c r="AW726" s="25" t="str">
        <f t="shared" si="461"/>
        <v/>
      </c>
      <c r="BI726" s="17" t="str">
        <f t="shared" si="462"/>
        <v/>
      </c>
      <c r="BM726" t="str">
        <f t="shared" si="476"/>
        <v>SPT Relationship</v>
      </c>
      <c r="BN726">
        <f t="shared" si="477"/>
        <v>95</v>
      </c>
      <c r="BO726" t="str">
        <f t="shared" si="463"/>
        <v/>
      </c>
      <c r="BP726" t="str">
        <f t="shared" si="451"/>
        <v/>
      </c>
      <c r="BQ726" t="str">
        <f t="shared" si="464"/>
        <v/>
      </c>
      <c r="BR726" t="str">
        <f t="shared" si="478"/>
        <v/>
      </c>
      <c r="BS726" t="str">
        <f t="shared" si="465"/>
        <v/>
      </c>
      <c r="BT726" t="str">
        <f t="shared" si="452"/>
        <v/>
      </c>
      <c r="BU726" t="str">
        <f t="shared" si="466"/>
        <v/>
      </c>
      <c r="BV726" t="str">
        <f t="shared" si="479"/>
        <v/>
      </c>
      <c r="BW726" t="str">
        <f t="shared" si="467"/>
        <v/>
      </c>
      <c r="BX726" t="str">
        <f t="shared" si="480"/>
        <v/>
      </c>
      <c r="BY726" t="str">
        <f t="shared" si="468"/>
        <v/>
      </c>
      <c r="BZ726" t="str">
        <f t="shared" si="481"/>
        <v/>
      </c>
      <c r="CA726" t="str">
        <f t="shared" si="469"/>
        <v/>
      </c>
      <c r="CB726" t="str">
        <f t="shared" si="453"/>
        <v/>
      </c>
      <c r="CC726" t="str">
        <f t="shared" si="470"/>
        <v/>
      </c>
      <c r="CD726" t="str">
        <f t="shared" si="454"/>
        <v/>
      </c>
      <c r="CE726" t="str">
        <f t="shared" si="471"/>
        <v>Bowles 5th edition</v>
      </c>
      <c r="CF726">
        <f t="shared" si="455"/>
        <v>96</v>
      </c>
      <c r="CG726" t="str">
        <f t="shared" si="472"/>
        <v/>
      </c>
      <c r="CH726" t="str">
        <f t="shared" si="456"/>
        <v/>
      </c>
      <c r="CI726" t="str">
        <f t="shared" si="473"/>
        <v/>
      </c>
      <c r="CJ726" t="str">
        <f t="shared" si="482"/>
        <v/>
      </c>
    </row>
    <row r="727" spans="20:88" x14ac:dyDescent="0.3">
      <c r="T727">
        <f t="shared" si="474"/>
        <v>1</v>
      </c>
      <c r="AA727">
        <v>80</v>
      </c>
      <c r="AB727" s="1">
        <f t="shared" si="483"/>
        <v>0</v>
      </c>
      <c r="AC727" t="str">
        <f t="shared" si="484"/>
        <v/>
      </c>
      <c r="AD727" t="str">
        <f t="shared" si="475"/>
        <v/>
      </c>
      <c r="AG727" s="21" t="str">
        <f t="shared" si="457"/>
        <v/>
      </c>
      <c r="AI727" s="6" t="str">
        <f t="shared" si="458"/>
        <v/>
      </c>
      <c r="AM727" s="7" t="str">
        <f t="shared" si="459"/>
        <v/>
      </c>
      <c r="AQ727" s="8" t="str">
        <f t="shared" si="460"/>
        <v/>
      </c>
      <c r="AW727" s="25" t="str">
        <f t="shared" si="461"/>
        <v/>
      </c>
      <c r="BI727" s="17" t="str">
        <f t="shared" si="462"/>
        <v/>
      </c>
      <c r="BM727" t="str">
        <f t="shared" si="476"/>
        <v>SPT Relationship</v>
      </c>
      <c r="BN727">
        <f t="shared" si="477"/>
        <v>95</v>
      </c>
      <c r="BO727" t="str">
        <f t="shared" si="463"/>
        <v/>
      </c>
      <c r="BP727" t="str">
        <f t="shared" si="451"/>
        <v/>
      </c>
      <c r="BQ727" t="str">
        <f t="shared" si="464"/>
        <v/>
      </c>
      <c r="BR727" t="str">
        <f t="shared" si="478"/>
        <v/>
      </c>
      <c r="BS727" t="str">
        <f t="shared" si="465"/>
        <v/>
      </c>
      <c r="BT727" t="str">
        <f t="shared" si="452"/>
        <v/>
      </c>
      <c r="BU727" t="str">
        <f t="shared" si="466"/>
        <v/>
      </c>
      <c r="BV727" t="str">
        <f t="shared" si="479"/>
        <v/>
      </c>
      <c r="BW727" t="str">
        <f t="shared" si="467"/>
        <v/>
      </c>
      <c r="BX727" t="str">
        <f t="shared" si="480"/>
        <v/>
      </c>
      <c r="BY727" t="str">
        <f t="shared" si="468"/>
        <v/>
      </c>
      <c r="BZ727" t="str">
        <f t="shared" si="481"/>
        <v/>
      </c>
      <c r="CA727" t="str">
        <f t="shared" si="469"/>
        <v/>
      </c>
      <c r="CB727" t="str">
        <f t="shared" si="453"/>
        <v/>
      </c>
      <c r="CC727" t="str">
        <f t="shared" si="470"/>
        <v/>
      </c>
      <c r="CD727" t="str">
        <f t="shared" si="454"/>
        <v/>
      </c>
      <c r="CE727" t="str">
        <f t="shared" si="471"/>
        <v>Bowles 5th edition</v>
      </c>
      <c r="CF727">
        <f t="shared" si="455"/>
        <v>96</v>
      </c>
      <c r="CG727" t="str">
        <f t="shared" si="472"/>
        <v/>
      </c>
      <c r="CH727" t="str">
        <f t="shared" si="456"/>
        <v/>
      </c>
      <c r="CI727" t="str">
        <f t="shared" si="473"/>
        <v/>
      </c>
      <c r="CJ727" t="str">
        <f t="shared" si="482"/>
        <v/>
      </c>
    </row>
    <row r="728" spans="20:88" x14ac:dyDescent="0.3">
      <c r="T728">
        <f t="shared" si="474"/>
        <v>1</v>
      </c>
      <c r="AA728">
        <v>80</v>
      </c>
      <c r="AB728" s="1">
        <f t="shared" si="483"/>
        <v>0</v>
      </c>
      <c r="AC728" t="str">
        <f t="shared" si="484"/>
        <v/>
      </c>
      <c r="AD728" t="str">
        <f t="shared" si="475"/>
        <v/>
      </c>
      <c r="AG728" s="21" t="str">
        <f t="shared" si="457"/>
        <v/>
      </c>
      <c r="AI728" s="6" t="str">
        <f t="shared" si="458"/>
        <v/>
      </c>
      <c r="AM728" s="7" t="str">
        <f t="shared" si="459"/>
        <v/>
      </c>
      <c r="AQ728" s="8" t="str">
        <f t="shared" si="460"/>
        <v/>
      </c>
      <c r="AW728" s="25" t="str">
        <f t="shared" si="461"/>
        <v/>
      </c>
      <c r="BI728" s="17" t="str">
        <f t="shared" si="462"/>
        <v/>
      </c>
      <c r="BM728" t="str">
        <f t="shared" si="476"/>
        <v>SPT Relationship</v>
      </c>
      <c r="BN728">
        <f t="shared" si="477"/>
        <v>95</v>
      </c>
      <c r="BO728" t="str">
        <f t="shared" si="463"/>
        <v/>
      </c>
      <c r="BP728" t="str">
        <f t="shared" si="451"/>
        <v/>
      </c>
      <c r="BQ728" t="str">
        <f t="shared" si="464"/>
        <v/>
      </c>
      <c r="BR728" t="str">
        <f t="shared" si="478"/>
        <v/>
      </c>
      <c r="BS728" t="str">
        <f t="shared" si="465"/>
        <v/>
      </c>
      <c r="BT728" t="str">
        <f t="shared" si="452"/>
        <v/>
      </c>
      <c r="BU728" t="str">
        <f t="shared" si="466"/>
        <v/>
      </c>
      <c r="BV728" t="str">
        <f t="shared" si="479"/>
        <v/>
      </c>
      <c r="BW728" t="str">
        <f t="shared" si="467"/>
        <v/>
      </c>
      <c r="BX728" t="str">
        <f t="shared" si="480"/>
        <v/>
      </c>
      <c r="BY728" t="str">
        <f t="shared" si="468"/>
        <v/>
      </c>
      <c r="BZ728" t="str">
        <f t="shared" si="481"/>
        <v/>
      </c>
      <c r="CA728" t="str">
        <f t="shared" si="469"/>
        <v/>
      </c>
      <c r="CB728" t="str">
        <f t="shared" si="453"/>
        <v/>
      </c>
      <c r="CC728" t="str">
        <f t="shared" si="470"/>
        <v/>
      </c>
      <c r="CD728" t="str">
        <f t="shared" si="454"/>
        <v/>
      </c>
      <c r="CE728" t="str">
        <f t="shared" si="471"/>
        <v>Bowles 5th edition</v>
      </c>
      <c r="CF728">
        <f t="shared" si="455"/>
        <v>96</v>
      </c>
      <c r="CG728" t="str">
        <f t="shared" si="472"/>
        <v/>
      </c>
      <c r="CH728" t="str">
        <f t="shared" si="456"/>
        <v/>
      </c>
      <c r="CI728" t="str">
        <f t="shared" si="473"/>
        <v/>
      </c>
      <c r="CJ728" t="str">
        <f t="shared" si="482"/>
        <v/>
      </c>
    </row>
    <row r="729" spans="20:88" x14ac:dyDescent="0.3">
      <c r="T729">
        <f t="shared" si="474"/>
        <v>1</v>
      </c>
      <c r="AA729">
        <v>80</v>
      </c>
      <c r="AB729" s="1">
        <f t="shared" si="483"/>
        <v>0</v>
      </c>
      <c r="AC729" t="str">
        <f t="shared" si="484"/>
        <v/>
      </c>
      <c r="AD729" t="str">
        <f t="shared" si="475"/>
        <v/>
      </c>
      <c r="AG729" s="21" t="str">
        <f t="shared" si="457"/>
        <v/>
      </c>
      <c r="AI729" s="6" t="str">
        <f t="shared" si="458"/>
        <v/>
      </c>
      <c r="AM729" s="7" t="str">
        <f t="shared" si="459"/>
        <v/>
      </c>
      <c r="AQ729" s="8" t="str">
        <f t="shared" si="460"/>
        <v/>
      </c>
      <c r="AW729" s="25" t="str">
        <f t="shared" si="461"/>
        <v/>
      </c>
      <c r="BI729" s="17" t="str">
        <f t="shared" si="462"/>
        <v/>
      </c>
      <c r="BM729" t="str">
        <f t="shared" si="476"/>
        <v>SPT Relationship</v>
      </c>
      <c r="BN729">
        <f t="shared" si="477"/>
        <v>95</v>
      </c>
      <c r="BO729" t="str">
        <f t="shared" si="463"/>
        <v/>
      </c>
      <c r="BP729" t="str">
        <f t="shared" si="451"/>
        <v/>
      </c>
      <c r="BQ729" t="str">
        <f t="shared" si="464"/>
        <v/>
      </c>
      <c r="BR729" t="str">
        <f t="shared" si="478"/>
        <v/>
      </c>
      <c r="BS729" t="str">
        <f t="shared" si="465"/>
        <v/>
      </c>
      <c r="BT729" t="str">
        <f t="shared" si="452"/>
        <v/>
      </c>
      <c r="BU729" t="str">
        <f t="shared" si="466"/>
        <v/>
      </c>
      <c r="BV729" t="str">
        <f t="shared" si="479"/>
        <v/>
      </c>
      <c r="BW729" t="str">
        <f t="shared" si="467"/>
        <v/>
      </c>
      <c r="BX729" t="str">
        <f t="shared" si="480"/>
        <v/>
      </c>
      <c r="BY729" t="str">
        <f t="shared" si="468"/>
        <v/>
      </c>
      <c r="BZ729" t="str">
        <f t="shared" si="481"/>
        <v/>
      </c>
      <c r="CA729" t="str">
        <f t="shared" si="469"/>
        <v/>
      </c>
      <c r="CB729" t="str">
        <f t="shared" si="453"/>
        <v/>
      </c>
      <c r="CC729" t="str">
        <f t="shared" si="470"/>
        <v/>
      </c>
      <c r="CD729" t="str">
        <f t="shared" si="454"/>
        <v/>
      </c>
      <c r="CE729" t="str">
        <f t="shared" si="471"/>
        <v>Bowles 5th edition</v>
      </c>
      <c r="CF729">
        <f t="shared" si="455"/>
        <v>96</v>
      </c>
      <c r="CG729" t="str">
        <f t="shared" si="472"/>
        <v/>
      </c>
      <c r="CH729" t="str">
        <f t="shared" si="456"/>
        <v/>
      </c>
      <c r="CI729" t="str">
        <f t="shared" si="473"/>
        <v/>
      </c>
      <c r="CJ729" t="str">
        <f t="shared" si="482"/>
        <v/>
      </c>
    </row>
    <row r="730" spans="20:88" x14ac:dyDescent="0.3">
      <c r="T730">
        <f t="shared" si="474"/>
        <v>1</v>
      </c>
      <c r="AA730">
        <v>80</v>
      </c>
      <c r="AB730" s="1">
        <f t="shared" si="483"/>
        <v>0</v>
      </c>
      <c r="AC730" t="str">
        <f t="shared" si="484"/>
        <v/>
      </c>
      <c r="AD730" t="str">
        <f t="shared" si="475"/>
        <v/>
      </c>
      <c r="AG730" s="21" t="str">
        <f t="shared" si="457"/>
        <v/>
      </c>
      <c r="AI730" s="6" t="str">
        <f t="shared" si="458"/>
        <v/>
      </c>
      <c r="AM730" s="7" t="str">
        <f t="shared" si="459"/>
        <v/>
      </c>
      <c r="AQ730" s="8" t="str">
        <f t="shared" si="460"/>
        <v/>
      </c>
      <c r="AW730" s="25" t="str">
        <f t="shared" si="461"/>
        <v/>
      </c>
      <c r="BI730" s="17" t="str">
        <f t="shared" si="462"/>
        <v/>
      </c>
      <c r="BM730" t="str">
        <f t="shared" si="476"/>
        <v>SPT Relationship</v>
      </c>
      <c r="BN730">
        <f t="shared" si="477"/>
        <v>95</v>
      </c>
      <c r="BO730" t="str">
        <f t="shared" si="463"/>
        <v/>
      </c>
      <c r="BP730" t="str">
        <f t="shared" si="451"/>
        <v/>
      </c>
      <c r="BQ730" t="str">
        <f t="shared" si="464"/>
        <v/>
      </c>
      <c r="BR730" t="str">
        <f t="shared" si="478"/>
        <v/>
      </c>
      <c r="BS730" t="str">
        <f t="shared" si="465"/>
        <v/>
      </c>
      <c r="BT730" t="str">
        <f t="shared" si="452"/>
        <v/>
      </c>
      <c r="BU730" t="str">
        <f t="shared" si="466"/>
        <v/>
      </c>
      <c r="BV730" t="str">
        <f t="shared" si="479"/>
        <v/>
      </c>
      <c r="BW730" t="str">
        <f t="shared" si="467"/>
        <v/>
      </c>
      <c r="BX730" t="str">
        <f t="shared" si="480"/>
        <v/>
      </c>
      <c r="BY730" t="str">
        <f t="shared" si="468"/>
        <v/>
      </c>
      <c r="BZ730" t="str">
        <f t="shared" si="481"/>
        <v/>
      </c>
      <c r="CA730" t="str">
        <f t="shared" si="469"/>
        <v/>
      </c>
      <c r="CB730" t="str">
        <f t="shared" si="453"/>
        <v/>
      </c>
      <c r="CC730" t="str">
        <f t="shared" si="470"/>
        <v/>
      </c>
      <c r="CD730" t="str">
        <f t="shared" si="454"/>
        <v/>
      </c>
      <c r="CE730" t="str">
        <f t="shared" si="471"/>
        <v>Bowles 5th edition</v>
      </c>
      <c r="CF730">
        <f t="shared" si="455"/>
        <v>96</v>
      </c>
      <c r="CG730" t="str">
        <f t="shared" si="472"/>
        <v/>
      </c>
      <c r="CH730" t="str">
        <f t="shared" si="456"/>
        <v/>
      </c>
      <c r="CI730" t="str">
        <f t="shared" si="473"/>
        <v/>
      </c>
      <c r="CJ730" t="str">
        <f t="shared" si="482"/>
        <v/>
      </c>
    </row>
    <row r="731" spans="20:88" x14ac:dyDescent="0.3">
      <c r="T731">
        <f t="shared" si="474"/>
        <v>1</v>
      </c>
      <c r="AA731">
        <v>80</v>
      </c>
      <c r="AB731" s="1">
        <f t="shared" si="483"/>
        <v>0</v>
      </c>
      <c r="AC731" t="str">
        <f t="shared" si="484"/>
        <v/>
      </c>
      <c r="AD731" t="str">
        <f t="shared" si="475"/>
        <v/>
      </c>
      <c r="AG731" s="21" t="str">
        <f t="shared" si="457"/>
        <v/>
      </c>
      <c r="AI731" s="6" t="str">
        <f t="shared" si="458"/>
        <v/>
      </c>
      <c r="AM731" s="7" t="str">
        <f t="shared" si="459"/>
        <v/>
      </c>
      <c r="AQ731" s="8" t="str">
        <f t="shared" si="460"/>
        <v/>
      </c>
      <c r="AW731" s="25" t="str">
        <f t="shared" si="461"/>
        <v/>
      </c>
      <c r="BI731" s="17" t="str">
        <f t="shared" si="462"/>
        <v/>
      </c>
      <c r="BM731" t="str">
        <f t="shared" si="476"/>
        <v>SPT Relationship</v>
      </c>
      <c r="BN731">
        <f t="shared" si="477"/>
        <v>95</v>
      </c>
      <c r="BO731" t="str">
        <f t="shared" si="463"/>
        <v/>
      </c>
      <c r="BP731" t="str">
        <f t="shared" si="451"/>
        <v/>
      </c>
      <c r="BQ731" t="str">
        <f t="shared" si="464"/>
        <v/>
      </c>
      <c r="BR731" t="str">
        <f t="shared" si="478"/>
        <v/>
      </c>
      <c r="BS731" t="str">
        <f t="shared" si="465"/>
        <v/>
      </c>
      <c r="BT731" t="str">
        <f t="shared" si="452"/>
        <v/>
      </c>
      <c r="BU731" t="str">
        <f t="shared" si="466"/>
        <v/>
      </c>
      <c r="BV731" t="str">
        <f t="shared" si="479"/>
        <v/>
      </c>
      <c r="BW731" t="str">
        <f t="shared" si="467"/>
        <v/>
      </c>
      <c r="BX731" t="str">
        <f t="shared" si="480"/>
        <v/>
      </c>
      <c r="BY731" t="str">
        <f t="shared" si="468"/>
        <v/>
      </c>
      <c r="BZ731" t="str">
        <f t="shared" si="481"/>
        <v/>
      </c>
      <c r="CA731" t="str">
        <f t="shared" si="469"/>
        <v/>
      </c>
      <c r="CB731" t="str">
        <f t="shared" si="453"/>
        <v/>
      </c>
      <c r="CC731" t="str">
        <f t="shared" si="470"/>
        <v/>
      </c>
      <c r="CD731" t="str">
        <f t="shared" si="454"/>
        <v/>
      </c>
      <c r="CE731" t="str">
        <f t="shared" si="471"/>
        <v>Bowles 5th edition</v>
      </c>
      <c r="CF731">
        <f t="shared" si="455"/>
        <v>96</v>
      </c>
      <c r="CG731" t="str">
        <f t="shared" si="472"/>
        <v/>
      </c>
      <c r="CH731" t="str">
        <f t="shared" si="456"/>
        <v/>
      </c>
      <c r="CI731" t="str">
        <f t="shared" si="473"/>
        <v/>
      </c>
      <c r="CJ731" t="str">
        <f t="shared" si="482"/>
        <v/>
      </c>
    </row>
    <row r="732" spans="20:88" x14ac:dyDescent="0.3">
      <c r="T732">
        <f t="shared" si="474"/>
        <v>1</v>
      </c>
      <c r="AA732">
        <v>80</v>
      </c>
      <c r="AB732" s="1">
        <f t="shared" si="483"/>
        <v>0</v>
      </c>
      <c r="AC732" t="str">
        <f t="shared" si="484"/>
        <v/>
      </c>
      <c r="AD732" t="str">
        <f t="shared" si="475"/>
        <v/>
      </c>
      <c r="AG732" s="21" t="str">
        <f t="shared" si="457"/>
        <v/>
      </c>
      <c r="AI732" s="6" t="str">
        <f t="shared" si="458"/>
        <v/>
      </c>
      <c r="AM732" s="7" t="str">
        <f t="shared" si="459"/>
        <v/>
      </c>
      <c r="AQ732" s="8" t="str">
        <f t="shared" si="460"/>
        <v/>
      </c>
      <c r="AW732" s="25" t="str">
        <f t="shared" si="461"/>
        <v/>
      </c>
      <c r="BI732" s="17" t="str">
        <f t="shared" si="462"/>
        <v/>
      </c>
      <c r="BM732" t="str">
        <f t="shared" si="476"/>
        <v>SPT Relationship</v>
      </c>
      <c r="BN732">
        <f t="shared" si="477"/>
        <v>95</v>
      </c>
      <c r="BO732" t="str">
        <f t="shared" si="463"/>
        <v/>
      </c>
      <c r="BP732" t="str">
        <f t="shared" si="451"/>
        <v/>
      </c>
      <c r="BQ732" t="str">
        <f t="shared" si="464"/>
        <v/>
      </c>
      <c r="BR732" t="str">
        <f t="shared" si="478"/>
        <v/>
      </c>
      <c r="BS732" t="str">
        <f t="shared" si="465"/>
        <v/>
      </c>
      <c r="BT732" t="str">
        <f t="shared" si="452"/>
        <v/>
      </c>
      <c r="BU732" t="str">
        <f t="shared" si="466"/>
        <v/>
      </c>
      <c r="BV732" t="str">
        <f t="shared" si="479"/>
        <v/>
      </c>
      <c r="BW732" t="str">
        <f t="shared" si="467"/>
        <v/>
      </c>
      <c r="BX732" t="str">
        <f t="shared" si="480"/>
        <v/>
      </c>
      <c r="BY732" t="str">
        <f t="shared" si="468"/>
        <v/>
      </c>
      <c r="BZ732" t="str">
        <f t="shared" si="481"/>
        <v/>
      </c>
      <c r="CA732" t="str">
        <f t="shared" si="469"/>
        <v/>
      </c>
      <c r="CB732" t="str">
        <f t="shared" si="453"/>
        <v/>
      </c>
      <c r="CC732" t="str">
        <f t="shared" si="470"/>
        <v/>
      </c>
      <c r="CD732" t="str">
        <f t="shared" si="454"/>
        <v/>
      </c>
      <c r="CE732" t="str">
        <f t="shared" si="471"/>
        <v>Bowles 5th edition</v>
      </c>
      <c r="CF732">
        <f t="shared" si="455"/>
        <v>96</v>
      </c>
      <c r="CG732" t="str">
        <f t="shared" si="472"/>
        <v/>
      </c>
      <c r="CH732" t="str">
        <f t="shared" si="456"/>
        <v/>
      </c>
      <c r="CI732" t="str">
        <f t="shared" si="473"/>
        <v/>
      </c>
      <c r="CJ732" t="str">
        <f t="shared" si="482"/>
        <v/>
      </c>
    </row>
    <row r="733" spans="20:88" x14ac:dyDescent="0.3">
      <c r="T733">
        <f t="shared" si="474"/>
        <v>1</v>
      </c>
      <c r="AA733">
        <v>80</v>
      </c>
      <c r="AB733" s="1">
        <f t="shared" si="483"/>
        <v>0</v>
      </c>
      <c r="AC733" t="str">
        <f t="shared" si="484"/>
        <v/>
      </c>
      <c r="AD733" t="str">
        <f t="shared" si="475"/>
        <v/>
      </c>
      <c r="AG733" s="21" t="str">
        <f t="shared" si="457"/>
        <v/>
      </c>
      <c r="AI733" s="6" t="str">
        <f t="shared" si="458"/>
        <v/>
      </c>
      <c r="AM733" s="7" t="str">
        <f t="shared" si="459"/>
        <v/>
      </c>
      <c r="AQ733" s="8" t="str">
        <f t="shared" si="460"/>
        <v/>
      </c>
      <c r="AW733" s="25" t="str">
        <f t="shared" si="461"/>
        <v/>
      </c>
      <c r="BI733" s="17" t="str">
        <f t="shared" si="462"/>
        <v/>
      </c>
      <c r="BM733" t="str">
        <f t="shared" si="476"/>
        <v>SPT Relationship</v>
      </c>
      <c r="BN733">
        <f t="shared" si="477"/>
        <v>95</v>
      </c>
      <c r="BO733" t="str">
        <f t="shared" si="463"/>
        <v/>
      </c>
      <c r="BP733" t="str">
        <f t="shared" si="451"/>
        <v/>
      </c>
      <c r="BQ733" t="str">
        <f t="shared" si="464"/>
        <v/>
      </c>
      <c r="BR733" t="str">
        <f t="shared" si="478"/>
        <v/>
      </c>
      <c r="BS733" t="str">
        <f t="shared" si="465"/>
        <v/>
      </c>
      <c r="BT733" t="str">
        <f t="shared" si="452"/>
        <v/>
      </c>
      <c r="BU733" t="str">
        <f t="shared" si="466"/>
        <v/>
      </c>
      <c r="BV733" t="str">
        <f t="shared" si="479"/>
        <v/>
      </c>
      <c r="BW733" t="str">
        <f t="shared" si="467"/>
        <v/>
      </c>
      <c r="BX733" t="str">
        <f t="shared" si="480"/>
        <v/>
      </c>
      <c r="BY733" t="str">
        <f t="shared" si="468"/>
        <v/>
      </c>
      <c r="BZ733" t="str">
        <f t="shared" si="481"/>
        <v/>
      </c>
      <c r="CA733" t="str">
        <f t="shared" si="469"/>
        <v/>
      </c>
      <c r="CB733" t="str">
        <f t="shared" si="453"/>
        <v/>
      </c>
      <c r="CC733" t="str">
        <f t="shared" si="470"/>
        <v/>
      </c>
      <c r="CD733" t="str">
        <f t="shared" si="454"/>
        <v/>
      </c>
      <c r="CE733" t="str">
        <f t="shared" si="471"/>
        <v>Bowles 5th edition</v>
      </c>
      <c r="CF733">
        <f t="shared" si="455"/>
        <v>96</v>
      </c>
      <c r="CG733" t="str">
        <f t="shared" si="472"/>
        <v/>
      </c>
      <c r="CH733" t="str">
        <f t="shared" si="456"/>
        <v/>
      </c>
      <c r="CI733" t="str">
        <f t="shared" si="473"/>
        <v/>
      </c>
      <c r="CJ733" t="str">
        <f t="shared" si="482"/>
        <v/>
      </c>
    </row>
    <row r="734" spans="20:88" x14ac:dyDescent="0.3">
      <c r="T734">
        <f t="shared" si="474"/>
        <v>1</v>
      </c>
      <c r="AA734">
        <v>80</v>
      </c>
      <c r="AB734" s="1">
        <f t="shared" si="483"/>
        <v>0</v>
      </c>
      <c r="AC734" t="str">
        <f t="shared" si="484"/>
        <v/>
      </c>
      <c r="AD734" t="str">
        <f t="shared" si="475"/>
        <v/>
      </c>
      <c r="AG734" s="21" t="str">
        <f t="shared" si="457"/>
        <v/>
      </c>
      <c r="AI734" s="6" t="str">
        <f t="shared" si="458"/>
        <v/>
      </c>
      <c r="AM734" s="7" t="str">
        <f t="shared" si="459"/>
        <v/>
      </c>
      <c r="AQ734" s="8" t="str">
        <f t="shared" si="460"/>
        <v/>
      </c>
      <c r="AW734" s="25" t="str">
        <f t="shared" si="461"/>
        <v/>
      </c>
      <c r="BI734" s="17" t="str">
        <f t="shared" si="462"/>
        <v/>
      </c>
      <c r="BM734" t="str">
        <f t="shared" si="476"/>
        <v>SPT Relationship</v>
      </c>
      <c r="BN734">
        <f t="shared" si="477"/>
        <v>95</v>
      </c>
      <c r="BO734" t="str">
        <f t="shared" si="463"/>
        <v/>
      </c>
      <c r="BP734" t="str">
        <f t="shared" si="451"/>
        <v/>
      </c>
      <c r="BQ734" t="str">
        <f t="shared" si="464"/>
        <v/>
      </c>
      <c r="BR734" t="str">
        <f t="shared" si="478"/>
        <v/>
      </c>
      <c r="BS734" t="str">
        <f t="shared" si="465"/>
        <v/>
      </c>
      <c r="BT734" t="str">
        <f t="shared" si="452"/>
        <v/>
      </c>
      <c r="BU734" t="str">
        <f t="shared" si="466"/>
        <v/>
      </c>
      <c r="BV734" t="str">
        <f t="shared" si="479"/>
        <v/>
      </c>
      <c r="BW734" t="str">
        <f t="shared" si="467"/>
        <v/>
      </c>
      <c r="BX734" t="str">
        <f t="shared" si="480"/>
        <v/>
      </c>
      <c r="BY734" t="str">
        <f t="shared" si="468"/>
        <v/>
      </c>
      <c r="BZ734" t="str">
        <f t="shared" si="481"/>
        <v/>
      </c>
      <c r="CA734" t="str">
        <f t="shared" si="469"/>
        <v/>
      </c>
      <c r="CB734" t="str">
        <f t="shared" si="453"/>
        <v/>
      </c>
      <c r="CC734" t="str">
        <f t="shared" si="470"/>
        <v/>
      </c>
      <c r="CD734" t="str">
        <f t="shared" si="454"/>
        <v/>
      </c>
      <c r="CE734" t="str">
        <f t="shared" si="471"/>
        <v>Bowles 5th edition</v>
      </c>
      <c r="CF734">
        <f t="shared" si="455"/>
        <v>96</v>
      </c>
      <c r="CG734" t="str">
        <f t="shared" si="472"/>
        <v/>
      </c>
      <c r="CH734" t="str">
        <f t="shared" si="456"/>
        <v/>
      </c>
      <c r="CI734" t="str">
        <f t="shared" si="473"/>
        <v/>
      </c>
      <c r="CJ734" t="str">
        <f t="shared" si="482"/>
        <v/>
      </c>
    </row>
    <row r="735" spans="20:88" x14ac:dyDescent="0.3">
      <c r="T735">
        <f t="shared" si="474"/>
        <v>1</v>
      </c>
      <c r="AA735">
        <v>80</v>
      </c>
      <c r="AB735" s="1">
        <f t="shared" si="483"/>
        <v>0</v>
      </c>
      <c r="AC735" t="str">
        <f t="shared" si="484"/>
        <v/>
      </c>
      <c r="AD735" t="str">
        <f t="shared" si="475"/>
        <v/>
      </c>
      <c r="AG735" s="21" t="str">
        <f t="shared" si="457"/>
        <v/>
      </c>
      <c r="AI735" s="6" t="str">
        <f t="shared" si="458"/>
        <v/>
      </c>
      <c r="AM735" s="7" t="str">
        <f t="shared" si="459"/>
        <v/>
      </c>
      <c r="AQ735" s="8" t="str">
        <f t="shared" si="460"/>
        <v/>
      </c>
      <c r="AW735" s="25" t="str">
        <f t="shared" si="461"/>
        <v/>
      </c>
      <c r="BI735" s="17" t="str">
        <f t="shared" si="462"/>
        <v/>
      </c>
      <c r="BM735" t="str">
        <f t="shared" si="476"/>
        <v>SPT Relationship</v>
      </c>
      <c r="BN735">
        <f t="shared" si="477"/>
        <v>95</v>
      </c>
      <c r="BO735" t="str">
        <f t="shared" si="463"/>
        <v/>
      </c>
      <c r="BP735" t="str">
        <f t="shared" si="451"/>
        <v/>
      </c>
      <c r="BQ735" t="str">
        <f t="shared" si="464"/>
        <v/>
      </c>
      <c r="BR735" t="str">
        <f t="shared" si="478"/>
        <v/>
      </c>
      <c r="BS735" t="str">
        <f t="shared" si="465"/>
        <v/>
      </c>
      <c r="BT735" t="str">
        <f t="shared" si="452"/>
        <v/>
      </c>
      <c r="BU735" t="str">
        <f t="shared" si="466"/>
        <v/>
      </c>
      <c r="BV735" t="str">
        <f t="shared" si="479"/>
        <v/>
      </c>
      <c r="BW735" t="str">
        <f t="shared" si="467"/>
        <v/>
      </c>
      <c r="BX735" t="str">
        <f t="shared" si="480"/>
        <v/>
      </c>
      <c r="BY735" t="str">
        <f t="shared" si="468"/>
        <v/>
      </c>
      <c r="BZ735" t="str">
        <f t="shared" si="481"/>
        <v/>
      </c>
      <c r="CA735" t="str">
        <f t="shared" si="469"/>
        <v/>
      </c>
      <c r="CB735" t="str">
        <f t="shared" si="453"/>
        <v/>
      </c>
      <c r="CC735" t="str">
        <f t="shared" si="470"/>
        <v/>
      </c>
      <c r="CD735" t="str">
        <f t="shared" si="454"/>
        <v/>
      </c>
      <c r="CE735" t="str">
        <f t="shared" si="471"/>
        <v>Bowles 5th edition</v>
      </c>
      <c r="CF735">
        <f t="shared" si="455"/>
        <v>96</v>
      </c>
      <c r="CG735" t="str">
        <f t="shared" si="472"/>
        <v/>
      </c>
      <c r="CH735" t="str">
        <f t="shared" si="456"/>
        <v/>
      </c>
      <c r="CI735" t="str">
        <f t="shared" si="473"/>
        <v/>
      </c>
      <c r="CJ735" t="str">
        <f t="shared" si="482"/>
        <v/>
      </c>
    </row>
    <row r="736" spans="20:88" x14ac:dyDescent="0.3">
      <c r="T736">
        <f t="shared" si="474"/>
        <v>1</v>
      </c>
      <c r="AA736">
        <v>80</v>
      </c>
      <c r="AB736" s="1">
        <f t="shared" si="483"/>
        <v>0</v>
      </c>
      <c r="AC736" t="str">
        <f t="shared" si="484"/>
        <v/>
      </c>
      <c r="AD736" t="str">
        <f t="shared" si="475"/>
        <v/>
      </c>
      <c r="AG736" s="21" t="str">
        <f t="shared" si="457"/>
        <v/>
      </c>
      <c r="AI736" s="6" t="str">
        <f t="shared" si="458"/>
        <v/>
      </c>
      <c r="AM736" s="7" t="str">
        <f t="shared" si="459"/>
        <v/>
      </c>
      <c r="AQ736" s="8" t="str">
        <f t="shared" si="460"/>
        <v/>
      </c>
      <c r="AW736" s="25" t="str">
        <f t="shared" si="461"/>
        <v/>
      </c>
      <c r="BI736" s="17" t="str">
        <f t="shared" si="462"/>
        <v/>
      </c>
      <c r="BM736" t="str">
        <f t="shared" si="476"/>
        <v>SPT Relationship</v>
      </c>
      <c r="BN736">
        <f t="shared" si="477"/>
        <v>95</v>
      </c>
      <c r="BO736" t="str">
        <f t="shared" si="463"/>
        <v/>
      </c>
      <c r="BP736" t="str">
        <f t="shared" si="451"/>
        <v/>
      </c>
      <c r="BQ736" t="str">
        <f t="shared" si="464"/>
        <v/>
      </c>
      <c r="BR736" t="str">
        <f t="shared" si="478"/>
        <v/>
      </c>
      <c r="BS736" t="str">
        <f t="shared" si="465"/>
        <v/>
      </c>
      <c r="BT736" t="str">
        <f t="shared" si="452"/>
        <v/>
      </c>
      <c r="BU736" t="str">
        <f t="shared" si="466"/>
        <v/>
      </c>
      <c r="BV736" t="str">
        <f t="shared" si="479"/>
        <v/>
      </c>
      <c r="BW736" t="str">
        <f t="shared" si="467"/>
        <v/>
      </c>
      <c r="BX736" t="str">
        <f t="shared" si="480"/>
        <v/>
      </c>
      <c r="BY736" t="str">
        <f t="shared" si="468"/>
        <v/>
      </c>
      <c r="BZ736" t="str">
        <f t="shared" si="481"/>
        <v/>
      </c>
      <c r="CA736" t="str">
        <f t="shared" si="469"/>
        <v/>
      </c>
      <c r="CB736" t="str">
        <f t="shared" si="453"/>
        <v/>
      </c>
      <c r="CC736" t="str">
        <f t="shared" si="470"/>
        <v/>
      </c>
      <c r="CD736" t="str">
        <f t="shared" si="454"/>
        <v/>
      </c>
      <c r="CE736" t="str">
        <f t="shared" si="471"/>
        <v>Bowles 5th edition</v>
      </c>
      <c r="CF736">
        <f t="shared" si="455"/>
        <v>96</v>
      </c>
      <c r="CG736" t="str">
        <f t="shared" si="472"/>
        <v/>
      </c>
      <c r="CH736" t="str">
        <f t="shared" si="456"/>
        <v/>
      </c>
      <c r="CI736" t="str">
        <f t="shared" si="473"/>
        <v/>
      </c>
      <c r="CJ736" t="str">
        <f t="shared" si="482"/>
        <v/>
      </c>
    </row>
    <row r="737" spans="20:88" x14ac:dyDescent="0.3">
      <c r="T737">
        <f t="shared" si="474"/>
        <v>1</v>
      </c>
      <c r="AA737">
        <v>80</v>
      </c>
      <c r="AB737" s="1">
        <f t="shared" si="483"/>
        <v>0</v>
      </c>
      <c r="AC737" t="str">
        <f t="shared" si="484"/>
        <v/>
      </c>
      <c r="AD737" t="str">
        <f t="shared" si="475"/>
        <v/>
      </c>
      <c r="AG737" s="21" t="str">
        <f t="shared" si="457"/>
        <v/>
      </c>
      <c r="AI737" s="6" t="str">
        <f t="shared" si="458"/>
        <v/>
      </c>
      <c r="AM737" s="7" t="str">
        <f t="shared" si="459"/>
        <v/>
      </c>
      <c r="AQ737" s="8" t="str">
        <f t="shared" si="460"/>
        <v/>
      </c>
      <c r="AW737" s="25" t="str">
        <f t="shared" si="461"/>
        <v/>
      </c>
      <c r="BI737" s="17" t="str">
        <f t="shared" si="462"/>
        <v/>
      </c>
      <c r="BM737" t="str">
        <f t="shared" si="476"/>
        <v>SPT Relationship</v>
      </c>
      <c r="BN737">
        <f t="shared" si="477"/>
        <v>95</v>
      </c>
      <c r="BO737" t="str">
        <f t="shared" si="463"/>
        <v/>
      </c>
      <c r="BP737" t="str">
        <f t="shared" si="451"/>
        <v/>
      </c>
      <c r="BQ737" t="str">
        <f t="shared" si="464"/>
        <v/>
      </c>
      <c r="BR737" t="str">
        <f t="shared" si="478"/>
        <v/>
      </c>
      <c r="BS737" t="str">
        <f t="shared" si="465"/>
        <v/>
      </c>
      <c r="BT737" t="str">
        <f t="shared" si="452"/>
        <v/>
      </c>
      <c r="BU737" t="str">
        <f t="shared" si="466"/>
        <v/>
      </c>
      <c r="BV737" t="str">
        <f t="shared" si="479"/>
        <v/>
      </c>
      <c r="BW737" t="str">
        <f t="shared" si="467"/>
        <v/>
      </c>
      <c r="BX737" t="str">
        <f t="shared" si="480"/>
        <v/>
      </c>
      <c r="BY737" t="str">
        <f t="shared" si="468"/>
        <v/>
      </c>
      <c r="BZ737" t="str">
        <f t="shared" si="481"/>
        <v/>
      </c>
      <c r="CA737" t="str">
        <f t="shared" si="469"/>
        <v/>
      </c>
      <c r="CB737" t="str">
        <f t="shared" si="453"/>
        <v/>
      </c>
      <c r="CC737" t="str">
        <f t="shared" si="470"/>
        <v/>
      </c>
      <c r="CD737" t="str">
        <f t="shared" si="454"/>
        <v/>
      </c>
      <c r="CE737" t="str">
        <f t="shared" si="471"/>
        <v>Bowles 5th edition</v>
      </c>
      <c r="CF737">
        <f t="shared" si="455"/>
        <v>96</v>
      </c>
      <c r="CG737" t="str">
        <f t="shared" si="472"/>
        <v/>
      </c>
      <c r="CH737" t="str">
        <f t="shared" si="456"/>
        <v/>
      </c>
      <c r="CI737" t="str">
        <f t="shared" si="473"/>
        <v/>
      </c>
      <c r="CJ737" t="str">
        <f t="shared" si="482"/>
        <v/>
      </c>
    </row>
    <row r="738" spans="20:88" x14ac:dyDescent="0.3">
      <c r="T738">
        <f t="shared" si="474"/>
        <v>1</v>
      </c>
      <c r="AA738">
        <v>80</v>
      </c>
      <c r="AB738" s="1">
        <f t="shared" si="483"/>
        <v>0</v>
      </c>
      <c r="AC738" t="str">
        <f t="shared" si="484"/>
        <v/>
      </c>
      <c r="AD738" t="str">
        <f t="shared" si="475"/>
        <v/>
      </c>
      <c r="AG738" s="21" t="str">
        <f t="shared" si="457"/>
        <v/>
      </c>
      <c r="AI738" s="6" t="str">
        <f t="shared" si="458"/>
        <v/>
      </c>
      <c r="AM738" s="7" t="str">
        <f t="shared" si="459"/>
        <v/>
      </c>
      <c r="AQ738" s="8" t="str">
        <f t="shared" si="460"/>
        <v/>
      </c>
      <c r="AW738" s="25" t="str">
        <f t="shared" si="461"/>
        <v/>
      </c>
      <c r="BI738" s="17" t="str">
        <f t="shared" si="462"/>
        <v/>
      </c>
      <c r="BM738" t="str">
        <f t="shared" si="476"/>
        <v>SPT Relationship</v>
      </c>
      <c r="BN738">
        <f t="shared" si="477"/>
        <v>95</v>
      </c>
      <c r="BO738" t="str">
        <f t="shared" si="463"/>
        <v/>
      </c>
      <c r="BP738" t="str">
        <f t="shared" si="451"/>
        <v/>
      </c>
      <c r="BQ738" t="str">
        <f t="shared" si="464"/>
        <v/>
      </c>
      <c r="BR738" t="str">
        <f t="shared" si="478"/>
        <v/>
      </c>
      <c r="BS738" t="str">
        <f t="shared" si="465"/>
        <v/>
      </c>
      <c r="BT738" t="str">
        <f t="shared" si="452"/>
        <v/>
      </c>
      <c r="BU738" t="str">
        <f t="shared" si="466"/>
        <v/>
      </c>
      <c r="BV738" t="str">
        <f t="shared" si="479"/>
        <v/>
      </c>
      <c r="BW738" t="str">
        <f t="shared" si="467"/>
        <v/>
      </c>
      <c r="BX738" t="str">
        <f t="shared" si="480"/>
        <v/>
      </c>
      <c r="BY738" t="str">
        <f t="shared" si="468"/>
        <v/>
      </c>
      <c r="BZ738" t="str">
        <f t="shared" si="481"/>
        <v/>
      </c>
      <c r="CA738" t="str">
        <f t="shared" si="469"/>
        <v/>
      </c>
      <c r="CB738" t="str">
        <f t="shared" si="453"/>
        <v/>
      </c>
      <c r="CC738" t="str">
        <f t="shared" si="470"/>
        <v/>
      </c>
      <c r="CD738" t="str">
        <f t="shared" si="454"/>
        <v/>
      </c>
      <c r="CE738" t="str">
        <f t="shared" si="471"/>
        <v>Bowles 5th edition</v>
      </c>
      <c r="CF738">
        <f t="shared" si="455"/>
        <v>96</v>
      </c>
      <c r="CG738" t="str">
        <f t="shared" si="472"/>
        <v/>
      </c>
      <c r="CH738" t="str">
        <f t="shared" si="456"/>
        <v/>
      </c>
      <c r="CI738" t="str">
        <f t="shared" si="473"/>
        <v/>
      </c>
      <c r="CJ738" t="str">
        <f t="shared" si="482"/>
        <v/>
      </c>
    </row>
    <row r="739" spans="20:88" x14ac:dyDescent="0.3">
      <c r="T739">
        <f t="shared" si="474"/>
        <v>1</v>
      </c>
      <c r="AA739">
        <v>80</v>
      </c>
      <c r="AB739" s="1">
        <f t="shared" si="483"/>
        <v>0</v>
      </c>
      <c r="AC739" t="str">
        <f t="shared" si="484"/>
        <v/>
      </c>
      <c r="AD739" t="str">
        <f t="shared" si="475"/>
        <v/>
      </c>
      <c r="AG739" s="21" t="str">
        <f t="shared" si="457"/>
        <v/>
      </c>
      <c r="AI739" s="6" t="str">
        <f t="shared" si="458"/>
        <v/>
      </c>
      <c r="AM739" s="7" t="str">
        <f t="shared" si="459"/>
        <v/>
      </c>
      <c r="AQ739" s="8" t="str">
        <f t="shared" si="460"/>
        <v/>
      </c>
      <c r="AW739" s="25" t="str">
        <f t="shared" si="461"/>
        <v/>
      </c>
      <c r="BI739" s="17" t="str">
        <f t="shared" si="462"/>
        <v/>
      </c>
      <c r="BM739" t="str">
        <f t="shared" si="476"/>
        <v>SPT Relationship</v>
      </c>
      <c r="BN739">
        <f t="shared" si="477"/>
        <v>95</v>
      </c>
      <c r="BO739" t="str">
        <f t="shared" si="463"/>
        <v/>
      </c>
      <c r="BP739" t="str">
        <f t="shared" si="451"/>
        <v/>
      </c>
      <c r="BQ739" t="str">
        <f t="shared" si="464"/>
        <v/>
      </c>
      <c r="BR739" t="str">
        <f t="shared" si="478"/>
        <v/>
      </c>
      <c r="BS739" t="str">
        <f t="shared" si="465"/>
        <v/>
      </c>
      <c r="BT739" t="str">
        <f t="shared" si="452"/>
        <v/>
      </c>
      <c r="BU739" t="str">
        <f t="shared" si="466"/>
        <v/>
      </c>
      <c r="BV739" t="str">
        <f t="shared" si="479"/>
        <v/>
      </c>
      <c r="BW739" t="str">
        <f t="shared" si="467"/>
        <v/>
      </c>
      <c r="BX739" t="str">
        <f t="shared" si="480"/>
        <v/>
      </c>
      <c r="BY739" t="str">
        <f t="shared" si="468"/>
        <v/>
      </c>
      <c r="BZ739" t="str">
        <f t="shared" si="481"/>
        <v/>
      </c>
      <c r="CA739" t="str">
        <f t="shared" si="469"/>
        <v/>
      </c>
      <c r="CB739" t="str">
        <f t="shared" si="453"/>
        <v/>
      </c>
      <c r="CC739" t="str">
        <f t="shared" si="470"/>
        <v/>
      </c>
      <c r="CD739" t="str">
        <f t="shared" si="454"/>
        <v/>
      </c>
      <c r="CE739" t="str">
        <f t="shared" si="471"/>
        <v>Bowles 5th edition</v>
      </c>
      <c r="CF739">
        <f t="shared" si="455"/>
        <v>96</v>
      </c>
      <c r="CG739" t="str">
        <f t="shared" si="472"/>
        <v/>
      </c>
      <c r="CH739" t="str">
        <f t="shared" si="456"/>
        <v/>
      </c>
      <c r="CI739" t="str">
        <f t="shared" si="473"/>
        <v/>
      </c>
      <c r="CJ739" t="str">
        <f t="shared" si="482"/>
        <v/>
      </c>
    </row>
    <row r="740" spans="20:88" x14ac:dyDescent="0.3">
      <c r="T740">
        <f t="shared" si="474"/>
        <v>1</v>
      </c>
      <c r="AA740">
        <v>80</v>
      </c>
      <c r="AB740" s="1">
        <f t="shared" si="483"/>
        <v>0</v>
      </c>
      <c r="AC740" t="str">
        <f t="shared" si="484"/>
        <v/>
      </c>
      <c r="AD740" t="str">
        <f t="shared" si="475"/>
        <v/>
      </c>
      <c r="AG740" s="21" t="str">
        <f t="shared" si="457"/>
        <v/>
      </c>
      <c r="AI740" s="6" t="str">
        <f t="shared" si="458"/>
        <v/>
      </c>
      <c r="AM740" s="7" t="str">
        <f t="shared" si="459"/>
        <v/>
      </c>
      <c r="AW740" s="25" t="str">
        <f t="shared" si="461"/>
        <v/>
      </c>
      <c r="BI740" s="17" t="str">
        <f t="shared" si="462"/>
        <v/>
      </c>
      <c r="BM740" t="str">
        <f t="shared" si="476"/>
        <v>SPT Relationship</v>
      </c>
      <c r="BN740">
        <f t="shared" si="477"/>
        <v>95</v>
      </c>
      <c r="BO740" t="str">
        <f t="shared" si="463"/>
        <v/>
      </c>
      <c r="BP740" t="str">
        <f t="shared" ref="BP740:BP749" si="485">IFERROR(ROUNDDOWN(27.1+0.3*AC740-0.00054*AC740^2,0),"")</f>
        <v/>
      </c>
      <c r="BQ740" t="str">
        <f t="shared" si="464"/>
        <v/>
      </c>
      <c r="BR740" t="str">
        <f t="shared" si="478"/>
        <v/>
      </c>
      <c r="BS740" t="str">
        <f t="shared" si="465"/>
        <v/>
      </c>
      <c r="BT740" t="str">
        <f t="shared" ref="BT740:BT749" si="486">IFERROR(IF(S740="Clay",ROUND((3.5*AB740)*20.885434273039,0),""),"")</f>
        <v/>
      </c>
      <c r="BU740" t="str">
        <f t="shared" si="466"/>
        <v/>
      </c>
      <c r="BV740" t="str">
        <f t="shared" si="479"/>
        <v/>
      </c>
      <c r="BW740" t="str">
        <f t="shared" si="467"/>
        <v/>
      </c>
      <c r="BX740" t="str">
        <f t="shared" si="480"/>
        <v/>
      </c>
      <c r="BY740" t="str">
        <f t="shared" si="468"/>
        <v/>
      </c>
      <c r="BZ740" t="str">
        <f t="shared" si="481"/>
        <v/>
      </c>
      <c r="CA740" t="str">
        <f t="shared" si="469"/>
        <v/>
      </c>
      <c r="CB740" t="str">
        <f t="shared" si="453"/>
        <v/>
      </c>
      <c r="CC740" t="str">
        <f t="shared" si="470"/>
        <v/>
      </c>
      <c r="CD740" t="str">
        <f t="shared" si="454"/>
        <v/>
      </c>
      <c r="CE740" t="str">
        <f t="shared" si="471"/>
        <v>Bowles 5th edition</v>
      </c>
      <c r="CF740">
        <f t="shared" si="455"/>
        <v>96</v>
      </c>
      <c r="CG740" t="str">
        <f t="shared" si="472"/>
        <v/>
      </c>
      <c r="CH740" t="str">
        <f t="shared" si="456"/>
        <v/>
      </c>
      <c r="CI740" t="str">
        <f t="shared" si="473"/>
        <v/>
      </c>
      <c r="CJ740" t="str">
        <f t="shared" si="482"/>
        <v/>
      </c>
    </row>
    <row r="741" spans="20:88" x14ac:dyDescent="0.3">
      <c r="T741">
        <f t="shared" si="474"/>
        <v>1</v>
      </c>
      <c r="AA741">
        <v>80</v>
      </c>
      <c r="AB741" s="1">
        <f t="shared" si="483"/>
        <v>0</v>
      </c>
      <c r="AC741" t="str">
        <f t="shared" si="484"/>
        <v/>
      </c>
      <c r="AD741" t="str">
        <f t="shared" si="475"/>
        <v/>
      </c>
      <c r="AG741" s="21" t="str">
        <f t="shared" si="457"/>
        <v/>
      </c>
      <c r="AI741" s="6" t="str">
        <f t="shared" si="458"/>
        <v/>
      </c>
      <c r="AM741" s="7" t="str">
        <f t="shared" si="459"/>
        <v/>
      </c>
      <c r="AW741" s="25" t="str">
        <f t="shared" si="461"/>
        <v/>
      </c>
      <c r="BI741" s="17" t="str">
        <f t="shared" si="462"/>
        <v/>
      </c>
      <c r="BM741" t="str">
        <f t="shared" si="476"/>
        <v>SPT Relationship</v>
      </c>
      <c r="BN741">
        <f t="shared" si="477"/>
        <v>95</v>
      </c>
      <c r="BO741" t="str">
        <f t="shared" si="463"/>
        <v/>
      </c>
      <c r="BP741" t="str">
        <f t="shared" si="485"/>
        <v/>
      </c>
      <c r="BQ741" t="str">
        <f t="shared" si="464"/>
        <v/>
      </c>
      <c r="BR741" t="str">
        <f t="shared" si="478"/>
        <v/>
      </c>
      <c r="BS741" t="str">
        <f t="shared" si="465"/>
        <v/>
      </c>
      <c r="BT741" t="str">
        <f t="shared" si="486"/>
        <v/>
      </c>
      <c r="BU741" t="str">
        <f t="shared" si="466"/>
        <v/>
      </c>
      <c r="BV741" t="str">
        <f t="shared" si="479"/>
        <v/>
      </c>
      <c r="BW741" t="str">
        <f t="shared" si="467"/>
        <v/>
      </c>
      <c r="BX741" t="str">
        <f t="shared" si="480"/>
        <v/>
      </c>
      <c r="BY741" t="str">
        <f t="shared" si="468"/>
        <v/>
      </c>
      <c r="BZ741" t="str">
        <f t="shared" si="481"/>
        <v/>
      </c>
      <c r="CA741" t="str">
        <f t="shared" si="469"/>
        <v/>
      </c>
      <c r="CB741" t="str">
        <f t="shared" si="453"/>
        <v/>
      </c>
      <c r="CC741" t="str">
        <f t="shared" si="470"/>
        <v/>
      </c>
      <c r="CD741" t="str">
        <f t="shared" si="454"/>
        <v/>
      </c>
      <c r="CE741" t="str">
        <f t="shared" si="471"/>
        <v>Bowles 5th edition</v>
      </c>
      <c r="CF741">
        <f t="shared" si="455"/>
        <v>96</v>
      </c>
      <c r="CG741" t="str">
        <f t="shared" si="472"/>
        <v/>
      </c>
      <c r="CH741" t="str">
        <f t="shared" si="456"/>
        <v/>
      </c>
      <c r="CI741" t="str">
        <f t="shared" si="473"/>
        <v/>
      </c>
      <c r="CJ741" t="str">
        <f t="shared" si="482"/>
        <v/>
      </c>
    </row>
    <row r="742" spans="20:88" x14ac:dyDescent="0.3">
      <c r="T742">
        <f t="shared" si="474"/>
        <v>1</v>
      </c>
      <c r="AA742">
        <v>80</v>
      </c>
      <c r="AB742" s="1">
        <f t="shared" si="483"/>
        <v>0</v>
      </c>
      <c r="AC742" t="str">
        <f t="shared" si="484"/>
        <v/>
      </c>
      <c r="AD742" t="str">
        <f t="shared" si="475"/>
        <v/>
      </c>
      <c r="AG742" s="21" t="str">
        <f t="shared" si="457"/>
        <v/>
      </c>
      <c r="AI742" s="6" t="str">
        <f t="shared" si="458"/>
        <v/>
      </c>
      <c r="AM742" s="7" t="str">
        <f t="shared" si="459"/>
        <v/>
      </c>
      <c r="BI742" s="17" t="str">
        <f t="shared" si="462"/>
        <v/>
      </c>
      <c r="BM742" t="str">
        <f t="shared" si="476"/>
        <v>SPT Relationship</v>
      </c>
      <c r="BN742">
        <f t="shared" si="477"/>
        <v>95</v>
      </c>
      <c r="BO742" t="str">
        <f t="shared" si="463"/>
        <v/>
      </c>
      <c r="BP742" t="str">
        <f t="shared" si="485"/>
        <v/>
      </c>
      <c r="BQ742" t="str">
        <f t="shared" si="464"/>
        <v/>
      </c>
      <c r="BR742" t="str">
        <f t="shared" si="478"/>
        <v/>
      </c>
      <c r="BS742" t="str">
        <f t="shared" si="465"/>
        <v/>
      </c>
      <c r="BT742" t="str">
        <f t="shared" si="486"/>
        <v/>
      </c>
      <c r="BU742" t="str">
        <f t="shared" si="466"/>
        <v/>
      </c>
      <c r="BV742" t="str">
        <f t="shared" si="479"/>
        <v/>
      </c>
      <c r="BW742" t="str">
        <f t="shared" si="467"/>
        <v/>
      </c>
      <c r="BX742" t="str">
        <f t="shared" si="480"/>
        <v/>
      </c>
      <c r="BY742" t="str">
        <f t="shared" si="468"/>
        <v/>
      </c>
      <c r="BZ742" t="str">
        <f t="shared" si="481"/>
        <v/>
      </c>
      <c r="CA742" t="str">
        <f t="shared" si="469"/>
        <v/>
      </c>
      <c r="CB742" t="str">
        <f t="shared" si="453"/>
        <v/>
      </c>
      <c r="CC742" t="str">
        <f t="shared" si="470"/>
        <v/>
      </c>
      <c r="CD742" t="str">
        <f t="shared" si="454"/>
        <v/>
      </c>
      <c r="CE742" t="str">
        <f t="shared" si="471"/>
        <v>Bowles 5th edition</v>
      </c>
      <c r="CF742">
        <f t="shared" si="455"/>
        <v>96</v>
      </c>
      <c r="CG742" t="str">
        <f t="shared" si="472"/>
        <v/>
      </c>
      <c r="CH742" t="str">
        <f t="shared" si="456"/>
        <v/>
      </c>
      <c r="CI742" t="str">
        <f t="shared" si="473"/>
        <v/>
      </c>
      <c r="CJ742" t="str">
        <f t="shared" si="482"/>
        <v/>
      </c>
    </row>
    <row r="743" spans="20:88" x14ac:dyDescent="0.3">
      <c r="T743">
        <f t="shared" si="474"/>
        <v>1</v>
      </c>
      <c r="AA743">
        <v>80</v>
      </c>
      <c r="AB743" s="1">
        <f t="shared" si="483"/>
        <v>0</v>
      </c>
      <c r="AC743" t="str">
        <f t="shared" si="484"/>
        <v/>
      </c>
      <c r="AD743" t="str">
        <f t="shared" si="475"/>
        <v/>
      </c>
      <c r="AG743" s="21" t="str">
        <f t="shared" si="457"/>
        <v/>
      </c>
      <c r="AI743" s="6" t="str">
        <f t="shared" si="458"/>
        <v/>
      </c>
      <c r="AM743" s="7" t="str">
        <f t="shared" si="459"/>
        <v/>
      </c>
      <c r="BI743" s="17" t="str">
        <f t="shared" si="462"/>
        <v/>
      </c>
      <c r="BM743" t="str">
        <f t="shared" si="476"/>
        <v>SPT Relationship</v>
      </c>
      <c r="BN743">
        <f t="shared" si="477"/>
        <v>95</v>
      </c>
      <c r="BO743" t="str">
        <f t="shared" si="463"/>
        <v/>
      </c>
      <c r="BP743" t="str">
        <f t="shared" si="485"/>
        <v/>
      </c>
      <c r="BQ743" t="str">
        <f t="shared" si="464"/>
        <v/>
      </c>
      <c r="BR743" t="str">
        <f t="shared" si="478"/>
        <v/>
      </c>
      <c r="BS743" t="str">
        <f t="shared" si="465"/>
        <v/>
      </c>
      <c r="BT743" t="str">
        <f t="shared" si="486"/>
        <v/>
      </c>
      <c r="BU743" t="str">
        <f t="shared" si="466"/>
        <v/>
      </c>
      <c r="BV743" t="str">
        <f t="shared" si="479"/>
        <v/>
      </c>
      <c r="BW743" t="str">
        <f t="shared" si="467"/>
        <v/>
      </c>
      <c r="BX743" t="str">
        <f t="shared" si="480"/>
        <v/>
      </c>
      <c r="BY743" t="str">
        <f t="shared" si="468"/>
        <v/>
      </c>
      <c r="BZ743" t="str">
        <f t="shared" si="481"/>
        <v/>
      </c>
      <c r="CA743" t="str">
        <f t="shared" si="469"/>
        <v/>
      </c>
      <c r="CB743" t="str">
        <f t="shared" si="453"/>
        <v/>
      </c>
      <c r="CC743" t="str">
        <f t="shared" si="470"/>
        <v/>
      </c>
      <c r="CD743" t="str">
        <f t="shared" si="454"/>
        <v/>
      </c>
      <c r="CE743" t="str">
        <f t="shared" si="471"/>
        <v>Bowles 5th edition</v>
      </c>
      <c r="CF743">
        <f t="shared" si="455"/>
        <v>96</v>
      </c>
      <c r="CG743" t="str">
        <f t="shared" si="472"/>
        <v/>
      </c>
      <c r="CH743" t="str">
        <f t="shared" si="456"/>
        <v/>
      </c>
      <c r="CI743" t="str">
        <f t="shared" si="473"/>
        <v/>
      </c>
      <c r="CJ743" t="str">
        <f t="shared" si="482"/>
        <v/>
      </c>
    </row>
    <row r="744" spans="20:88" x14ac:dyDescent="0.3">
      <c r="T744">
        <f t="shared" si="474"/>
        <v>1</v>
      </c>
      <c r="AA744">
        <v>80</v>
      </c>
      <c r="AB744" s="1">
        <f t="shared" si="483"/>
        <v>0</v>
      </c>
      <c r="AC744" t="str">
        <f t="shared" si="484"/>
        <v/>
      </c>
      <c r="AD744" t="str">
        <f t="shared" si="475"/>
        <v/>
      </c>
      <c r="AG744" s="21" t="str">
        <f t="shared" si="457"/>
        <v/>
      </c>
      <c r="AI744" s="6" t="str">
        <f t="shared" si="458"/>
        <v/>
      </c>
      <c r="AM744" s="7" t="str">
        <f t="shared" si="459"/>
        <v/>
      </c>
      <c r="BI744" s="17" t="str">
        <f t="shared" si="462"/>
        <v/>
      </c>
      <c r="BM744" t="str">
        <f t="shared" si="476"/>
        <v>SPT Relationship</v>
      </c>
      <c r="BN744">
        <f t="shared" si="477"/>
        <v>95</v>
      </c>
      <c r="BO744" t="str">
        <f t="shared" si="463"/>
        <v/>
      </c>
      <c r="BP744" t="str">
        <f t="shared" si="485"/>
        <v/>
      </c>
      <c r="BQ744" t="str">
        <f t="shared" si="464"/>
        <v/>
      </c>
      <c r="BR744" t="str">
        <f t="shared" si="478"/>
        <v/>
      </c>
      <c r="BS744" t="str">
        <f t="shared" si="465"/>
        <v/>
      </c>
      <c r="BT744" t="str">
        <f t="shared" si="486"/>
        <v/>
      </c>
      <c r="BU744" t="str">
        <f t="shared" si="466"/>
        <v/>
      </c>
      <c r="BV744" t="str">
        <f t="shared" si="479"/>
        <v/>
      </c>
      <c r="BW744" t="str">
        <f t="shared" si="467"/>
        <v/>
      </c>
      <c r="BX744" t="str">
        <f t="shared" si="480"/>
        <v/>
      </c>
      <c r="BY744" t="str">
        <f t="shared" si="468"/>
        <v/>
      </c>
      <c r="BZ744" t="str">
        <f t="shared" si="481"/>
        <v/>
      </c>
      <c r="CA744" t="str">
        <f t="shared" si="469"/>
        <v/>
      </c>
      <c r="CB744" t="str">
        <f t="shared" si="453"/>
        <v/>
      </c>
      <c r="CC744" t="str">
        <f t="shared" si="470"/>
        <v/>
      </c>
      <c r="CD744" t="str">
        <f t="shared" si="454"/>
        <v/>
      </c>
      <c r="CE744" t="str">
        <f t="shared" si="471"/>
        <v>Bowles 5th edition</v>
      </c>
      <c r="CF744">
        <f t="shared" si="455"/>
        <v>96</v>
      </c>
      <c r="CG744" t="str">
        <f t="shared" si="472"/>
        <v/>
      </c>
      <c r="CH744" t="str">
        <f t="shared" si="456"/>
        <v/>
      </c>
      <c r="CI744" t="str">
        <f t="shared" si="473"/>
        <v/>
      </c>
      <c r="CJ744" t="str">
        <f t="shared" si="482"/>
        <v/>
      </c>
    </row>
    <row r="745" spans="20:88" x14ac:dyDescent="0.3">
      <c r="T745">
        <f t="shared" si="474"/>
        <v>1</v>
      </c>
      <c r="AA745">
        <v>80</v>
      </c>
      <c r="AB745" s="1">
        <f t="shared" si="483"/>
        <v>0</v>
      </c>
      <c r="AC745" t="str">
        <f t="shared" si="484"/>
        <v/>
      </c>
      <c r="AD745" t="str">
        <f t="shared" si="475"/>
        <v/>
      </c>
      <c r="AG745" s="21" t="str">
        <f t="shared" si="457"/>
        <v/>
      </c>
      <c r="AI745" s="6" t="str">
        <f t="shared" si="458"/>
        <v/>
      </c>
      <c r="AM745" s="7" t="str">
        <f t="shared" si="459"/>
        <v/>
      </c>
      <c r="BI745" s="17" t="str">
        <f t="shared" si="462"/>
        <v/>
      </c>
      <c r="BM745" t="str">
        <f t="shared" si="476"/>
        <v>SPT Relationship</v>
      </c>
      <c r="BN745">
        <f t="shared" si="477"/>
        <v>95</v>
      </c>
      <c r="BO745" t="str">
        <f t="shared" si="463"/>
        <v/>
      </c>
      <c r="BP745" t="str">
        <f t="shared" si="485"/>
        <v/>
      </c>
      <c r="BQ745" t="str">
        <f t="shared" si="464"/>
        <v/>
      </c>
      <c r="BR745" t="str">
        <f t="shared" si="478"/>
        <v/>
      </c>
      <c r="BS745" t="str">
        <f t="shared" si="465"/>
        <v/>
      </c>
      <c r="BT745" t="str">
        <f t="shared" si="486"/>
        <v/>
      </c>
      <c r="BU745" t="str">
        <f t="shared" si="466"/>
        <v/>
      </c>
      <c r="BV745" t="str">
        <f t="shared" si="479"/>
        <v/>
      </c>
      <c r="BW745" t="str">
        <f t="shared" si="467"/>
        <v/>
      </c>
      <c r="BX745" t="str">
        <f t="shared" si="480"/>
        <v/>
      </c>
      <c r="BY745" t="str">
        <f t="shared" si="468"/>
        <v/>
      </c>
      <c r="BZ745" t="str">
        <f t="shared" si="481"/>
        <v/>
      </c>
      <c r="CA745" t="str">
        <f t="shared" si="469"/>
        <v/>
      </c>
      <c r="CB745" t="str">
        <f t="shared" si="453"/>
        <v/>
      </c>
      <c r="CC745" t="str">
        <f t="shared" si="470"/>
        <v/>
      </c>
      <c r="CD745" t="str">
        <f t="shared" si="454"/>
        <v/>
      </c>
      <c r="CE745" t="str">
        <f t="shared" si="471"/>
        <v>Bowles 5th edition</v>
      </c>
      <c r="CF745">
        <f t="shared" si="455"/>
        <v>96</v>
      </c>
      <c r="CG745" t="str">
        <f t="shared" si="472"/>
        <v/>
      </c>
      <c r="CH745" t="str">
        <f t="shared" si="456"/>
        <v/>
      </c>
      <c r="CI745" t="str">
        <f t="shared" si="473"/>
        <v/>
      </c>
      <c r="CJ745" t="str">
        <f t="shared" si="482"/>
        <v/>
      </c>
    </row>
    <row r="746" spans="20:88" x14ac:dyDescent="0.3">
      <c r="T746">
        <f t="shared" si="474"/>
        <v>1</v>
      </c>
      <c r="AA746">
        <v>80</v>
      </c>
      <c r="AB746" s="1">
        <f t="shared" si="483"/>
        <v>0</v>
      </c>
      <c r="AC746" t="str">
        <f t="shared" si="484"/>
        <v/>
      </c>
      <c r="AD746" t="str">
        <f t="shared" si="475"/>
        <v/>
      </c>
      <c r="AG746" s="21" t="str">
        <f t="shared" si="457"/>
        <v/>
      </c>
      <c r="AI746" s="6" t="str">
        <f t="shared" si="458"/>
        <v/>
      </c>
      <c r="AM746" s="7" t="str">
        <f t="shared" si="459"/>
        <v/>
      </c>
      <c r="BI746" s="17" t="str">
        <f t="shared" si="462"/>
        <v/>
      </c>
      <c r="BM746" t="str">
        <f t="shared" si="476"/>
        <v>SPT Relationship</v>
      </c>
      <c r="BN746">
        <f t="shared" si="477"/>
        <v>95</v>
      </c>
      <c r="BO746" t="str">
        <f t="shared" si="463"/>
        <v/>
      </c>
      <c r="BP746" t="str">
        <f t="shared" si="485"/>
        <v/>
      </c>
      <c r="BQ746" t="str">
        <f t="shared" si="464"/>
        <v/>
      </c>
      <c r="BR746" t="str">
        <f t="shared" si="478"/>
        <v/>
      </c>
      <c r="BS746" t="str">
        <f t="shared" si="465"/>
        <v/>
      </c>
      <c r="BT746" t="str">
        <f t="shared" si="486"/>
        <v/>
      </c>
      <c r="BU746" t="str">
        <f t="shared" si="466"/>
        <v/>
      </c>
      <c r="BV746" t="str">
        <f t="shared" si="479"/>
        <v/>
      </c>
      <c r="BW746" t="str">
        <f t="shared" si="467"/>
        <v/>
      </c>
      <c r="BX746" t="str">
        <f t="shared" si="480"/>
        <v/>
      </c>
      <c r="BY746" t="str">
        <f t="shared" si="468"/>
        <v/>
      </c>
      <c r="BZ746" t="str">
        <f t="shared" si="481"/>
        <v/>
      </c>
      <c r="CA746" t="str">
        <f t="shared" si="469"/>
        <v/>
      </c>
      <c r="CB746" t="str">
        <f t="shared" si="453"/>
        <v/>
      </c>
      <c r="CC746" t="str">
        <f t="shared" si="470"/>
        <v/>
      </c>
      <c r="CD746" t="str">
        <f t="shared" si="454"/>
        <v/>
      </c>
      <c r="CE746" t="str">
        <f t="shared" si="471"/>
        <v>Bowles 5th edition</v>
      </c>
      <c r="CF746">
        <f t="shared" si="455"/>
        <v>96</v>
      </c>
      <c r="CG746" t="str">
        <f t="shared" si="472"/>
        <v/>
      </c>
      <c r="CH746" t="str">
        <f t="shared" si="456"/>
        <v/>
      </c>
      <c r="CI746" t="str">
        <f t="shared" si="473"/>
        <v/>
      </c>
      <c r="CJ746" t="str">
        <f t="shared" si="482"/>
        <v/>
      </c>
    </row>
    <row r="747" spans="20:88" x14ac:dyDescent="0.3">
      <c r="T747">
        <f t="shared" si="474"/>
        <v>1</v>
      </c>
      <c r="AA747">
        <v>80</v>
      </c>
      <c r="AB747" s="1">
        <f t="shared" si="483"/>
        <v>0</v>
      </c>
      <c r="AC747" t="str">
        <f t="shared" si="484"/>
        <v/>
      </c>
      <c r="AD747" t="str">
        <f t="shared" si="475"/>
        <v/>
      </c>
      <c r="AG747" s="21" t="str">
        <f t="shared" si="457"/>
        <v/>
      </c>
      <c r="AI747" s="6" t="str">
        <f t="shared" si="458"/>
        <v/>
      </c>
      <c r="AM747" s="7" t="str">
        <f t="shared" si="459"/>
        <v/>
      </c>
      <c r="BI747" s="17" t="str">
        <f t="shared" si="462"/>
        <v/>
      </c>
      <c r="BM747" t="str">
        <f t="shared" si="476"/>
        <v>SPT Relationship</v>
      </c>
      <c r="BN747">
        <f t="shared" si="477"/>
        <v>95</v>
      </c>
      <c r="BO747" t="str">
        <f t="shared" si="463"/>
        <v/>
      </c>
      <c r="BP747" t="str">
        <f t="shared" si="485"/>
        <v/>
      </c>
      <c r="BQ747" t="str">
        <f t="shared" si="464"/>
        <v/>
      </c>
      <c r="BR747" t="str">
        <f t="shared" si="478"/>
        <v/>
      </c>
      <c r="BS747" t="str">
        <f t="shared" si="465"/>
        <v/>
      </c>
      <c r="BT747" t="str">
        <f t="shared" si="486"/>
        <v/>
      </c>
      <c r="BU747" t="str">
        <f t="shared" si="466"/>
        <v/>
      </c>
      <c r="BV747" t="str">
        <f t="shared" si="479"/>
        <v/>
      </c>
      <c r="BW747" t="str">
        <f t="shared" si="467"/>
        <v/>
      </c>
      <c r="BX747" t="str">
        <f t="shared" si="480"/>
        <v/>
      </c>
      <c r="BY747" t="str">
        <f t="shared" si="468"/>
        <v/>
      </c>
      <c r="BZ747" t="str">
        <f t="shared" si="481"/>
        <v/>
      </c>
      <c r="CA747" t="str">
        <f t="shared" si="469"/>
        <v/>
      </c>
      <c r="CB747" t="str">
        <f t="shared" si="453"/>
        <v/>
      </c>
      <c r="CC747" t="str">
        <f t="shared" si="470"/>
        <v/>
      </c>
      <c r="CD747" t="str">
        <f t="shared" si="454"/>
        <v/>
      </c>
      <c r="CE747" t="str">
        <f t="shared" si="471"/>
        <v>Bowles 5th edition</v>
      </c>
      <c r="CF747">
        <f t="shared" si="455"/>
        <v>96</v>
      </c>
      <c r="CG747" t="str">
        <f t="shared" si="472"/>
        <v/>
      </c>
      <c r="CH747" t="str">
        <f t="shared" si="456"/>
        <v/>
      </c>
      <c r="CI747" t="str">
        <f t="shared" si="473"/>
        <v/>
      </c>
      <c r="CJ747" t="str">
        <f t="shared" si="482"/>
        <v/>
      </c>
    </row>
    <row r="748" spans="20:88" x14ac:dyDescent="0.3">
      <c r="T748">
        <f t="shared" si="474"/>
        <v>1</v>
      </c>
      <c r="AA748">
        <v>80</v>
      </c>
      <c r="AB748" s="1">
        <f t="shared" si="483"/>
        <v>0</v>
      </c>
      <c r="AC748" t="str">
        <f t="shared" si="484"/>
        <v/>
      </c>
      <c r="AD748" t="str">
        <f t="shared" si="475"/>
        <v/>
      </c>
      <c r="AI748" s="6" t="str">
        <f t="shared" si="458"/>
        <v/>
      </c>
      <c r="AM748" s="7" t="str">
        <f t="shared" si="459"/>
        <v/>
      </c>
      <c r="BI748" s="17" t="str">
        <f t="shared" si="462"/>
        <v/>
      </c>
      <c r="BM748" t="str">
        <f t="shared" si="476"/>
        <v>SPT Relationship</v>
      </c>
      <c r="BN748">
        <f t="shared" si="477"/>
        <v>95</v>
      </c>
      <c r="BO748" t="str">
        <f t="shared" si="463"/>
        <v/>
      </c>
      <c r="BP748" t="str">
        <f t="shared" si="485"/>
        <v/>
      </c>
      <c r="BQ748" t="str">
        <f t="shared" si="464"/>
        <v/>
      </c>
      <c r="BR748" t="str">
        <f t="shared" si="478"/>
        <v/>
      </c>
      <c r="BS748" t="str">
        <f t="shared" si="465"/>
        <v/>
      </c>
      <c r="BT748" t="str">
        <f t="shared" si="486"/>
        <v/>
      </c>
      <c r="BU748" t="str">
        <f t="shared" si="466"/>
        <v/>
      </c>
      <c r="BV748" t="str">
        <f t="shared" si="479"/>
        <v/>
      </c>
      <c r="BW748" t="str">
        <f t="shared" si="467"/>
        <v/>
      </c>
      <c r="BX748" t="str">
        <f t="shared" si="480"/>
        <v/>
      </c>
      <c r="BY748" t="str">
        <f t="shared" si="468"/>
        <v/>
      </c>
      <c r="BZ748" t="str">
        <f t="shared" si="481"/>
        <v/>
      </c>
      <c r="CA748" t="str">
        <f t="shared" si="469"/>
        <v/>
      </c>
      <c r="CB748" t="str">
        <f t="shared" si="453"/>
        <v/>
      </c>
      <c r="CC748" t="str">
        <f t="shared" si="470"/>
        <v/>
      </c>
      <c r="CD748" t="str">
        <f t="shared" si="454"/>
        <v/>
      </c>
      <c r="CE748" t="str">
        <f t="shared" si="471"/>
        <v>Bowles 5th edition</v>
      </c>
      <c r="CF748">
        <f t="shared" si="455"/>
        <v>96</v>
      </c>
      <c r="CG748" t="str">
        <f t="shared" si="472"/>
        <v/>
      </c>
      <c r="CH748" t="str">
        <f t="shared" si="456"/>
        <v/>
      </c>
      <c r="CI748" t="str">
        <f t="shared" si="473"/>
        <v/>
      </c>
      <c r="CJ748" t="str">
        <f t="shared" si="482"/>
        <v/>
      </c>
    </row>
    <row r="749" spans="20:88" x14ac:dyDescent="0.3">
      <c r="T749">
        <f t="shared" si="474"/>
        <v>1</v>
      </c>
      <c r="AA749">
        <v>80</v>
      </c>
      <c r="AB749" s="1">
        <f t="shared" si="483"/>
        <v>0</v>
      </c>
      <c r="AC749" t="str">
        <f t="shared" si="484"/>
        <v/>
      </c>
      <c r="AD749" t="str">
        <f t="shared" si="475"/>
        <v/>
      </c>
      <c r="AI749" s="6" t="str">
        <f t="shared" si="458"/>
        <v/>
      </c>
      <c r="AM749" s="7" t="str">
        <f t="shared" si="459"/>
        <v/>
      </c>
      <c r="BI749" s="17" t="str">
        <f t="shared" si="462"/>
        <v/>
      </c>
      <c r="BM749" t="str">
        <f t="shared" si="476"/>
        <v>SPT Relationship</v>
      </c>
      <c r="BN749">
        <f t="shared" si="477"/>
        <v>95</v>
      </c>
      <c r="BO749" t="str">
        <f t="shared" si="463"/>
        <v/>
      </c>
      <c r="BP749" t="str">
        <f t="shared" si="485"/>
        <v/>
      </c>
      <c r="BQ749" t="str">
        <f t="shared" si="464"/>
        <v/>
      </c>
      <c r="BR749" t="str">
        <f t="shared" si="478"/>
        <v/>
      </c>
      <c r="BS749" t="str">
        <f t="shared" si="465"/>
        <v/>
      </c>
      <c r="BT749" t="str">
        <f t="shared" si="486"/>
        <v/>
      </c>
      <c r="BU749" t="str">
        <f t="shared" si="466"/>
        <v/>
      </c>
      <c r="BV749" t="str">
        <f t="shared" si="479"/>
        <v/>
      </c>
      <c r="BW749" t="str">
        <f t="shared" si="467"/>
        <v/>
      </c>
      <c r="BX749" t="str">
        <f t="shared" si="480"/>
        <v/>
      </c>
      <c r="BY749" t="str">
        <f t="shared" si="468"/>
        <v/>
      </c>
      <c r="BZ749" t="str">
        <f t="shared" si="481"/>
        <v/>
      </c>
      <c r="CA749" t="str">
        <f t="shared" si="469"/>
        <v/>
      </c>
      <c r="CB749" t="str">
        <f t="shared" si="453"/>
        <v/>
      </c>
      <c r="CC749" t="str">
        <f t="shared" si="470"/>
        <v/>
      </c>
      <c r="CD749" t="str">
        <f t="shared" si="454"/>
        <v/>
      </c>
      <c r="CE749" t="str">
        <f t="shared" si="471"/>
        <v>Bowles 5th edition</v>
      </c>
      <c r="CF749">
        <f t="shared" si="455"/>
        <v>96</v>
      </c>
      <c r="CG749" t="str">
        <f t="shared" si="472"/>
        <v/>
      </c>
      <c r="CH749" t="str">
        <f t="shared" si="456"/>
        <v/>
      </c>
      <c r="CI749" t="str">
        <f t="shared" si="473"/>
        <v/>
      </c>
      <c r="CJ749" t="str">
        <f t="shared" si="482"/>
        <v/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BA94-B876-4DBB-BDBF-AC5A99B0F99A}">
  <dimension ref="A1"/>
  <sheetViews>
    <sheetView topLeftCell="A10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Miller, Nicholas</dc:creator>
  <cp:lastModifiedBy>Miller, Nicholas</cp:lastModifiedBy>
  <dcterms:created xsi:type="dcterms:W3CDTF">2024-06-26T20:10:45Z</dcterms:created>
  <dcterms:modified xsi:type="dcterms:W3CDTF">2024-07-31T16:04:17Z</dcterms:modified>
</cp:coreProperties>
</file>